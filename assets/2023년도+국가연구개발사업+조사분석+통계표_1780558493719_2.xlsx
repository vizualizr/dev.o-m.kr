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은정-PC\Desktop\국가연구개발사업조사분석\2024년\25. 보고서 작성\작업\최종\"/>
    </mc:Choice>
  </mc:AlternateContent>
  <xr:revisionPtr revIDLastSave="0" documentId="13_ncr:1_{05CDEEBD-B9AF-48A4-AF22-732DA03A1BD7}" xr6:coauthVersionLast="47" xr6:coauthVersionMax="47" xr10:uidLastSave="{00000000-0000-0000-0000-000000000000}"/>
  <bookViews>
    <workbookView xWindow="25490" yWindow="-110" windowWidth="38620" windowHeight="21100" tabRatio="821" xr2:uid="{00000000-000D-0000-FFFF-FFFF00000000}"/>
  </bookViews>
  <sheets>
    <sheet name="목차" sheetId="61" r:id="rId1"/>
    <sheet name="1-1" sheetId="1" r:id="rId2"/>
    <sheet name="1-2" sheetId="2" r:id="rId3"/>
    <sheet name="1-3" sheetId="3" r:id="rId4"/>
    <sheet name="1-4" sheetId="4" r:id="rId5"/>
    <sheet name="1-5" sheetId="5" r:id="rId6"/>
    <sheet name="1-6" sheetId="6" r:id="rId7"/>
    <sheet name="1-7" sheetId="7" r:id="rId8"/>
    <sheet name="1-8" sheetId="8" r:id="rId9"/>
    <sheet name="1-9" sheetId="9" r:id="rId10"/>
    <sheet name="1-10" sheetId="10" r:id="rId11"/>
    <sheet name="1-11" sheetId="11" r:id="rId12"/>
    <sheet name="1-12" sheetId="12" r:id="rId13"/>
    <sheet name="1-13" sheetId="13" r:id="rId14"/>
    <sheet name="1-14" sheetId="14" r:id="rId15"/>
    <sheet name="1-15" sheetId="15" r:id="rId16"/>
    <sheet name="1-16" sheetId="16" r:id="rId17"/>
    <sheet name="2-1" sheetId="65" r:id="rId18"/>
    <sheet name="2-2" sheetId="66" r:id="rId19"/>
    <sheet name="2-3" sheetId="67" r:id="rId20"/>
    <sheet name="2-4" sheetId="68" r:id="rId21"/>
    <sheet name="2-5" sheetId="69" r:id="rId22"/>
    <sheet name="2-6" sheetId="70" r:id="rId23"/>
    <sheet name="2-7" sheetId="71" r:id="rId24"/>
    <sheet name="2-8" sheetId="72" r:id="rId25"/>
    <sheet name="2-9" sheetId="73" r:id="rId26"/>
    <sheet name="3-1" sheetId="64" r:id="rId27"/>
    <sheet name="3-2" sheetId="74" r:id="rId28"/>
    <sheet name="3-3" sheetId="75" r:id="rId29"/>
    <sheet name="3-4" sheetId="76" r:id="rId30"/>
    <sheet name="3-5" sheetId="30" r:id="rId31"/>
    <sheet name="4-1" sheetId="77" r:id="rId32"/>
    <sheet name="4-2" sheetId="78" r:id="rId33"/>
    <sheet name="4-3" sheetId="79" r:id="rId34"/>
    <sheet name="4-4" sheetId="80" r:id="rId35"/>
    <sheet name="4-5" sheetId="81" r:id="rId36"/>
    <sheet name="4-6" sheetId="35" r:id="rId37"/>
    <sheet name="5-1" sheetId="82" r:id="rId38"/>
    <sheet name="5-2" sheetId="83" r:id="rId39"/>
    <sheet name="5-3" sheetId="84" r:id="rId40"/>
    <sheet name="5-4" sheetId="85" r:id="rId41"/>
    <sheet name="5-5" sheetId="86" r:id="rId42"/>
    <sheet name="5-6" sheetId="87" r:id="rId43"/>
    <sheet name="5-7" sheetId="88" r:id="rId44"/>
    <sheet name="6-1" sheetId="43" r:id="rId45"/>
    <sheet name="6-2" sheetId="44" r:id="rId46"/>
    <sheet name="6-3" sheetId="45" r:id="rId47"/>
    <sheet name="6-4" sheetId="46" r:id="rId48"/>
    <sheet name="6-5" sheetId="47" r:id="rId49"/>
    <sheet name="6-6" sheetId="48" r:id="rId50"/>
    <sheet name="6-7" sheetId="89" r:id="rId51"/>
    <sheet name="7-1" sheetId="50" r:id="rId52"/>
    <sheet name="7-2" sheetId="51" r:id="rId53"/>
    <sheet name="7-3" sheetId="52" r:id="rId54"/>
    <sheet name="7-4" sheetId="53" r:id="rId55"/>
    <sheet name="7-5" sheetId="54" r:id="rId56"/>
    <sheet name="7-6" sheetId="55" r:id="rId57"/>
    <sheet name="7-7" sheetId="56" r:id="rId58"/>
    <sheet name="7-8" sheetId="90" r:id="rId59"/>
    <sheet name="7-9" sheetId="58" r:id="rId60"/>
    <sheet name="7-10" sheetId="59" r:id="rId61"/>
  </sheets>
  <definedNames>
    <definedName name="_xlnm._FilterDatabase" localSheetId="2" hidden="1">'1-2'!$A$6:$K$41</definedName>
    <definedName name="_xlnm._FilterDatabase" localSheetId="7" hidden="1">'1-7'!#REF!</definedName>
    <definedName name="_xlnm._FilterDatabase" localSheetId="8" hidden="1">'1-8'!$A$5:$M$5</definedName>
    <definedName name="_xlnm._FilterDatabase" localSheetId="9" hidden="1">'1-9'!$A$7:$AD$7</definedName>
    <definedName name="_xlnm._FilterDatabase" localSheetId="22" hidden="1">'2-6'!$A$7:$AQ$295</definedName>
    <definedName name="_xlnm._FilterDatabase" localSheetId="25" hidden="1">'2-9'!$A$7:$AT$71</definedName>
    <definedName name="_xlnm._FilterDatabase" localSheetId="26" hidden="1">'3-1'!$A$5:$U$293</definedName>
    <definedName name="_xlnm._FilterDatabase" localSheetId="40" hidden="1">'5-4'!$A$5:$AQ$293</definedName>
    <definedName name="_xlnm._FilterDatabase" localSheetId="47" hidden="1">'6-4'!$A$9:$AC$9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54" l="1"/>
  <c r="Q10" i="54"/>
  <c r="Q9" i="54"/>
  <c r="Q8" i="54"/>
  <c r="Q10" i="53"/>
  <c r="Q9" i="53"/>
  <c r="Q8" i="53"/>
  <c r="S19" i="14"/>
  <c r="S18" i="14"/>
  <c r="S17" i="14"/>
  <c r="S16" i="14"/>
  <c r="S15" i="14"/>
  <c r="S14" i="14"/>
  <c r="S13" i="14"/>
  <c r="S12" i="14"/>
  <c r="S11" i="14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AD26" i="9"/>
  <c r="AC26" i="9"/>
  <c r="AA26" i="9"/>
  <c r="Y26" i="9"/>
  <c r="W26" i="9"/>
  <c r="T26" i="9"/>
  <c r="R26" i="9"/>
  <c r="O26" i="9"/>
  <c r="M26" i="9"/>
  <c r="J26" i="9"/>
  <c r="H26" i="9"/>
  <c r="E26" i="9"/>
  <c r="C26" i="9"/>
  <c r="AD25" i="9"/>
  <c r="AC25" i="9"/>
  <c r="AA25" i="9"/>
  <c r="Y25" i="9"/>
  <c r="W25" i="9"/>
  <c r="T25" i="9"/>
  <c r="R25" i="9"/>
  <c r="O25" i="9"/>
  <c r="M25" i="9"/>
  <c r="J25" i="9"/>
  <c r="H25" i="9"/>
  <c r="E25" i="9"/>
  <c r="C25" i="9"/>
  <c r="AD24" i="9"/>
  <c r="AC24" i="9"/>
  <c r="AA24" i="9"/>
  <c r="Y24" i="9"/>
  <c r="W24" i="9"/>
  <c r="T24" i="9"/>
  <c r="R24" i="9"/>
  <c r="O24" i="9"/>
  <c r="M24" i="9"/>
  <c r="J24" i="9"/>
  <c r="H24" i="9"/>
  <c r="E24" i="9"/>
  <c r="C24" i="9"/>
  <c r="AD23" i="9"/>
  <c r="AC23" i="9"/>
  <c r="AA23" i="9"/>
  <c r="Y23" i="9"/>
  <c r="W23" i="9"/>
  <c r="T23" i="9"/>
  <c r="R23" i="9"/>
  <c r="O23" i="9"/>
  <c r="M23" i="9"/>
  <c r="J23" i="9"/>
  <c r="H23" i="9"/>
  <c r="E23" i="9"/>
  <c r="C23" i="9"/>
  <c r="AD22" i="9"/>
  <c r="AC22" i="9"/>
  <c r="AA22" i="9"/>
  <c r="Y22" i="9"/>
  <c r="W22" i="9"/>
  <c r="T22" i="9"/>
  <c r="R22" i="9"/>
  <c r="O22" i="9"/>
  <c r="M22" i="9"/>
  <c r="J22" i="9"/>
  <c r="H22" i="9"/>
  <c r="E22" i="9"/>
  <c r="C22" i="9"/>
  <c r="AD21" i="9"/>
  <c r="AC21" i="9"/>
  <c r="AA21" i="9"/>
  <c r="Y21" i="9"/>
  <c r="W21" i="9"/>
  <c r="T21" i="9"/>
  <c r="R21" i="9"/>
  <c r="O21" i="9"/>
  <c r="M21" i="9"/>
  <c r="J21" i="9"/>
  <c r="H21" i="9"/>
  <c r="E21" i="9"/>
  <c r="C21" i="9"/>
  <c r="AD20" i="9"/>
  <c r="AC20" i="9"/>
  <c r="AA20" i="9"/>
  <c r="Y20" i="9"/>
  <c r="W20" i="9"/>
  <c r="T20" i="9"/>
  <c r="R20" i="9"/>
  <c r="O20" i="9"/>
  <c r="M20" i="9"/>
  <c r="J20" i="9"/>
  <c r="H20" i="9"/>
  <c r="E20" i="9"/>
  <c r="C20" i="9"/>
  <c r="AD19" i="9"/>
  <c r="AC19" i="9"/>
  <c r="AA19" i="9"/>
  <c r="Y19" i="9"/>
  <c r="W19" i="9"/>
  <c r="T19" i="9"/>
  <c r="R19" i="9"/>
  <c r="O19" i="9"/>
  <c r="M19" i="9"/>
  <c r="J19" i="9"/>
  <c r="H19" i="9"/>
  <c r="E19" i="9"/>
  <c r="C19" i="9"/>
  <c r="AD18" i="9"/>
  <c r="AC18" i="9"/>
  <c r="AA18" i="9"/>
  <c r="Y18" i="9"/>
  <c r="W18" i="9"/>
  <c r="T18" i="9"/>
  <c r="R18" i="9"/>
  <c r="O18" i="9"/>
  <c r="M18" i="9"/>
  <c r="J18" i="9"/>
  <c r="H18" i="9"/>
  <c r="E18" i="9"/>
  <c r="C18" i="9"/>
  <c r="AD17" i="9"/>
  <c r="AC17" i="9"/>
  <c r="AA17" i="9"/>
  <c r="Y17" i="9"/>
  <c r="W17" i="9"/>
  <c r="T17" i="9"/>
  <c r="R17" i="9"/>
  <c r="O17" i="9"/>
  <c r="M17" i="9"/>
  <c r="J17" i="9"/>
  <c r="H17" i="9"/>
  <c r="E17" i="9"/>
  <c r="C17" i="9"/>
  <c r="AD16" i="9"/>
  <c r="AC16" i="9"/>
  <c r="AA16" i="9"/>
  <c r="Y16" i="9"/>
  <c r="W16" i="9"/>
  <c r="T16" i="9"/>
  <c r="R16" i="9"/>
  <c r="O16" i="9"/>
  <c r="M16" i="9"/>
  <c r="J16" i="9"/>
  <c r="H16" i="9"/>
  <c r="E16" i="9"/>
  <c r="C16" i="9"/>
  <c r="AD15" i="9"/>
  <c r="AC15" i="9"/>
  <c r="AA15" i="9"/>
  <c r="Y15" i="9"/>
  <c r="W15" i="9"/>
  <c r="T15" i="9"/>
  <c r="R15" i="9"/>
  <c r="O15" i="9"/>
  <c r="M15" i="9"/>
  <c r="J15" i="9"/>
  <c r="H15" i="9"/>
  <c r="E15" i="9"/>
  <c r="C15" i="9"/>
  <c r="AD14" i="9"/>
  <c r="AC14" i="9"/>
  <c r="AA14" i="9"/>
  <c r="Y14" i="9"/>
  <c r="W14" i="9"/>
  <c r="T14" i="9"/>
  <c r="R14" i="9"/>
  <c r="O14" i="9"/>
  <c r="M14" i="9"/>
  <c r="J14" i="9"/>
  <c r="H14" i="9"/>
  <c r="E14" i="9"/>
  <c r="C14" i="9"/>
  <c r="AD13" i="9"/>
  <c r="AC13" i="9"/>
  <c r="AA13" i="9"/>
  <c r="Y13" i="9"/>
  <c r="W13" i="9"/>
  <c r="T13" i="9"/>
  <c r="R13" i="9"/>
  <c r="O13" i="9"/>
  <c r="M13" i="9"/>
  <c r="J13" i="9"/>
  <c r="H13" i="9"/>
  <c r="E13" i="9"/>
  <c r="C13" i="9"/>
  <c r="AD12" i="9"/>
  <c r="AC12" i="9"/>
  <c r="AA12" i="9"/>
  <c r="Y12" i="9"/>
  <c r="W12" i="9"/>
  <c r="T12" i="9"/>
  <c r="R12" i="9"/>
  <c r="O12" i="9"/>
  <c r="M12" i="9"/>
  <c r="J12" i="9"/>
  <c r="H12" i="9"/>
  <c r="E12" i="9"/>
  <c r="C12" i="9"/>
  <c r="AD11" i="9"/>
  <c r="AC11" i="9"/>
  <c r="AA11" i="9"/>
  <c r="Y11" i="9"/>
  <c r="W11" i="9"/>
  <c r="T11" i="9"/>
  <c r="R11" i="9"/>
  <c r="O11" i="9"/>
  <c r="M11" i="9"/>
  <c r="J11" i="9"/>
  <c r="H11" i="9"/>
  <c r="E11" i="9"/>
  <c r="C11" i="9"/>
  <c r="AD10" i="9"/>
  <c r="AC10" i="9"/>
  <c r="AA10" i="9"/>
  <c r="Y10" i="9"/>
  <c r="W10" i="9"/>
  <c r="T10" i="9"/>
  <c r="R10" i="9"/>
  <c r="O10" i="9"/>
  <c r="M10" i="9"/>
  <c r="J10" i="9"/>
  <c r="H10" i="9"/>
  <c r="E10" i="9"/>
  <c r="C10" i="9"/>
  <c r="AD9" i="9"/>
  <c r="AC9" i="9"/>
  <c r="AA9" i="9"/>
  <c r="Y9" i="9"/>
  <c r="W9" i="9"/>
  <c r="T9" i="9"/>
  <c r="R9" i="9"/>
  <c r="O9" i="9"/>
  <c r="M9" i="9"/>
  <c r="J9" i="9"/>
  <c r="H9" i="9"/>
  <c r="E9" i="9"/>
  <c r="C9" i="9"/>
  <c r="AD8" i="9"/>
  <c r="AC8" i="9"/>
  <c r="AA8" i="9"/>
  <c r="Y8" i="9"/>
  <c r="W8" i="9"/>
  <c r="T8" i="9"/>
  <c r="R8" i="9"/>
  <c r="O8" i="9"/>
  <c r="M8" i="9"/>
  <c r="J8" i="9"/>
  <c r="H8" i="9"/>
  <c r="E8" i="9"/>
  <c r="C8" i="9"/>
  <c r="H22" i="1"/>
  <c r="H21" i="1"/>
  <c r="H20" i="1"/>
  <c r="G19" i="1"/>
  <c r="F19" i="1"/>
  <c r="E19" i="1"/>
  <c r="D19" i="1"/>
  <c r="C19" i="1"/>
  <c r="H17" i="1"/>
  <c r="G16" i="1"/>
  <c r="F16" i="1"/>
  <c r="H14" i="1"/>
  <c r="G13" i="1"/>
  <c r="F13" i="1"/>
  <c r="H11" i="1"/>
  <c r="H10" i="1"/>
  <c r="H9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2022</t>
        </r>
        <r>
          <rPr>
            <sz val="9"/>
            <color indexed="81"/>
            <rFont val="돋움"/>
            <family val="3"/>
            <charset val="129"/>
          </rPr>
          <t>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<sst xmlns="http://schemas.openxmlformats.org/spreadsheetml/2006/main" count="11504" uniqueCount="1370">
  <si>
    <t>구 분</t>
  </si>
  <si>
    <t xml:space="preserve">연평균 </t>
  </si>
  <si>
    <t>증가율</t>
  </si>
  <si>
    <t>정부</t>
  </si>
  <si>
    <t>(D/A)</t>
  </si>
  <si>
    <t>(E/B)</t>
  </si>
  <si>
    <t>(F/C)</t>
  </si>
  <si>
    <t>집행액</t>
  </si>
  <si>
    <t>2019년</t>
  </si>
  <si>
    <t>2020년</t>
  </si>
  <si>
    <t>2021년</t>
  </si>
  <si>
    <t>최근 5년간</t>
  </si>
  <si>
    <t>일반회계 예산(A)</t>
  </si>
  <si>
    <t>일반+특별회계 예산(B)</t>
  </si>
  <si>
    <t>일반(D)*</t>
  </si>
  <si>
    <t>일반+특별(E)*</t>
  </si>
  <si>
    <t>일반+특별+기금(F)*</t>
  </si>
  <si>
    <t>사업수(건)</t>
  </si>
  <si>
    <t>과제수(건)</t>
  </si>
  <si>
    <t>정부연구 개발예산</t>
    <phoneticPr fontId="1" type="noConversion"/>
  </si>
  <si>
    <t>정부 예산</t>
    <phoneticPr fontId="1" type="noConversion"/>
  </si>
  <si>
    <t>(단위 : 억원)</t>
    <phoneticPr fontId="1" type="noConversion"/>
  </si>
  <si>
    <t>* 괄호 안은 추경예산 및 수정된 기금운용계획 기준</t>
  </si>
  <si>
    <t>(166,774)</t>
    <phoneticPr fontId="1" type="noConversion"/>
  </si>
  <si>
    <t>(178,935)</t>
    <phoneticPr fontId="1" type="noConversion"/>
  </si>
  <si>
    <t>(199,931)</t>
    <phoneticPr fontId="1" type="noConversion"/>
  </si>
  <si>
    <t>(191,135)</t>
    <phoneticPr fontId="1" type="noConversion"/>
  </si>
  <si>
    <t>(224,494)</t>
    <phoneticPr fontId="1" type="noConversion"/>
  </si>
  <si>
    <t>(254,998)</t>
    <phoneticPr fontId="1" type="noConversion"/>
  </si>
  <si>
    <t>(208,532)</t>
    <phoneticPr fontId="1" type="noConversion"/>
  </si>
  <si>
    <t>(242,558)</t>
    <phoneticPr fontId="1" type="noConversion"/>
  </si>
  <si>
    <t>(275,072)</t>
    <phoneticPr fontId="1" type="noConversion"/>
  </si>
  <si>
    <t>증감</t>
  </si>
  <si>
    <t>사업수</t>
  </si>
  <si>
    <t>세부</t>
  </si>
  <si>
    <t>과제수</t>
  </si>
  <si>
    <t>비중</t>
  </si>
  <si>
    <t>B-A</t>
  </si>
  <si>
    <t>%</t>
  </si>
  <si>
    <t>경찰청</t>
  </si>
  <si>
    <t>과학기술정보통신부</t>
  </si>
  <si>
    <t>교육부</t>
  </si>
  <si>
    <t>국무조정실</t>
  </si>
  <si>
    <t>국방부</t>
  </si>
  <si>
    <t>국토교통부</t>
  </si>
  <si>
    <t>기상청</t>
  </si>
  <si>
    <t>기획재정부</t>
  </si>
  <si>
    <t>농림축산식품부</t>
  </si>
  <si>
    <t>농촌진흥청</t>
  </si>
  <si>
    <t>다부처</t>
  </si>
  <si>
    <t>문화재청</t>
  </si>
  <si>
    <t>문화체육관광부</t>
  </si>
  <si>
    <t>방위사업청</t>
  </si>
  <si>
    <t>법무부</t>
  </si>
  <si>
    <t>법제처</t>
  </si>
  <si>
    <t>보건복지부</t>
  </si>
  <si>
    <t>산림청</t>
  </si>
  <si>
    <t>산업통상자원부</t>
  </si>
  <si>
    <t>소방청</t>
  </si>
  <si>
    <t>식품의약품안전처</t>
  </si>
  <si>
    <t>여성가족부</t>
  </si>
  <si>
    <t>외교부</t>
  </si>
  <si>
    <t>원자력안전위원회</t>
  </si>
  <si>
    <t>중소벤처기업부</t>
  </si>
  <si>
    <t>질병관리청</t>
  </si>
  <si>
    <t>-</t>
  </si>
  <si>
    <t>특허청</t>
  </si>
  <si>
    <t>해양경찰청</t>
  </si>
  <si>
    <t>해양수산부</t>
  </si>
  <si>
    <t>행정안전부</t>
  </si>
  <si>
    <t>행정중심복합도시건설청</t>
  </si>
  <si>
    <t>환경부</t>
  </si>
  <si>
    <t>총합계</t>
  </si>
  <si>
    <t>금액(A)</t>
  </si>
  <si>
    <t>금액(B)</t>
  </si>
  <si>
    <t>(단위 : 건, 억원)</t>
  </si>
  <si>
    <t>증 감</t>
  </si>
  <si>
    <t>금액</t>
  </si>
  <si>
    <t>국공립연구소</t>
  </si>
  <si>
    <t>출연연구소</t>
  </si>
  <si>
    <t>대학</t>
  </si>
  <si>
    <t>대기업</t>
  </si>
  <si>
    <t>중견기업</t>
  </si>
  <si>
    <t>중소기업</t>
  </si>
  <si>
    <t>정부부처</t>
  </si>
  <si>
    <t>기타</t>
  </si>
  <si>
    <t>합계</t>
  </si>
  <si>
    <t>(단위 : 억원, %)</t>
  </si>
  <si>
    <t>연구비</t>
  </si>
  <si>
    <t>과제당</t>
  </si>
  <si>
    <t>(A)</t>
  </si>
  <si>
    <t>(B)</t>
  </si>
  <si>
    <t>(단위 : 건, 억원, %)</t>
  </si>
  <si>
    <t>(단위 : 건, 억원, %)</t>
    <phoneticPr fontId="1" type="noConversion"/>
  </si>
  <si>
    <t>* ｢2013년 국가연구개발사업 조사분석 시행계획｣에 따라 ’13년도부터 연구수행주체의 분류에 ‘중견기업’ 항목이 추가됨</t>
  </si>
  <si>
    <t>* 출연연구소는 경제인문사회연구회, 국가과학기술연구회, 연구관리 전문기관, 기타 출연연 등의 R&amp;D 관련 출연연구기관을 포함</t>
  </si>
  <si>
    <t>* 국공립연구소는 국립연구소와 지방자치단체의 공립연구소를 포함</t>
  </si>
  <si>
    <t>* 기타는 비영리법인, 연구조합, 협회, 학회, 정부투자기관 등을 포함</t>
  </si>
  <si>
    <t>연구회 산하 출연연</t>
  </si>
  <si>
    <t>부처 직할 출연연</t>
  </si>
  <si>
    <t>경사연 산하 출연연</t>
  </si>
  <si>
    <t>(과제수)</t>
  </si>
  <si>
    <t>(금액)</t>
  </si>
  <si>
    <t>* 출연(연) 유형은 다음처럼 3가지로 구분함</t>
  </si>
  <si>
    <t>- 국가과학기술연구회 산하 출연(연) : 국가과학기술연구회를 포함한 한국과학기술연구원, 한국기계연구원 등 26개 기관</t>
  </si>
  <si>
    <t>상향식</t>
  </si>
  <si>
    <t>자유공모형</t>
  </si>
  <si>
    <t>기초연구</t>
  </si>
  <si>
    <t>응용연구</t>
  </si>
  <si>
    <t>개발연구</t>
  </si>
  <si>
    <t>소계</t>
  </si>
  <si>
    <t>품목지정형</t>
  </si>
  <si>
    <t>하향식</t>
  </si>
  <si>
    <t>* ’18년도부터는 연구자 주도의 연구개발 과제 수행 현황 파악을 위해 세부과제 지원유형별(상향식(자유공모형, 품목지정형), 하향식) 집행현황 신규 조사를 수행</t>
  </si>
  <si>
    <t>* 기관운영비지원사업, 기획평가관리사업, 정책연구개발사업 등 일부 사업에 대해서는 하향식으로 세부과제지원유형을 일괄 조정</t>
  </si>
  <si>
    <t>수도권</t>
  </si>
  <si>
    <t>서울특별시</t>
  </si>
  <si>
    <t>인천광역시</t>
  </si>
  <si>
    <t>경기도</t>
  </si>
  <si>
    <t>지방</t>
  </si>
  <si>
    <t>대전광역시</t>
  </si>
  <si>
    <t>부산광역시</t>
  </si>
  <si>
    <t>대구광역시</t>
  </si>
  <si>
    <t>광주광역시</t>
  </si>
  <si>
    <t>울산광역시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</si>
  <si>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</si>
  <si>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</si>
  <si>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</si>
  <si>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</si>
  <si>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</si>
  <si>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</si>
  <si>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</si>
  <si>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</t>
  </si>
  <si>
    <t>자치도</t>
  </si>
  <si>
    <t>세종특별</t>
  </si>
  <si>
    <t>자치시</t>
  </si>
  <si>
    <t>* ’13년 지역분류에 ‘세종특별자치시’가 추가됨.</t>
  </si>
  <si>
    <t>* 기타는 과제의 분산 수행(한 과제가 여러 지역에서 수행된 경우)으로 지역별 분류가 불가능한 경우</t>
  </si>
  <si>
    <t>* 2008년까지 분석대상에서 기금이 제외되었으나, 2009년부터는 기금을 포함하여 분석</t>
  </si>
  <si>
    <t>구분</t>
  </si>
  <si>
    <t>수학</t>
  </si>
  <si>
    <t>물리학</t>
  </si>
  <si>
    <t>화학</t>
  </si>
  <si>
    <t>지구과학</t>
  </si>
  <si>
    <t>생명과학</t>
  </si>
  <si>
    <t>보건의료</t>
  </si>
  <si>
    <t>기계</t>
  </si>
  <si>
    <t>재료</t>
  </si>
  <si>
    <t>화공</t>
  </si>
  <si>
    <t>원자력</t>
  </si>
  <si>
    <t>환경</t>
  </si>
  <si>
    <t>과학기술과 인문사회</t>
  </si>
  <si>
    <t>전기/전자</t>
  </si>
  <si>
    <t>정보/통신</t>
  </si>
  <si>
    <t>에너지/자원</t>
  </si>
  <si>
    <t>건설/교통</t>
  </si>
  <si>
    <t>단일분야</t>
  </si>
  <si>
    <t>융합분야</t>
  </si>
  <si>
    <t>단일</t>
  </si>
  <si>
    <t>융합</t>
  </si>
  <si>
    <t>(C)</t>
  </si>
  <si>
    <t>(D)</t>
  </si>
  <si>
    <t>C-A</t>
  </si>
  <si>
    <t>D-B</t>
  </si>
  <si>
    <t>농림수산 식품</t>
    <phoneticPr fontId="1" type="noConversion"/>
  </si>
  <si>
    <t>* 두 개 이상의 과학기술표준분류에 해당하는 과제(단, ʻ기타ʼ는 하나의 과학기술표준분류로 구분)만 융합 분야 과제로 분류하여 산출</t>
  </si>
  <si>
    <t>국방</t>
  </si>
  <si>
    <t>대비)</t>
  </si>
  <si>
    <t>(단위 : 과제 수, 억원, %)</t>
  </si>
  <si>
    <t>적용분야</t>
  </si>
  <si>
    <t>건강</t>
  </si>
  <si>
    <t>사회구조 및 관계</t>
  </si>
  <si>
    <t>에너지</t>
  </si>
  <si>
    <t>우주개발 및 탐사</t>
  </si>
  <si>
    <t>지구개발 및 탐사</t>
  </si>
  <si>
    <t>사회질서 및 안전</t>
  </si>
  <si>
    <t>교육 및 인력양성</t>
  </si>
  <si>
    <t>기타 공공목적</t>
  </si>
  <si>
    <t>건설업</t>
  </si>
  <si>
    <t>교육 서비스업</t>
  </si>
  <si>
    <t>보건업 및 사회복지 서비스업</t>
  </si>
  <si>
    <t>기타 산업</t>
  </si>
  <si>
    <t>비중(%)</t>
  </si>
  <si>
    <t>(소계</t>
  </si>
  <si>
    <t>(합계</t>
  </si>
  <si>
    <t>기준)</t>
  </si>
  <si>
    <t>지식의 진보(비목적 연구)</t>
  </si>
  <si>
    <t>교통/정보통신/기타 기반시설</t>
  </si>
  <si>
    <t>문화, 여가증진, 종교 및 매스미디어</t>
  </si>
  <si>
    <t>농업, 임업 및 어업</t>
  </si>
  <si>
    <t>제조업(음식료품 및 담배)</t>
  </si>
  <si>
    <t>제조업(섬유, 의복 및 가죽제품)</t>
  </si>
  <si>
    <t>제조업(목재, 종이 및 인쇄)</t>
  </si>
  <si>
    <t>제조업(화학물질 및 화학제품)</t>
  </si>
  <si>
    <t>제조업(의료용물질 및 의약품)</t>
  </si>
  <si>
    <t>제조업(비금속광물 및 금속제품)</t>
  </si>
  <si>
    <t>제조업(전자부품, 컴퓨터, 영상, 음향 및 통신장비)</t>
  </si>
  <si>
    <t>제조업(전기 및 기계장비)</t>
  </si>
  <si>
    <t>제조업(자동차 및 운송장비)</t>
  </si>
  <si>
    <t>전기, 가스, 증기 및 수도사업</t>
  </si>
  <si>
    <t>출판, 영상, 방송통신 및 정보서비스업</t>
  </si>
  <si>
    <t>전문, 과학 및 기술서비스업</t>
  </si>
  <si>
    <t>산업분야</t>
    <phoneticPr fontId="1" type="noConversion"/>
  </si>
  <si>
    <t>공공분야</t>
    <phoneticPr fontId="1" type="noConversion"/>
  </si>
  <si>
    <t>제조업(의료, 정밀, 광학기기 및 시계)</t>
    <phoneticPr fontId="1" type="noConversion"/>
  </si>
  <si>
    <t>예술, 스포츠 및 여가관련 서비스업</t>
    <phoneticPr fontId="1" type="noConversion"/>
  </si>
  <si>
    <t>하수, 폐기물처리, 원료재생 및 환경복원업</t>
    <phoneticPr fontId="1" type="noConversion"/>
  </si>
  <si>
    <t>농업생산 및 기술</t>
  </si>
  <si>
    <t>산업생산 및 기술</t>
  </si>
  <si>
    <t>우주</t>
  </si>
  <si>
    <t>교육</t>
  </si>
  <si>
    <t>비목적 연구</t>
  </si>
  <si>
    <t>합 계</t>
  </si>
  <si>
    <t>구분(’13~)</t>
  </si>
  <si>
    <t>교통/정보통신/기타 기반시설</t>
    <phoneticPr fontId="1" type="noConversion"/>
  </si>
  <si>
    <t>보건 환경</t>
    <phoneticPr fontId="1" type="noConversion"/>
  </si>
  <si>
    <t>경제 발전</t>
    <phoneticPr fontId="1" type="noConversion"/>
  </si>
  <si>
    <t>비목적 연구</t>
    <phoneticPr fontId="1" type="noConversion"/>
  </si>
  <si>
    <t>교육사회</t>
    <phoneticPr fontId="1" type="noConversion"/>
  </si>
  <si>
    <t>* 2009년 국가연구개발사업부터 개편된 과학기술표준분류체계 사용에 따라 호환표를 통해 적용분야를 기존의 경제사회목적과 연계시켜 추이 분석(조사분석항목에서 제외)</t>
  </si>
  <si>
    <t>* 2013년부터 경제사회목적은 적용분야의 제1분류를 기준으로 매핑함</t>
  </si>
  <si>
    <t>* 보건환경과 교육사회는 OECD MSTI(Main Science Technology Indicator) 분류기준에 따라 변경</t>
  </si>
  <si>
    <t>IT분야</t>
  </si>
  <si>
    <t>BT분야</t>
  </si>
  <si>
    <t>NT분야</t>
  </si>
  <si>
    <t>ST분야</t>
  </si>
  <si>
    <t>ET분야</t>
  </si>
  <si>
    <t>CT분야</t>
  </si>
  <si>
    <t>연평균</t>
  </si>
  <si>
    <t>과제 수</t>
  </si>
  <si>
    <t>3천만원 미만</t>
  </si>
  <si>
    <t>10억원 이상</t>
  </si>
  <si>
    <t>3천만원 이상 ~ 5천만원 미만</t>
  </si>
  <si>
    <t>3천만원 이상 ~ 5천만원 미만</t>
    <phoneticPr fontId="1" type="noConversion"/>
  </si>
  <si>
    <t>5천만원 이상 ~ 1억원 미만</t>
  </si>
  <si>
    <t>5천만원 이상 ~ 1억원 미만</t>
    <phoneticPr fontId="1" type="noConversion"/>
  </si>
  <si>
    <t>1억원 이상 ~ 2억원 미만</t>
  </si>
  <si>
    <t>1억원 이상 ~ 2억원 미만</t>
    <phoneticPr fontId="1" type="noConversion"/>
  </si>
  <si>
    <t>2억원 이상 ~ 3억원 미만</t>
  </si>
  <si>
    <t>2억원 이상 ~ 3억원 미만</t>
    <phoneticPr fontId="1" type="noConversion"/>
  </si>
  <si>
    <t>3억원 이상 ~ 5억원 미만</t>
  </si>
  <si>
    <t>3억원 이상 ~ 5억원 미만</t>
    <phoneticPr fontId="1" type="noConversion"/>
  </si>
  <si>
    <t>5억원 이상 ~ 10억원 미만</t>
  </si>
  <si>
    <t>5억원 이상 ~ 10억원 미만</t>
    <phoneticPr fontId="1" type="noConversion"/>
  </si>
  <si>
    <t>* 과제 당 연구비는 전체 조사분석 대상 세부과제가 분석대상임</t>
  </si>
  <si>
    <t>연도</t>
  </si>
  <si>
    <t>* 출연연구소는 경제인문사회연구회, 국가과학기술연구회, 연구관리전문기관, 기타 출연연 등 R&amp;D관련 출연연구기관을 포함</t>
  </si>
  <si>
    <t>(단위 ; 건, %, 억원)</t>
  </si>
  <si>
    <t xml:space="preserve">과제 수 </t>
  </si>
  <si>
    <t>과제당 연구비</t>
  </si>
  <si>
    <t>신규과제</t>
  </si>
  <si>
    <t>계속과제</t>
  </si>
  <si>
    <t>(단위 : 억원, %)</t>
    <phoneticPr fontId="1" type="noConversion"/>
  </si>
  <si>
    <t>기타 부처</t>
  </si>
  <si>
    <t>부처</t>
  </si>
  <si>
    <t>기업</t>
  </si>
  <si>
    <t xml:space="preserve">금액 </t>
  </si>
  <si>
    <t>간접비</t>
  </si>
  <si>
    <t>위탁연구비</t>
  </si>
  <si>
    <t>물건비</t>
  </si>
  <si>
    <t xml:space="preserve">합계 </t>
  </si>
  <si>
    <t>인건비(현금)</t>
  </si>
  <si>
    <t>직접비(현금)</t>
  </si>
  <si>
    <t>조사･분석 대상</t>
  </si>
  <si>
    <t>* 기타는 연구장비, 시설 등 연구개발단계 분류가 불가능한 경우에 해당</t>
  </si>
  <si>
    <t>* 지출액은 세부과제를 수행하는 주관(협동)기관으로부터 공동(위탁)연구 참여기관에게 지출되는 정부연구비를 의미</t>
  </si>
  <si>
    <t>* 2012년부터 협약 기준(지칭하는 용어도 ‘협동’→‘공동’)으로 공동연구(’06~’11년까지는 국제공동연구 정보만 받음)와 위탁연구 정보를 받기 시작</t>
  </si>
  <si>
    <t>외국연구기관</t>
  </si>
  <si>
    <t>국공립/출연연구소</t>
  </si>
  <si>
    <t>(B/A)</t>
  </si>
  <si>
    <t>건수(A)</t>
  </si>
  <si>
    <t>지출액</t>
  </si>
  <si>
    <t>1건당</t>
  </si>
  <si>
    <t>수행건수</t>
  </si>
  <si>
    <t>위탁연구</t>
  </si>
  <si>
    <t>공동연구</t>
  </si>
  <si>
    <t>* 다부처는 기타 부처로 분류</t>
  </si>
  <si>
    <t>건수</t>
  </si>
  <si>
    <t>국제위탁연구</t>
  </si>
  <si>
    <t>국제공동연구</t>
  </si>
  <si>
    <t>(단위 : 건, %)</t>
  </si>
  <si>
    <t>프랑스</t>
  </si>
  <si>
    <t>포르투갈</t>
  </si>
  <si>
    <t>파키스탄</t>
  </si>
  <si>
    <t>태국</t>
  </si>
  <si>
    <t>터키</t>
  </si>
  <si>
    <t>캐나다</t>
  </si>
  <si>
    <t>중국</t>
  </si>
  <si>
    <t>일본</t>
  </si>
  <si>
    <t>인도네시아</t>
  </si>
  <si>
    <t>인도</t>
  </si>
  <si>
    <t>이탈리아</t>
  </si>
  <si>
    <t>이집트</t>
  </si>
  <si>
    <t>이스라엘</t>
  </si>
  <si>
    <t>오스트레일리아</t>
  </si>
  <si>
    <t>영국</t>
  </si>
  <si>
    <t>아랍에미리트</t>
  </si>
  <si>
    <t>스위스</t>
  </si>
  <si>
    <t>스웨덴</t>
  </si>
  <si>
    <t>사우디아라비아</t>
  </si>
  <si>
    <t>벨기에</t>
  </si>
  <si>
    <t>베트남</t>
  </si>
  <si>
    <t>미국</t>
  </si>
  <si>
    <t>몽골</t>
  </si>
  <si>
    <t>말레이지아</t>
  </si>
  <si>
    <t>러시아</t>
  </si>
  <si>
    <t>독일</t>
  </si>
  <si>
    <t>덴마크</t>
  </si>
  <si>
    <t>뉴질랜드</t>
  </si>
  <si>
    <t>네덜란드</t>
  </si>
  <si>
    <t>국제협약</t>
  </si>
  <si>
    <t>기술연수</t>
  </si>
  <si>
    <t>정보교환</t>
  </si>
  <si>
    <t>총 합계</t>
  </si>
  <si>
    <t>국제 공동연구</t>
  </si>
  <si>
    <t>연구자해외파견</t>
  </si>
  <si>
    <t>외국연구자유치</t>
  </si>
  <si>
    <t>정보 네트워크</t>
  </si>
  <si>
    <t>장비 시설 공동이용</t>
  </si>
  <si>
    <t>기술이전 및 사업화</t>
  </si>
  <si>
    <t>인력양성</t>
  </si>
  <si>
    <t>연구 기술개발</t>
  </si>
  <si>
    <t>건수(B)</t>
  </si>
  <si>
    <t>(단위 : 건수, %)</t>
  </si>
  <si>
    <t>여자</t>
  </si>
  <si>
    <t>남자</t>
  </si>
  <si>
    <t>인원수</t>
  </si>
  <si>
    <t>(단위 : 명, %)</t>
  </si>
  <si>
    <t>51~60세</t>
  </si>
  <si>
    <t>41~50세</t>
  </si>
  <si>
    <t>31~40세</t>
  </si>
  <si>
    <t>30세 이하</t>
  </si>
  <si>
    <t>인원 수</t>
  </si>
  <si>
    <t>* 동일인이 복수의 연구수행기관에 속해 있는 경우 중복으로 산정되어 전체 연구책임자 수보다 클 수 있음</t>
  </si>
  <si>
    <t>여성</t>
  </si>
  <si>
    <t>남성</t>
  </si>
  <si>
    <t>1인당</t>
  </si>
  <si>
    <t>연평균증가율</t>
  </si>
  <si>
    <t>1인당 연구비</t>
  </si>
  <si>
    <t>(단위 : 명, 억원)</t>
  </si>
  <si>
    <t>전체</t>
  </si>
  <si>
    <t>2억원 이상~5억원 미만</t>
  </si>
  <si>
    <t>1억원 이상~2억원 미만</t>
  </si>
  <si>
    <t>5천만원 이상~1억원 미만</t>
  </si>
  <si>
    <t>3천만원 이상~5천만원 미만</t>
  </si>
  <si>
    <t>* 기타는 위 분류에 속하지 않는 전공 외에 전공 분류 정보가 없는 연구책임자 포함</t>
  </si>
  <si>
    <t>인문사회학</t>
  </si>
  <si>
    <t>의약보건학</t>
  </si>
  <si>
    <t>농림수산학</t>
  </si>
  <si>
    <t>공학</t>
  </si>
  <si>
    <t>이학</t>
  </si>
  <si>
    <t>학사 이하</t>
  </si>
  <si>
    <t>석사</t>
  </si>
  <si>
    <t>박사</t>
  </si>
  <si>
    <t>공동연구 참여기관 유형</t>
  </si>
  <si>
    <t>외국 연구자 유치</t>
  </si>
  <si>
    <t>연구자해외 파견</t>
  </si>
  <si>
    <t>정부 연구비</t>
  </si>
  <si>
    <t>과제 당 연구비</t>
  </si>
  <si>
    <t>과제 당 연구비
(B)</t>
  </si>
  <si>
    <t>1건당 지출액 (B/A)</t>
  </si>
  <si>
    <t>1. 국가연구개발사업 총괄 집행현황</t>
  </si>
  <si>
    <t>3. 연구수행주체별 집행현황</t>
  </si>
  <si>
    <t>4. 연구개발단계별 집행현황</t>
  </si>
  <si>
    <t>6. 공동･위탁연구 집행현황</t>
  </si>
  <si>
    <t>7. 연구책임자 현황</t>
  </si>
  <si>
    <t>목차</t>
  </si>
  <si>
    <t>목차</t>
    <phoneticPr fontId="1" type="noConversion"/>
  </si>
  <si>
    <t>목차</t>
    <phoneticPr fontId="1" type="noConversion"/>
  </si>
  <si>
    <t>2022년</t>
    <phoneticPr fontId="1" type="noConversion"/>
  </si>
  <si>
    <t>2021년</t>
    <phoneticPr fontId="1" type="noConversion"/>
  </si>
  <si>
    <t>개인정보보호위원회</t>
  </si>
  <si>
    <t>-</t>
    <phoneticPr fontId="1" type="noConversion"/>
  </si>
  <si>
    <t>2019년</t>
    <phoneticPr fontId="1" type="noConversion"/>
  </si>
  <si>
    <t>2020년</t>
    <phoneticPr fontId="1" type="noConversion"/>
  </si>
  <si>
    <t>△108</t>
  </si>
  <si>
    <t>△2.4</t>
  </si>
  <si>
    <t>△12</t>
  </si>
  <si>
    <t>△0.2</t>
  </si>
  <si>
    <t>△3.7</t>
  </si>
  <si>
    <t>* 국공립연구소는 국립 28개 연구소와 지방자치단체의 공립연구소를 포함</t>
    <phoneticPr fontId="1" type="noConversion"/>
  </si>
  <si>
    <t>△2.6</t>
  </si>
  <si>
    <t>△2.9</t>
  </si>
  <si>
    <t>△2.5</t>
  </si>
  <si>
    <t>△15</t>
  </si>
  <si>
    <t>△86</t>
  </si>
  <si>
    <t>△0.9</t>
  </si>
  <si>
    <t>△4.3</t>
  </si>
  <si>
    <t>△1.3</t>
  </si>
  <si>
    <t>기타 국가들</t>
  </si>
  <si>
    <t>* 연구책임자 연령은 1월 1일 출생을 가정했을 때 연구수행년도의 만 나이 기준</t>
    <phoneticPr fontId="1" type="noConversion"/>
  </si>
  <si>
    <t>* 신진 연구자는 40세 미만 연구책임자로 산출</t>
    <phoneticPr fontId="1" type="noConversion"/>
  </si>
  <si>
    <t>* 연구책임자 연령은 1월 1일 출생한 것을 가정했을 때 연구수행년도의 만 나이 기준</t>
    <phoneticPr fontId="1" type="noConversion"/>
  </si>
  <si>
    <t>- 부처 직할 출연(연) : 특정 연구기관(한국과학기술원 등)을 포함한 부처 산하 국방과학연구소, 한국해양과학기술원 등 48개 기관</t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</si>
  <si>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- 경제</t>
    </r>
    <r>
      <rPr>
        <sz val="11"/>
        <color theme="1"/>
        <rFont val="MS Gothic"/>
        <family val="3"/>
        <charset val="128"/>
      </rPr>
      <t>･</t>
    </r>
    <r>
      <rPr>
        <sz val="11"/>
        <color theme="1"/>
        <rFont val="맑은 고딕"/>
        <family val="3"/>
        <charset val="129"/>
        <scheme val="minor"/>
      </rPr>
      <t>인문사회계 출연(연) : 경제인문사회연구회를 포함한 한국개발연구원, 국토연구원 등의 26개 기관</t>
    </r>
    <phoneticPr fontId="1" type="noConversion"/>
  </si>
  <si>
    <t>* 2018년부터 출연연 예산 편성 기준에 맞춰 출연연 ‘연구운영비지원’ 사업을 운영경비(인건비+경상경비)와 주요사업비(직접비)로 분리함에 따라 기존 과제 내 포함되어 있던 인건비, 경상경비가 ‘기타’로 분류되어 이전 연구개발단계 비중과 단순 비교 불가</t>
    <phoneticPr fontId="1" type="noConversion"/>
  </si>
  <si>
    <t>농림수산식품</t>
    <phoneticPr fontId="1" type="noConversion"/>
  </si>
  <si>
    <t>(270,066)</t>
    <phoneticPr fontId="1" type="noConversion"/>
  </si>
  <si>
    <t>(295,138)</t>
    <phoneticPr fontId="1" type="noConversion"/>
  </si>
  <si>
    <t>(213,721)</t>
    <phoneticPr fontId="1" type="noConversion"/>
  </si>
  <si>
    <t>61세 이상</t>
    <phoneticPr fontId="1" type="noConversion"/>
  </si>
  <si>
    <t>(’18년~’22년)</t>
    <phoneticPr fontId="1" type="noConversion"/>
  </si>
  <si>
    <t>2023년</t>
    <phoneticPr fontId="1" type="noConversion"/>
  </si>
  <si>
    <t>1-1. 국가연구개발사업의 총괄 집행 추이, 2019-2023</t>
  </si>
  <si>
    <t>1-1. 국가연구개발사업의 총괄 집행 추이, 2019-2023</t>
    <phoneticPr fontId="1" type="noConversion"/>
  </si>
  <si>
    <t>2023년도 국가연구개발사업 조사분석 통계표</t>
  </si>
  <si>
    <t>1-3. 연구수행주체별 집행 추이, 2019-2023</t>
  </si>
  <si>
    <t>1-4. 연구수행주체별 과제 당 연구비 추이, 2019-2023</t>
  </si>
  <si>
    <t>1-5. 출연연구소 유형별 국가연구개발사업 집행 추이, 2019-2023</t>
  </si>
  <si>
    <t>1-6. 세부과제지원유형별 연구개발단계별 집행 추이, 2020-2023</t>
  </si>
  <si>
    <t>1-7. 지역별 집행 추이, 2019-2023</t>
  </si>
  <si>
    <t>1-8. 국가과학기술표준분류 연구분야별 집행 추이, 2019-2023</t>
  </si>
  <si>
    <t>1-9. 국가과학기술표준분류 연구분야기준 단일 및 융합 분야 과제 집행 추이, 2019-2023</t>
  </si>
  <si>
    <t>1-11. 국가과학기술표준분류 적용분야별 집행 추이, 2019-2023</t>
  </si>
  <si>
    <t>1-12. 경제사회목적별 집행 추이, 2019-2023</t>
  </si>
  <si>
    <t>1-13. 미래유망신기술(6T)별 집행 추이, 2019-2023</t>
  </si>
  <si>
    <t>1-14. 연구비 규모별 세부과제 당 연구비 추이, 2019-2023</t>
  </si>
  <si>
    <t>1-15. 연구수행주체별 연구비 규모에 따른 세부과제 수 추이, 2019-2023</t>
  </si>
  <si>
    <t>1-16. 신규･계속과제의 과제 수와 과제당 연구비 추이, 2019-2023</t>
  </si>
  <si>
    <t>3-5. 연구수행주체별 비목별 집행 추이, 2019-2023</t>
  </si>
  <si>
    <t>4-6. 연구개발단계별 집행추이, 2019-2023</t>
  </si>
  <si>
    <t>6-1. 참여기관 유형별 공동･위탁연구 집행 추이, 2019-2023</t>
  </si>
  <si>
    <t>6-2. 주요 부처별 공동･위탁연구 집행 추이, 2019-2023</t>
  </si>
  <si>
    <t>6-3. 주요 부처별 국제 공동･위탁연구 집행 추이, 2019-2023</t>
  </si>
  <si>
    <t>6-5. 주요 국가별 국제 공동･위탁연구 추이, 2019-2023</t>
  </si>
  <si>
    <t>6-6. 유형별 국내 공동연구 추이, 2019-2023</t>
  </si>
  <si>
    <t>7-1. 성별 연구책임자 추이, 2019-2023</t>
  </si>
  <si>
    <t>7-2. 연령별 연구책임자 추이, 2019-2023</t>
  </si>
  <si>
    <t>7-3. 연구수행주체별 연구책임자의 성별 분포 추이, 2019-2023</t>
  </si>
  <si>
    <t>7-4. 성별 연구책임자 1인당 연구비 추이, 2019-2023</t>
  </si>
  <si>
    <t>7-5. 신진 연구자 1인당 연구비 추이, 2019-2023</t>
  </si>
  <si>
    <t>7-6. 연구수행주체별 연구책임자 1인당 연구비 추이, 2019-2023</t>
  </si>
  <si>
    <t>7-7. 연구비 규모별 연구책임자 수 비중 추이, 2019-2023</t>
  </si>
  <si>
    <t>7-9. 전공별 연구책임자 1인당 연구비 추이, 2019-2023</t>
  </si>
  <si>
    <t>7-10. 학위별 성별 연구책임자 분포 추이, 2019-2023</t>
  </si>
  <si>
    <t>(’19~’23)</t>
    <phoneticPr fontId="1" type="noConversion"/>
  </si>
  <si>
    <t>1-6. 세부과제지원유형별 연구개발단계별 집행 추이, 2021-2023</t>
    <phoneticPr fontId="1" type="noConversion"/>
  </si>
  <si>
    <t>1-2. 부처별 국가연구개발사업 집행 추이, 2022-2023</t>
    <phoneticPr fontId="1" type="noConversion"/>
  </si>
  <si>
    <t>△132</t>
  </si>
  <si>
    <t>△1.0</t>
  </si>
  <si>
    <t>△127</t>
  </si>
  <si>
    <t>△4.8</t>
  </si>
  <si>
    <t>△84</t>
  </si>
  <si>
    <t>△170</t>
  </si>
  <si>
    <t>△14.8</t>
  </si>
  <si>
    <t>조달청</t>
  </si>
  <si>
    <t>△98</t>
  </si>
  <si>
    <t>△16.7</t>
  </si>
  <si>
    <t>△0.4</t>
  </si>
  <si>
    <t>금액</t>
    <phoneticPr fontId="1" type="noConversion"/>
  </si>
  <si>
    <t>금액(A)</t>
    <phoneticPr fontId="1" type="noConversion"/>
  </si>
  <si>
    <t>1-3. 연구수행주체별 집행 추이, 2019-2023</t>
    <phoneticPr fontId="1" type="noConversion"/>
  </si>
  <si>
    <t>(A)</t>
    <phoneticPr fontId="1" type="noConversion"/>
  </si>
  <si>
    <t>△1464</t>
  </si>
  <si>
    <t>△3.4</t>
  </si>
  <si>
    <t>△119</t>
  </si>
  <si>
    <t>△1.1</t>
  </si>
  <si>
    <t>△6.2</t>
  </si>
  <si>
    <t>△2300</t>
  </si>
  <si>
    <t>△12.8</t>
  </si>
  <si>
    <t>반도체·디스플레이</t>
  </si>
  <si>
    <t>이차전지</t>
  </si>
  <si>
    <t>첨단 모빌리티</t>
  </si>
  <si>
    <t>차세대 원자력</t>
  </si>
  <si>
    <t>첨단바이오</t>
  </si>
  <si>
    <t>우주항공·해양</t>
  </si>
  <si>
    <t>수소</t>
  </si>
  <si>
    <t>사이버보안</t>
  </si>
  <si>
    <t>인공지능</t>
  </si>
  <si>
    <t>차세대 통신</t>
  </si>
  <si>
    <t>첨단로봇·제조</t>
  </si>
  <si>
    <t>양자</t>
  </si>
  <si>
    <t>위의 국가전략기술 분류에 속하지 않는 기타 연구</t>
  </si>
  <si>
    <t>1-10. 국가전략기술별 집행 추이, 2023</t>
    <phoneticPr fontId="1" type="noConversion"/>
  </si>
  <si>
    <t>△2.7</t>
  </si>
  <si>
    <t>△0.1</t>
  </si>
  <si>
    <t>△6.1</t>
  </si>
  <si>
    <t>△12.7</t>
  </si>
  <si>
    <t>△789</t>
  </si>
  <si>
    <t>△35</t>
  </si>
  <si>
    <t>△160</t>
  </si>
  <si>
    <t>△1.4</t>
  </si>
  <si>
    <t>△2</t>
  </si>
  <si>
    <t>△74</t>
  </si>
  <si>
    <t>△24.7</t>
  </si>
  <si>
    <t>△277</t>
  </si>
  <si>
    <t>△145</t>
  </si>
  <si>
    <t>△1696</t>
  </si>
  <si>
    <t>△14.1</t>
  </si>
  <si>
    <t>△906</t>
  </si>
  <si>
    <t>△118</t>
  </si>
  <si>
    <t>△182</t>
  </si>
  <si>
    <t>(’19년~’23년)</t>
    <phoneticPr fontId="1" type="noConversion"/>
  </si>
  <si>
    <r>
      <t>6-4. 국제 공동</t>
    </r>
    <r>
      <rPr>
        <sz val="12"/>
        <color theme="0"/>
        <rFont val="MS Gothic"/>
        <family val="3"/>
        <charset val="128"/>
      </rPr>
      <t>･</t>
    </r>
    <r>
      <rPr>
        <sz val="12"/>
        <color theme="0"/>
        <rFont val="맑은 고딕"/>
        <family val="3"/>
        <charset val="129"/>
        <scheme val="minor"/>
      </rPr>
      <t>위탁연구 참여국가 현황, 2022-2023</t>
    </r>
    <phoneticPr fontId="1" type="noConversion"/>
  </si>
  <si>
    <t>과제 당 연구비 연평균(’19~’23) 증가율</t>
    <phoneticPr fontId="1" type="noConversion"/>
  </si>
  <si>
    <t>* 비목별 집행현황은  인문사회 및 국방(비밀 세부과제 포함) 분야를 제외한 63,014개 세부과제, 정부연구비(24조 3,366억원)와 대응자금(현금)(1조 3,611억원) 합계(25조 6,978억원)의 비목별 비중을 산출</t>
    <phoneticPr fontId="1" type="noConversion"/>
  </si>
  <si>
    <t>대분류</t>
  </si>
  <si>
    <t>중분류</t>
  </si>
  <si>
    <t>국공립</t>
  </si>
  <si>
    <t>출연</t>
  </si>
  <si>
    <t>중견</t>
  </si>
  <si>
    <t>중소</t>
  </si>
  <si>
    <t>연구소</t>
  </si>
  <si>
    <t>대수학</t>
  </si>
  <si>
    <t>해석학</t>
  </si>
  <si>
    <t>위상수학</t>
  </si>
  <si>
    <t>기하학</t>
  </si>
  <si>
    <t>응용수학</t>
  </si>
  <si>
    <t>응용통계</t>
  </si>
  <si>
    <t>확률/확률과정</t>
  </si>
  <si>
    <t>기타 수학</t>
  </si>
  <si>
    <t>입자/장물리</t>
  </si>
  <si>
    <t>통계물리</t>
  </si>
  <si>
    <t>원자/분자물리</t>
  </si>
  <si>
    <t>천체물리</t>
  </si>
  <si>
    <t>복합물리</t>
  </si>
  <si>
    <t>기타 물리학</t>
  </si>
  <si>
    <t>물리화학</t>
  </si>
  <si>
    <t>유기화학</t>
  </si>
  <si>
    <t>무기화학</t>
  </si>
  <si>
    <t>분석화학</t>
  </si>
  <si>
    <t>고분자화학</t>
  </si>
  <si>
    <t>생화학</t>
  </si>
  <si>
    <t>광화학</t>
  </si>
  <si>
    <t>전기화학</t>
  </si>
  <si>
    <t>융합화학</t>
  </si>
  <si>
    <t>기타 화학</t>
  </si>
  <si>
    <t>지질과학</t>
  </si>
  <si>
    <t>지구물리학</t>
  </si>
  <si>
    <t>지구화학</t>
  </si>
  <si>
    <t>대기과학</t>
  </si>
  <si>
    <t>기상과학</t>
  </si>
  <si>
    <t>해양과학</t>
  </si>
  <si>
    <t>해양자원</t>
  </si>
  <si>
    <t>해양생명</t>
  </si>
  <si>
    <t>극지과학</t>
  </si>
  <si>
    <t>천문학</t>
  </si>
  <si>
    <t>우주과학</t>
  </si>
  <si>
    <t>천문우주관측기술</t>
  </si>
  <si>
    <t>기타 지구과학</t>
  </si>
  <si>
    <t>분자세포생물학</t>
  </si>
  <si>
    <t>발생/신경생물학</t>
  </si>
  <si>
    <t>분류/생태/환경생물학</t>
  </si>
  <si>
    <t>융합바이오</t>
  </si>
  <si>
    <t>생물공학</t>
  </si>
  <si>
    <t>산업바이오</t>
  </si>
  <si>
    <t>생물위해성</t>
  </si>
  <si>
    <t>기타 생명과학</t>
  </si>
  <si>
    <t>농림수산식품</t>
  </si>
  <si>
    <t>식량작물과학</t>
  </si>
  <si>
    <t>원예특용작물과학</t>
  </si>
  <si>
    <t>농화학</t>
  </si>
  <si>
    <t>농업환경생태</t>
  </si>
  <si>
    <t>동물자원과학</t>
  </si>
  <si>
    <t>수의과학</t>
  </si>
  <si>
    <t>농업인프라 공학</t>
  </si>
  <si>
    <t>산림자원학</t>
  </si>
  <si>
    <t>조경학</t>
  </si>
  <si>
    <t>임산공학</t>
  </si>
  <si>
    <t>수산양식</t>
  </si>
  <si>
    <t>수산자원/어장환경</t>
  </si>
  <si>
    <t>어업생산/이용가공</t>
  </si>
  <si>
    <t>식품과학</t>
  </si>
  <si>
    <t>식품영양과학</t>
  </si>
  <si>
    <t>기타 농림수산식품</t>
  </si>
  <si>
    <t>의생명과학</t>
  </si>
  <si>
    <t>임상의학</t>
  </si>
  <si>
    <t>한의과학</t>
  </si>
  <si>
    <t>보건학</t>
  </si>
  <si>
    <t>간호과학</t>
  </si>
  <si>
    <t>치의과학</t>
  </si>
  <si>
    <t>식품안전관리</t>
  </si>
  <si>
    <t>영양관리</t>
  </si>
  <si>
    <t>의약품안전관리</t>
  </si>
  <si>
    <t>기타 보건의료</t>
  </si>
  <si>
    <t>측정표준/시험평가기술</t>
  </si>
  <si>
    <t>생산기반기술</t>
  </si>
  <si>
    <t>요소부품</t>
  </si>
  <si>
    <t>정밀생산기계</t>
  </si>
  <si>
    <t>로봇/자동화기계</t>
  </si>
  <si>
    <t>나노/마이크로기계시스템</t>
  </si>
  <si>
    <t>에너지/환경기계시스템</t>
  </si>
  <si>
    <t>산업/일반기계</t>
  </si>
  <si>
    <t>자동차/철도차량</t>
  </si>
  <si>
    <t>조선/해양시스템</t>
  </si>
  <si>
    <t>항공시스템</t>
  </si>
  <si>
    <t>기타 기계</t>
  </si>
  <si>
    <t>금속재료</t>
  </si>
  <si>
    <t>세라믹재료</t>
  </si>
  <si>
    <t>고분자재료</t>
  </si>
  <si>
    <t>주조/용접/접합</t>
  </si>
  <si>
    <t>소성가공/분말</t>
  </si>
  <si>
    <t>열/표면처리</t>
  </si>
  <si>
    <t>국방소재</t>
  </si>
  <si>
    <t>기타 재료</t>
  </si>
  <si>
    <t>화학공정</t>
  </si>
  <si>
    <t>나노 화학공정기술</t>
  </si>
  <si>
    <t>고분자 공정기술</t>
  </si>
  <si>
    <t>생물화학 공정기술</t>
  </si>
  <si>
    <t>정밀화학</t>
  </si>
  <si>
    <t>화학제품</t>
  </si>
  <si>
    <t>섬유제조</t>
  </si>
  <si>
    <t>염색가공</t>
  </si>
  <si>
    <t>섬유제품</t>
  </si>
  <si>
    <t>화학공정 안전기술</t>
  </si>
  <si>
    <t>무기화생방/화력탄약</t>
  </si>
  <si>
    <t>기타 화공</t>
  </si>
  <si>
    <t>광응용기기</t>
  </si>
  <si>
    <t>반도체장비</t>
  </si>
  <si>
    <t>중전기기</t>
  </si>
  <si>
    <t>전기전자부품</t>
  </si>
  <si>
    <t>계측기기</t>
  </si>
  <si>
    <t>영상/음향기기</t>
  </si>
  <si>
    <t>전지</t>
  </si>
  <si>
    <t>디스플레이</t>
  </si>
  <si>
    <t>무기센서 및 제어</t>
  </si>
  <si>
    <t>기타 전기/전자</t>
  </si>
  <si>
    <t>소프트웨어</t>
  </si>
  <si>
    <t>정보보호</t>
  </si>
  <si>
    <t>위성/전파</t>
  </si>
  <si>
    <t>국방정보통신</t>
  </si>
  <si>
    <t>온실가스 처리</t>
  </si>
  <si>
    <t>자원탐사/개발/활용</t>
  </si>
  <si>
    <t>수화력발전</t>
  </si>
  <si>
    <t>신재생에너지</t>
  </si>
  <si>
    <t>가스에너지</t>
  </si>
  <si>
    <t>기타 에너지/자원</t>
  </si>
  <si>
    <t>원자로계통/핵심기기기술</t>
  </si>
  <si>
    <t>원자력안전기술</t>
  </si>
  <si>
    <t>핵연료/원자력소재</t>
  </si>
  <si>
    <t>방사선기술</t>
  </si>
  <si>
    <t>핵융합</t>
  </si>
  <si>
    <t>기타 원자력</t>
  </si>
  <si>
    <t>대기질 관리</t>
  </si>
  <si>
    <t>물관리</t>
  </si>
  <si>
    <t>토양/지하수 복원/관리</t>
  </si>
  <si>
    <t>생태계 복원/관리</t>
  </si>
  <si>
    <t>해양환경</t>
  </si>
  <si>
    <t>환경보건</t>
  </si>
  <si>
    <t>환경예측/감시/평가</t>
  </si>
  <si>
    <t>친환경 소재/제품</t>
  </si>
  <si>
    <t>친환경 공정</t>
  </si>
  <si>
    <t>측정분석장비/장치</t>
  </si>
  <si>
    <t>작업환경기술</t>
  </si>
  <si>
    <t>기타 환경</t>
  </si>
  <si>
    <t>국토공간개발기술</t>
  </si>
  <si>
    <t>도로교통기술</t>
  </si>
  <si>
    <t>철도교통기술</t>
  </si>
  <si>
    <t>항공교통기술</t>
  </si>
  <si>
    <t>수공시스템기술</t>
  </si>
  <si>
    <t>물류기술</t>
  </si>
  <si>
    <t>건설 환경설비 기술</t>
  </si>
  <si>
    <t>기타 건설/교통</t>
  </si>
  <si>
    <t>뇌과학</t>
  </si>
  <si>
    <t>뇌신경생물</t>
  </si>
  <si>
    <t>뇌인지</t>
  </si>
  <si>
    <t>뇌의약</t>
  </si>
  <si>
    <t>뇌공학</t>
  </si>
  <si>
    <t>기타 뇌과학</t>
  </si>
  <si>
    <t>인지과학</t>
  </si>
  <si>
    <t>감성과학</t>
  </si>
  <si>
    <t>기타 인지/감성과학</t>
  </si>
  <si>
    <t>과학기술사</t>
  </si>
  <si>
    <t>안전사회/재난관리</t>
  </si>
  <si>
    <t>이산/정보수학</t>
  </si>
  <si>
    <t>통계 방법론·계산</t>
  </si>
  <si>
    <t>통계이론</t>
  </si>
  <si>
    <t>광학·양자전자학</t>
  </si>
  <si>
    <t>유체·플라즈마물리</t>
  </si>
  <si>
    <t>응집물질물리</t>
  </si>
  <si>
    <t>핵물리</t>
  </si>
  <si>
    <t>재료화학</t>
  </si>
  <si>
    <t>기후과학</t>
  </si>
  <si>
    <t>자연재해 분석/예측</t>
  </si>
  <si>
    <t>면역학/생리학</t>
  </si>
  <si>
    <t>생화학/구조생물학</t>
  </si>
  <si>
    <t>유전학·유전체학</t>
  </si>
  <si>
    <t>농림수산식품경영/정보 등</t>
  </si>
  <si>
    <t>농생물학</t>
  </si>
  <si>
    <t>농수축산물 품질·안전 관리</t>
  </si>
  <si>
    <t>농업·식품 기계·설비</t>
  </si>
  <si>
    <t>식품조리/외식/식생활개선</t>
  </si>
  <si>
    <t>독성·안전성 평가·관리</t>
  </si>
  <si>
    <t>신약·의약품개발</t>
  </si>
  <si>
    <t>의료기기</t>
  </si>
  <si>
    <t>의료기기·S/W 안전관리</t>
  </si>
  <si>
    <t>의료정보/ 시스템</t>
  </si>
  <si>
    <t>국방기계</t>
  </si>
  <si>
    <t>우주시스템</t>
  </si>
  <si>
    <t>재난안전기계</t>
  </si>
  <si>
    <t>분석/물성 평가기술</t>
  </si>
  <si>
    <t>가정용기기/전자응용기기</t>
  </si>
  <si>
    <t>반도체 소자·회로</t>
  </si>
  <si>
    <t>기타 정보/통신</t>
  </si>
  <si>
    <t>디지털 방송·콘텐츠</t>
  </si>
  <si>
    <t>무선 통신·네트워크</t>
  </si>
  <si>
    <t>유선 통신·네트워크</t>
  </si>
  <si>
    <t>재난정보통신</t>
  </si>
  <si>
    <t>정보이론</t>
  </si>
  <si>
    <t>정보통신 모듈/부품</t>
  </si>
  <si>
    <t>정보통신 융합 디바이스</t>
  </si>
  <si>
    <t>정보통신 융합 서비스</t>
  </si>
  <si>
    <t>스마트그리드</t>
  </si>
  <si>
    <t>전력시스템</t>
  </si>
  <si>
    <t>원자력 기반기술</t>
  </si>
  <si>
    <t>원자력계측/제어기술</t>
  </si>
  <si>
    <t>원자력시설 건설·운영·해체</t>
  </si>
  <si>
    <t>원자로노심기술</t>
  </si>
  <si>
    <t>핵연료주기/방사성폐기물관리기술</t>
  </si>
  <si>
    <t>소음/진동관리</t>
  </si>
  <si>
    <t>위해성평가/관리</t>
  </si>
  <si>
    <t>청정생산/설비</t>
  </si>
  <si>
    <t>폐기물 관리/자원순환</t>
  </si>
  <si>
    <t>건설시공/재료</t>
  </si>
  <si>
    <t>국토정책/계획</t>
  </si>
  <si>
    <t>시설물 설계/해석기술</t>
  </si>
  <si>
    <t>시설물 안전/유지관리 기술</t>
  </si>
  <si>
    <t>해양교통기술</t>
  </si>
  <si>
    <t>과학기술정책·사회</t>
  </si>
  <si>
    <t>과학기술철학</t>
  </si>
  <si>
    <t>기타 과학기술과인문사회</t>
  </si>
  <si>
    <t>생명·의료 윤리</t>
  </si>
  <si>
    <t>기타 인문학</t>
  </si>
  <si>
    <t>독일어와 문학</t>
  </si>
  <si>
    <t>문학</t>
  </si>
  <si>
    <t>서양고전어와 문학</t>
  </si>
  <si>
    <t>언어학</t>
  </si>
  <si>
    <t>역사학</t>
  </si>
  <si>
    <t>영어와 문학</t>
  </si>
  <si>
    <t>일본어와 문학</t>
  </si>
  <si>
    <t>종교학</t>
  </si>
  <si>
    <t>중국어와 문학</t>
  </si>
  <si>
    <t>철학</t>
  </si>
  <si>
    <t>통역번역학</t>
  </si>
  <si>
    <t>한국어와 문학</t>
  </si>
  <si>
    <t>경영학</t>
  </si>
  <si>
    <t>경제학</t>
  </si>
  <si>
    <t>관광학</t>
  </si>
  <si>
    <t>교육학</t>
  </si>
  <si>
    <t>국제·지역개발</t>
  </si>
  <si>
    <t>군사학</t>
  </si>
  <si>
    <t>기타 사회과학</t>
  </si>
  <si>
    <t>농업경제학</t>
  </si>
  <si>
    <t>무역학</t>
  </si>
  <si>
    <t>문헌정보학</t>
  </si>
  <si>
    <t>법학</t>
  </si>
  <si>
    <t>사회복지학</t>
  </si>
  <si>
    <t>사회학</t>
  </si>
  <si>
    <t>생활과학</t>
  </si>
  <si>
    <t>신문방송학</t>
  </si>
  <si>
    <t>심리과학</t>
  </si>
  <si>
    <t>여성학</t>
  </si>
  <si>
    <t>인류학</t>
  </si>
  <si>
    <t>정치외교학</t>
  </si>
  <si>
    <t>지리학</t>
  </si>
  <si>
    <t>지역학</t>
  </si>
  <si>
    <t>행정학·정책학</t>
  </si>
  <si>
    <t>회계학</t>
  </si>
  <si>
    <t>게임</t>
  </si>
  <si>
    <t>기타 문화예술체육학</t>
  </si>
  <si>
    <t>디자인</t>
  </si>
  <si>
    <t>무용</t>
  </si>
  <si>
    <t>문화유산</t>
  </si>
  <si>
    <t>미술</t>
  </si>
  <si>
    <t>미용</t>
  </si>
  <si>
    <t>연극</t>
  </si>
  <si>
    <t>영화</t>
  </si>
  <si>
    <t>음악학</t>
  </si>
  <si>
    <t>의상</t>
  </si>
  <si>
    <t>체육</t>
  </si>
  <si>
    <t>콘텐츠</t>
  </si>
  <si>
    <t>지구과학(지구/대기/해양/천문)</t>
  </si>
  <si>
    <t>인지/감성과학</t>
  </si>
  <si>
    <t>인문학</t>
  </si>
  <si>
    <t>사회과학</t>
  </si>
  <si>
    <t>문화예술체육학</t>
  </si>
  <si>
    <t>3-1. 연구수행주체별 국가과학기술표준분류 연구분야별 상세분류 집행 현황(2023년)</t>
    <phoneticPr fontId="1" type="noConversion"/>
  </si>
  <si>
    <t xml:space="preserve">(전체금액 </t>
    <phoneticPr fontId="1" type="noConversion"/>
  </si>
  <si>
    <t>(전략기술</t>
    <phoneticPr fontId="1" type="noConversion"/>
  </si>
  <si>
    <t>금액대비)</t>
    <phoneticPr fontId="1" type="noConversion"/>
  </si>
  <si>
    <r>
      <t>* 공동</t>
    </r>
    <r>
      <rPr>
        <sz val="11"/>
        <color theme="1"/>
        <rFont val="MS Gothic"/>
        <family val="3"/>
        <charset val="128"/>
      </rPr>
      <t>･</t>
    </r>
    <r>
      <rPr>
        <sz val="11"/>
        <color theme="1"/>
        <rFont val="맑은 고딕"/>
        <family val="3"/>
        <charset val="129"/>
        <scheme val="minor"/>
      </rPr>
      <t>위탁연구 분석은 인문사회 분야를 제외한 과학기술 분야와 국방(국방 비밀 포함) 분야의 연구개발사업이 분석대상(2023년의 경우에는 63,876개 세부과제, 28조 9875억원)임</t>
    </r>
    <phoneticPr fontId="1" type="noConversion"/>
  </si>
  <si>
    <t>△171</t>
  </si>
  <si>
    <t>△0.7</t>
  </si>
  <si>
    <t>* 지역별 집행현황 분석은 지역 구분이 수도권, 대전, 지방으로 분류가 가능한 세부과제가 분석대상이며 2023년도에는 29조 9,565억원이 대상금액(지역 구분이 해외 또는 기타인 경우는 제외)</t>
    <phoneticPr fontId="1" type="noConversion"/>
  </si>
  <si>
    <t>과제 당 연구비
(A)</t>
    <phoneticPr fontId="1" type="noConversion"/>
  </si>
  <si>
    <t>△1.2</t>
  </si>
  <si>
    <t>* 한 연구책임자가 2개 이상의 세부과제를 수행한 경우 해당 정부연구비를 모두 합산해서 연구비 규모별 인원수와 비중 산출</t>
    <phoneticPr fontId="1" type="noConversion"/>
  </si>
  <si>
    <t>합계*</t>
  </si>
  <si>
    <t>100.0</t>
  </si>
  <si>
    <t>합계</t>
    <phoneticPr fontId="1" type="noConversion"/>
  </si>
  <si>
    <t>* 연구개발단계에서 기타를 제외한 금액</t>
  </si>
  <si>
    <t>* 연구개발단계에서 기타는 연구장비, 시설 등 연구개발단계 분류가 불가능한 경우에 해당</t>
  </si>
  <si>
    <t>과학기술정보통신부</t>
    <phoneticPr fontId="1" type="noConversion"/>
  </si>
  <si>
    <t>국무조정실</t>
    <phoneticPr fontId="1" type="noConversion"/>
  </si>
  <si>
    <t>△163</t>
  </si>
  <si>
    <t>△11</t>
  </si>
  <si>
    <t>국토교통부</t>
    <phoneticPr fontId="1" type="noConversion"/>
  </si>
  <si>
    <t>△6</t>
  </si>
  <si>
    <t>△368</t>
  </si>
  <si>
    <t>△29</t>
  </si>
  <si>
    <t>농촌진흥청</t>
    <phoneticPr fontId="1" type="noConversion"/>
  </si>
  <si>
    <t>방위사업청</t>
    <phoneticPr fontId="1" type="noConversion"/>
  </si>
  <si>
    <t>보건복지부</t>
    <phoneticPr fontId="1" type="noConversion"/>
  </si>
  <si>
    <t>△28</t>
  </si>
  <si>
    <t>△10.7</t>
  </si>
  <si>
    <t>△7</t>
  </si>
  <si>
    <t>식품의약품안전처</t>
    <phoneticPr fontId="1" type="noConversion"/>
  </si>
  <si>
    <t>△14</t>
  </si>
  <si>
    <t>원자력안전위원회</t>
    <phoneticPr fontId="1" type="noConversion"/>
  </si>
  <si>
    <t>△9.2</t>
  </si>
  <si>
    <t>△3</t>
  </si>
  <si>
    <t>△0.8</t>
  </si>
  <si>
    <t>△0.5</t>
  </si>
  <si>
    <t>해양수산부</t>
    <phoneticPr fontId="1" type="noConversion"/>
  </si>
  <si>
    <t>△9</t>
  </si>
  <si>
    <t>* 출연연구소는 국가과학기술연구회 소속 출연연, 경제인문사회연구회 소속 출연연, 연구관리 전문기관, 기타 출연연 등의 R&amp;D 관련 출연연구기관을 포함</t>
  </si>
  <si>
    <t>△24</t>
  </si>
  <si>
    <t>△8.4</t>
  </si>
  <si>
    <t>△125</t>
  </si>
  <si>
    <t>△14.2</t>
  </si>
  <si>
    <t>농림축산식품부</t>
    <phoneticPr fontId="1" type="noConversion"/>
  </si>
  <si>
    <t>△1</t>
  </si>
  <si>
    <t>△4</t>
  </si>
  <si>
    <t>문화재청</t>
    <phoneticPr fontId="1" type="noConversion"/>
  </si>
  <si>
    <t>문화체육관광부</t>
    <phoneticPr fontId="1" type="noConversion"/>
  </si>
  <si>
    <t>△8</t>
  </si>
  <si>
    <t>△34</t>
  </si>
  <si>
    <t>△5</t>
  </si>
  <si>
    <t>△20</t>
  </si>
  <si>
    <t>△10.5</t>
  </si>
  <si>
    <t>△60.4</t>
  </si>
  <si>
    <t>△80</t>
  </si>
  <si>
    <t>△10</t>
  </si>
  <si>
    <t>대전</t>
  </si>
  <si>
    <t>지방*</t>
  </si>
  <si>
    <t>△162</t>
  </si>
  <si>
    <t>△6.4</t>
  </si>
  <si>
    <t>△21</t>
  </si>
  <si>
    <t>△5.5</t>
  </si>
  <si>
    <t>△13.4</t>
  </si>
  <si>
    <t>△16.3</t>
  </si>
  <si>
    <t>기타 부처**</t>
  </si>
  <si>
    <t>* 지방은 지방 중 대전을 제외한 지역</t>
  </si>
  <si>
    <t>(단위 : 억원)</t>
  </si>
  <si>
    <t>적용분야</t>
    <phoneticPr fontId="1" type="noConversion"/>
  </si>
  <si>
    <t>지식의 진보(비목적 연구)</t>
    <phoneticPr fontId="1" type="noConversion"/>
  </si>
  <si>
    <t>제조업(음식료품 및 담배)</t>
    <phoneticPr fontId="1" type="noConversion"/>
  </si>
  <si>
    <t>제조업(의료, 정밀, 광학기기 및 시계)</t>
  </si>
  <si>
    <t>제조업(전기 및 기계장비)</t>
    <phoneticPr fontId="1" type="noConversion"/>
  </si>
  <si>
    <t>제조업(자동차 및 운송장비)</t>
    <phoneticPr fontId="1" type="noConversion"/>
  </si>
  <si>
    <t>하수, 폐기물처리, 원료재생 및 환경복원업</t>
  </si>
  <si>
    <t>예술, 스포츠 및 여가관련 서비스업</t>
  </si>
  <si>
    <t>* 과학기술표준분류 개편(’12)에 따라 적용분야의 일부 분류 명칭 변경(‘건강증진 및 보건’→‘건강’, ‘에너지의 생산, 배분 및 합리적이용’→‘에너지’, ‘하부구조 및 토지의 계획적 사용’→‘교통/ 정보통신/기타 기반시설’, ‘환경보전’→‘환경’, ‘문화 및 여가증진’→‘문화, 여가증진, 종교 및 매스미디어’), ‘교육 및 인력양성’ 분류 신설)</t>
  </si>
  <si>
    <t>소분류</t>
  </si>
  <si>
    <t>IT(정보기술)</t>
    <phoneticPr fontId="1" type="noConversion"/>
  </si>
  <si>
    <t>핵심부품</t>
  </si>
  <si>
    <t>테라비트급 광통신 부품기술</t>
  </si>
  <si>
    <t>집적회로기술</t>
  </si>
  <si>
    <t>차세대디스플레이기술</t>
  </si>
  <si>
    <t>고밀도 정보저장장치 기술</t>
  </si>
  <si>
    <t>기타 정보통신 부품기술</t>
  </si>
  <si>
    <t>차세대 네트워크 기반</t>
  </si>
  <si>
    <t>4세대 이동통신</t>
  </si>
  <si>
    <t>대용량 광전송 시스템기술</t>
  </si>
  <si>
    <t>고속인터넷 네트워킹기술</t>
  </si>
  <si>
    <t>기타 네트워크기술</t>
  </si>
  <si>
    <t>정보처리 시스템 및 S/W</t>
  </si>
  <si>
    <t>멀티미디어 단말기 및 운영체계기술</t>
  </si>
  <si>
    <t>정보보안 및 암호기술</t>
  </si>
  <si>
    <t>전자상거래 기술</t>
  </si>
  <si>
    <t>신호처리기술(영상･음성처리･인식･합성)</t>
  </si>
  <si>
    <t>정보검색 및 DB기술</t>
  </si>
  <si>
    <t>기타 정보처리시스템 및 S/W 기술</t>
  </si>
  <si>
    <t>기타 정보기술</t>
  </si>
  <si>
    <t>BT(생명공학기술)</t>
    <phoneticPr fontId="1" type="noConversion"/>
  </si>
  <si>
    <t>기초/기반기술</t>
    <phoneticPr fontId="1" type="noConversion"/>
  </si>
  <si>
    <t>유전체기반 기술</t>
  </si>
  <si>
    <t>단백질체 연구</t>
  </si>
  <si>
    <t>생물정보학 기술</t>
  </si>
  <si>
    <t>생명현상 및 기능연구</t>
  </si>
  <si>
    <t>뇌신경과학 연구</t>
  </si>
  <si>
    <t>생물공정 기술</t>
  </si>
  <si>
    <t>생명공학 산물 안전성 및 유효성 평가기술</t>
  </si>
  <si>
    <t>바이오칩 개발기술</t>
  </si>
  <si>
    <t>기타 기초･기반기술</t>
  </si>
  <si>
    <t>보건의료 관련응용</t>
  </si>
  <si>
    <t>바이오신약 개발기술</t>
  </si>
  <si>
    <t>난치성 질환 치료기술</t>
  </si>
  <si>
    <t>생체조직 재생기술</t>
  </si>
  <si>
    <t>유전자 치료기술</t>
  </si>
  <si>
    <t>기능성 바이오소재 기반기술</t>
  </si>
  <si>
    <t>한방응용기술</t>
  </si>
  <si>
    <t>의과학･의공학 기술</t>
  </si>
  <si>
    <t>식품생명공학기술</t>
  </si>
  <si>
    <t>기타 보건의료관련 응용기술</t>
  </si>
  <si>
    <t>농업/해양/환경 관련응용</t>
  </si>
  <si>
    <t>유전자 변형 생물체 개발기술</t>
  </si>
  <si>
    <t>농업･해양 생물자원의 보존 및 이용기술</t>
  </si>
  <si>
    <t>동식물 병해충 제어기술</t>
  </si>
  <si>
    <t>환경 생명공학기술</t>
  </si>
  <si>
    <t>기타 농업･해양･환경 응용기술</t>
  </si>
  <si>
    <t>NT(나노기술)</t>
    <phoneticPr fontId="1" type="noConversion"/>
  </si>
  <si>
    <t>나노소자 및 시스템</t>
  </si>
  <si>
    <t>나노전자 소자기술</t>
  </si>
  <si>
    <t>나노정보 저장기술</t>
  </si>
  <si>
    <t>가변 파장 광소자기술</t>
  </si>
  <si>
    <t>나노 photonics기술</t>
  </si>
  <si>
    <t>기타 나노소자 및 시스템기술</t>
  </si>
  <si>
    <t>나노소재</t>
  </si>
  <si>
    <t>나노소재기술(나노분말소재, 광학용 나노소재, 고기능 시너지 소재, 촉매･환경･기능소재에 중점)</t>
  </si>
  <si>
    <t>기타 나노소재기술</t>
  </si>
  <si>
    <t>나노 바이오보건</t>
  </si>
  <si>
    <t>나노 바이오 물질 합성 및 분석기술</t>
  </si>
  <si>
    <t>의약 약물전달 시스템</t>
  </si>
  <si>
    <t>기타 나노바이오보건기술</t>
  </si>
  <si>
    <t>나노기반/공정</t>
  </si>
  <si>
    <t>원자･분자 레벨 물질 조작기술</t>
  </si>
  <si>
    <t>나노 측정기술(100 nm이하)</t>
    <phoneticPr fontId="1" type="noConversion"/>
  </si>
  <si>
    <t>나노모사기술</t>
  </si>
  <si>
    <t>계면 혹은 표면의 나노구조화기술</t>
  </si>
  <si>
    <t>나노 신기능 분자합성기술</t>
  </si>
  <si>
    <t>나노패터닝 공정기술</t>
  </si>
  <si>
    <t>나노화학 공정기술</t>
  </si>
  <si>
    <t>기타 나노기반 공정기술</t>
  </si>
  <si>
    <t>ST(우주항공기술)</t>
    <phoneticPr fontId="1" type="noConversion"/>
  </si>
  <si>
    <t>위성기술</t>
  </si>
  <si>
    <t>위성설계 및 개발기술</t>
  </si>
  <si>
    <t>위성관제기술</t>
  </si>
  <si>
    <t>차세대 통신위성 탑재체기술</t>
  </si>
  <si>
    <t>기타 위성기술</t>
  </si>
  <si>
    <t>발사체기술</t>
  </si>
  <si>
    <t>로켓추진 기관기술</t>
  </si>
  <si>
    <t>소형위성 발사체개발기술</t>
  </si>
  <si>
    <t>발사운용, 통제 및 관제기술</t>
  </si>
  <si>
    <t>기타 발사체기술</t>
  </si>
  <si>
    <t>항공기기술</t>
  </si>
  <si>
    <t>항공기 체계종합 및 비행성능기반기술</t>
  </si>
  <si>
    <t>지능형 자율비행 무인비행기기 시스템(UAV)기술</t>
  </si>
  <si>
    <t>다목적 헬리콥터기술개발</t>
  </si>
  <si>
    <t>기타항공기기술</t>
  </si>
  <si>
    <t>기타 우주항공기술</t>
  </si>
  <si>
    <t>ET(환경기술)</t>
    <phoneticPr fontId="1" type="noConversion"/>
  </si>
  <si>
    <t>환경기반</t>
  </si>
  <si>
    <t>대기오염물질 저감 및 제거기술</t>
  </si>
  <si>
    <t>자연환경･오염토양･지하수의 정화･복원기술</t>
  </si>
  <si>
    <t>수질오염처리 및 재이용기술</t>
  </si>
  <si>
    <t>폐기물 처리 및 활용기술</t>
  </si>
  <si>
    <t>환경관리･정보 및 시스템기술</t>
  </si>
  <si>
    <t>기타 환경기반기술</t>
  </si>
  <si>
    <t>에너지소재 기술</t>
  </si>
  <si>
    <t>미활용 에너지 이용기술</t>
  </si>
  <si>
    <t>고효율 반응분리공정기술</t>
  </si>
  <si>
    <t>연료전지기술</t>
  </si>
  <si>
    <t>수소생산 이용기술</t>
  </si>
  <si>
    <t>바이오에너지 기술</t>
  </si>
  <si>
    <t>에너지저장 이용기술</t>
  </si>
  <si>
    <t>기타 에너지기술</t>
  </si>
  <si>
    <t>청정생산</t>
  </si>
  <si>
    <t>청정원천공정 기술</t>
  </si>
  <si>
    <t>환경친화형소재(Eco-material)개발기술</t>
    <phoneticPr fontId="1" type="noConversion"/>
  </si>
  <si>
    <t>유해성 원부재료 대체기술</t>
  </si>
  <si>
    <t>공정내재자원화(Internal Recycle) 기술</t>
    <phoneticPr fontId="1" type="noConversion"/>
  </si>
  <si>
    <t>기타 청정생산기술</t>
  </si>
  <si>
    <t>해양환경 관리기술</t>
  </si>
  <si>
    <t>연안생태계 복원기술</t>
  </si>
  <si>
    <t>기타 해양환경기술</t>
  </si>
  <si>
    <t>CT(문화기술)</t>
    <phoneticPr fontId="1" type="noConversion"/>
  </si>
  <si>
    <t>문화컨텐츠</t>
  </si>
  <si>
    <t>가상현실 및 인공지능 응용기술</t>
    <phoneticPr fontId="1" type="noConversion"/>
  </si>
  <si>
    <t>디지털영상･음향 및 디자인기술</t>
  </si>
  <si>
    <t>디지털 컨텐츠 저작도구</t>
  </si>
  <si>
    <t>게임엔진 제작 및 기반기술</t>
  </si>
  <si>
    <t>기타 문화컨텐츠기술</t>
  </si>
  <si>
    <t>생활문화</t>
  </si>
  <si>
    <t>사이버 커뮤니케이션 기술</t>
  </si>
  <si>
    <t>인터엑티브 미디어기술</t>
  </si>
  <si>
    <t>제품디자인기술</t>
  </si>
  <si>
    <t>기타 생활문화기술</t>
  </si>
  <si>
    <t>문화원형 복원기술</t>
  </si>
  <si>
    <t>기타 문화유산기술</t>
  </si>
  <si>
    <t>위의 미래유망신기술(6T) 103개 세분류에 속하지 않는 기타 연구</t>
  </si>
  <si>
    <t xml:space="preserve">기타 부처 </t>
  </si>
  <si>
    <t>신호처리기술 (영상･음성처리･인식･합성)</t>
  </si>
  <si>
    <t>기타 정보처리시스템 및 S/W 기술</t>
    <phoneticPr fontId="1" type="noConversion"/>
  </si>
  <si>
    <t>나노기반/공정</t>
    <phoneticPr fontId="1" type="noConversion"/>
  </si>
  <si>
    <t>나노 측정기술(100nm이하)</t>
  </si>
  <si>
    <t>기타 항공기기술</t>
  </si>
  <si>
    <t>환경친화형소재 (Eco-material)개발기술</t>
    <phoneticPr fontId="1" type="noConversion"/>
  </si>
  <si>
    <t>공정내재자원화 (Internal Recycle) 기술</t>
    <phoneticPr fontId="1" type="noConversion"/>
  </si>
  <si>
    <t>가상현실 및 인공지능 응용기술</t>
  </si>
  <si>
    <t>중견기업</t>
    <phoneticPr fontId="1" type="noConversion"/>
  </si>
  <si>
    <t>공공분야</t>
  </si>
  <si>
    <t>산업분야</t>
  </si>
  <si>
    <t>IT(정보기술)</t>
    <phoneticPr fontId="26" type="noConversion"/>
  </si>
  <si>
    <t>차세대 네트워크 기반</t>
    <phoneticPr fontId="26" type="noConversion"/>
  </si>
  <si>
    <t>BT(생명공학기술)</t>
    <phoneticPr fontId="26" type="noConversion"/>
  </si>
  <si>
    <t>기초/기반기술</t>
  </si>
  <si>
    <t>NT(나노기술)</t>
    <phoneticPr fontId="26" type="noConversion"/>
  </si>
  <si>
    <t>ST(우주항공기술)</t>
    <phoneticPr fontId="26" type="noConversion"/>
  </si>
  <si>
    <t>ET(환경기술)</t>
    <phoneticPr fontId="26" type="noConversion"/>
  </si>
  <si>
    <t>환경친화형소재(Eco-material)개발기술</t>
  </si>
  <si>
    <t>공정내재자원화(Internal Recycle) 기술</t>
  </si>
  <si>
    <t>CT(문화기술)</t>
    <phoneticPr fontId="26" type="noConversion"/>
  </si>
  <si>
    <t>지방(대전 제외)</t>
  </si>
  <si>
    <t>* 출연연구소는 국가과학기술연구회 소속 출연연, 경제인문사회연구회 소속 출연연, 연구관리 전문기관, 기타 출연연 등의 R&amp;D 관련 출연연구기관을 포함</t>
    <phoneticPr fontId="26" type="noConversion"/>
  </si>
  <si>
    <t>(단위 : 억원,%)</t>
  </si>
  <si>
    <t>매칭펀드 유형</t>
  </si>
  <si>
    <t>지방정부</t>
  </si>
  <si>
    <t>대기업**</t>
  </si>
  <si>
    <t>중견기업**</t>
  </si>
  <si>
    <t>현금</t>
  </si>
  <si>
    <t>현물*</t>
  </si>
  <si>
    <t>지방(대전 제외)</t>
    <phoneticPr fontId="26" type="noConversion"/>
  </si>
  <si>
    <t>제주특별자치도</t>
    <phoneticPr fontId="26" type="noConversion"/>
  </si>
  <si>
    <t>세종특별자치시***</t>
    <phoneticPr fontId="26" type="noConversion"/>
  </si>
  <si>
    <t>* 비중은 매칭펀드 현금과 현물 각각의 가로 합계 대비 비중</t>
  </si>
  <si>
    <t>* 2011년까지는 매칭펀드 중 현금만 분석(매칭펀드 중 현물은 조사대상에서 제외)하였으나, 2012년부터는 매칭펀드 현물까지 분석대상에 포함</t>
  </si>
  <si>
    <t>** 대응자금의 연구수행주체별 구분은 ’11년~’12년까지 ‘대기업’, ’13년~’14년까지 ‘대기업 및 중견기업’, ’15년부터 ‘대기업’과 ‘중견기업’을 구분</t>
  </si>
  <si>
    <t>*** ’13년 지역분류에 “세종특별자치시” 추가됨.</t>
  </si>
  <si>
    <t>서울</t>
  </si>
  <si>
    <t>인천</t>
  </si>
  <si>
    <t>경기</t>
  </si>
  <si>
    <t>부산</t>
  </si>
  <si>
    <t>대구</t>
  </si>
  <si>
    <t>광주</t>
  </si>
  <si>
    <t>울산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</si>
  <si>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</si>
  <si>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</si>
  <si>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</si>
  <si>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</si>
  <si>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</si>
  <si>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</si>
  <si>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</si>
  <si>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</si>
  <si>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</si>
  <si>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공공분야</t>
    <phoneticPr fontId="26" type="noConversion"/>
  </si>
  <si>
    <t>산업분야</t>
    <phoneticPr fontId="26" type="noConversion"/>
  </si>
  <si>
    <t>제조업(전자부품, 컴퓨터, 영상, 음향 및 통신장비)</t>
    <phoneticPr fontId="26" type="noConversion"/>
  </si>
  <si>
    <t>하수, 폐기물처리, 원료재생 및 환경복원업</t>
    <phoneticPr fontId="26" type="noConversion"/>
  </si>
  <si>
    <t>고밀도 정보저장장치 기술</t>
    <phoneticPr fontId="26" type="noConversion"/>
  </si>
  <si>
    <t>기타 정보처리시스템 및 S/W 기술</t>
    <phoneticPr fontId="26" type="noConversion"/>
  </si>
  <si>
    <t>기초/기반기술</t>
    <phoneticPr fontId="26" type="noConversion"/>
  </si>
  <si>
    <t>농업/해양/환경 관련응용</t>
    <phoneticPr fontId="26" type="noConversion"/>
  </si>
  <si>
    <t>나노소재기술(나노분말 소재, 광학용 나노소재, 고기능 시너지 소재, 촉매･환경･기능소재에 중점)</t>
  </si>
  <si>
    <t>나노기반/공정</t>
    <phoneticPr fontId="26" type="noConversion"/>
  </si>
  <si>
    <t>환경친화형소재 (Eco-material)개발기술</t>
  </si>
  <si>
    <t>공정내재자원화 (Internal Recycle) 기술</t>
    <phoneticPr fontId="26" type="noConversion"/>
  </si>
  <si>
    <t>위의 미래유망신기술(6T) 103개 세분류에 속하지 않는 기타 연구</t>
    <phoneticPr fontId="26" type="noConversion"/>
  </si>
  <si>
    <r>
      <t>6-7. 협력유형별 공동</t>
    </r>
    <r>
      <rPr>
        <sz val="12"/>
        <color theme="0"/>
        <rFont val="MS Gothic"/>
        <family val="3"/>
        <charset val="128"/>
      </rPr>
      <t>･</t>
    </r>
    <r>
      <rPr>
        <sz val="12"/>
        <color theme="0"/>
        <rFont val="맑은 고딕"/>
        <family val="3"/>
        <charset val="129"/>
        <scheme val="minor"/>
      </rPr>
      <t>위탁연구 집행 추이, 2018-2022</t>
    </r>
    <phoneticPr fontId="1" type="noConversion"/>
  </si>
  <si>
    <t>정부연구비</t>
  </si>
  <si>
    <t xml:space="preserve">과제당 </t>
  </si>
  <si>
    <t>산･산</t>
  </si>
  <si>
    <t>산･학</t>
  </si>
  <si>
    <t>산･연</t>
  </si>
  <si>
    <t>산･기타</t>
  </si>
  <si>
    <t>학･학</t>
  </si>
  <si>
    <t>학･연</t>
  </si>
  <si>
    <t>학･기타</t>
  </si>
  <si>
    <t>연･연</t>
  </si>
  <si>
    <t>연･기타</t>
  </si>
  <si>
    <t>산･학･연</t>
  </si>
  <si>
    <t>협력없음</t>
  </si>
  <si>
    <t>2-1. 주요부처별 연구개발단계별 집행 추이, 2019-2023</t>
    <phoneticPr fontId="1" type="noConversion"/>
  </si>
  <si>
    <t>2-2. 부처별 연구개발단계별 집행 추이, 2019-2023</t>
    <phoneticPr fontId="1" type="noConversion"/>
  </si>
  <si>
    <t>△4.7</t>
  </si>
  <si>
    <t>△46</t>
  </si>
  <si>
    <t>△68.2</t>
  </si>
  <si>
    <t>△77</t>
  </si>
  <si>
    <t>△34.2</t>
  </si>
  <si>
    <t>△79</t>
  </si>
  <si>
    <t>△58.1</t>
  </si>
  <si>
    <t>△147</t>
  </si>
  <si>
    <t>△11.1</t>
  </si>
  <si>
    <t>△144</t>
  </si>
  <si>
    <t>△6.6</t>
  </si>
  <si>
    <t>△502</t>
  </si>
  <si>
    <t>△15.9</t>
  </si>
  <si>
    <t>△228</t>
  </si>
  <si>
    <t>△325</t>
  </si>
  <si>
    <t>△411</t>
  </si>
  <si>
    <t>△62.7</t>
  </si>
  <si>
    <t>△729</t>
  </si>
  <si>
    <t>△59.8</t>
  </si>
  <si>
    <t>△67</t>
  </si>
  <si>
    <t>△16.9</t>
  </si>
  <si>
    <t>△9.7</t>
  </si>
  <si>
    <t>△332</t>
  </si>
  <si>
    <t>△61.5</t>
  </si>
  <si>
    <t>△206</t>
  </si>
  <si>
    <t>△18.2</t>
  </si>
  <si>
    <t>△302</t>
  </si>
  <si>
    <t>△8.0</t>
  </si>
  <si>
    <t>△27</t>
  </si>
  <si>
    <t>△4.9</t>
  </si>
  <si>
    <t>△15.1</t>
  </si>
  <si>
    <t>△3.6</t>
  </si>
  <si>
    <t>△66</t>
  </si>
  <si>
    <t>△17.3</t>
  </si>
  <si>
    <t>△120</t>
  </si>
  <si>
    <t>△198</t>
  </si>
  <si>
    <t>△17</t>
  </si>
  <si>
    <t>△2,738</t>
    <phoneticPr fontId="1" type="noConversion"/>
  </si>
  <si>
    <t>△1,447</t>
    <phoneticPr fontId="1" type="noConversion"/>
  </si>
  <si>
    <t>2-3. 주요부처별 연구수행주체별 집행 추이, 2019-2023</t>
    <phoneticPr fontId="1" type="noConversion"/>
  </si>
  <si>
    <t>2-4. 부처별 연구수행주체별 집행 추이, 2019-2023</t>
    <phoneticPr fontId="1" type="noConversion"/>
  </si>
  <si>
    <t>△1.7</t>
  </si>
  <si>
    <t>△131</t>
  </si>
  <si>
    <t>△100.0</t>
  </si>
  <si>
    <t>△35.2</t>
  </si>
  <si>
    <t>△46.3</t>
  </si>
  <si>
    <t>△13</t>
  </si>
  <si>
    <t>△2.0</t>
  </si>
  <si>
    <t>△10.9</t>
  </si>
  <si>
    <t>△13.9</t>
  </si>
  <si>
    <t>△37</t>
  </si>
  <si>
    <t>△10.1</t>
  </si>
  <si>
    <t>△53</t>
  </si>
  <si>
    <t>△6.8</t>
  </si>
  <si>
    <t>△2.8</t>
  </si>
  <si>
    <t>△16</t>
  </si>
  <si>
    <t>△23</t>
  </si>
  <si>
    <t>△25.5</t>
  </si>
  <si>
    <t>△456</t>
  </si>
  <si>
    <t>△37.4</t>
  </si>
  <si>
    <t>△91.3</t>
  </si>
  <si>
    <t>△31.6</t>
  </si>
  <si>
    <t>△196</t>
  </si>
  <si>
    <t>△40.0</t>
  </si>
  <si>
    <t>△23.3</t>
  </si>
  <si>
    <t>△7.7</t>
  </si>
  <si>
    <t>△36</t>
  </si>
  <si>
    <t>△9.8</t>
  </si>
  <si>
    <t>△62.4</t>
  </si>
  <si>
    <t>△89</t>
  </si>
  <si>
    <t>△1140</t>
  </si>
  <si>
    <t>△11.6</t>
  </si>
  <si>
    <t>△19.7</t>
  </si>
  <si>
    <t>△472</t>
  </si>
  <si>
    <t>△34.0</t>
  </si>
  <si>
    <t>△51</t>
  </si>
  <si>
    <t>△30.9</t>
  </si>
  <si>
    <t>△122</t>
  </si>
  <si>
    <t>△15.5</t>
  </si>
  <si>
    <t>△221</t>
  </si>
  <si>
    <t>△35.7</t>
  </si>
  <si>
    <t>△251</t>
  </si>
  <si>
    <t>△70.0</t>
  </si>
  <si>
    <t>△63</t>
  </si>
  <si>
    <t>△83</t>
  </si>
  <si>
    <t>△3.3</t>
  </si>
  <si>
    <t>△7.3</t>
  </si>
  <si>
    <t>△9.3</t>
  </si>
  <si>
    <t>△64.6</t>
  </si>
  <si>
    <t>△140</t>
  </si>
  <si>
    <t>△16.2</t>
  </si>
  <si>
    <t>△16.5</t>
  </si>
  <si>
    <t>△7.6</t>
  </si>
  <si>
    <t>△169</t>
  </si>
  <si>
    <t>△87</t>
  </si>
  <si>
    <t>△27.0</t>
  </si>
  <si>
    <t>△111</t>
  </si>
  <si>
    <t>△18.6</t>
  </si>
  <si>
    <t>△90</t>
  </si>
  <si>
    <t>△5.7</t>
  </si>
  <si>
    <t>△117</t>
  </si>
  <si>
    <t>△17.4</t>
  </si>
  <si>
    <t>△908</t>
  </si>
  <si>
    <t>△67.9</t>
  </si>
  <si>
    <t>△399</t>
  </si>
  <si>
    <t>△30.3</t>
  </si>
  <si>
    <t>△135</t>
  </si>
  <si>
    <t>△87.6</t>
  </si>
  <si>
    <t>△49.3</t>
  </si>
  <si>
    <t>△42.5</t>
  </si>
  <si>
    <t>△276</t>
  </si>
  <si>
    <t>△19.5</t>
  </si>
  <si>
    <t>2-5. 부처별 지역별 집행 추이, 2019-2023</t>
    <phoneticPr fontId="1" type="noConversion"/>
  </si>
  <si>
    <t>△149</t>
  </si>
  <si>
    <t>△26.3</t>
  </si>
  <si>
    <t>△39</t>
  </si>
  <si>
    <t>△0.3</t>
  </si>
  <si>
    <t>△2.2</t>
  </si>
  <si>
    <t>△44</t>
  </si>
  <si>
    <t>△19.4</t>
  </si>
  <si>
    <t>△92</t>
  </si>
  <si>
    <t>△3.5</t>
  </si>
  <si>
    <t>△244</t>
  </si>
  <si>
    <t>△25.2</t>
  </si>
  <si>
    <t>△18.8</t>
  </si>
  <si>
    <t>△1496</t>
  </si>
  <si>
    <t>△11.9</t>
  </si>
  <si>
    <t>△659</t>
  </si>
  <si>
    <t>△155</t>
  </si>
  <si>
    <t>△8.6</t>
  </si>
  <si>
    <t>△4.1</t>
  </si>
  <si>
    <t>△387</t>
  </si>
  <si>
    <t>△23.4</t>
  </si>
  <si>
    <t>△142</t>
  </si>
  <si>
    <t>△13.2</t>
  </si>
  <si>
    <t>△166</t>
  </si>
  <si>
    <t>△14.5</t>
  </si>
  <si>
    <t>△75</t>
  </si>
  <si>
    <t>△19.9</t>
  </si>
  <si>
    <t>* 기술분야별 집행현황 분석은 인문사회 분야를 제외한 과학기술 분야와 국방(비밀 세부과제 포함) 분야의 연구개발사업이 분석대상(2023년의 경우에는 63,879개 세부과제, 29조 164억원)임</t>
    <phoneticPr fontId="1" type="noConversion"/>
  </si>
  <si>
    <t>2-6. 부처별 국가과학기술표준분류 연구분야별 상세분류 집행 현황(2023년)</t>
    <phoneticPr fontId="1" type="noConversion"/>
  </si>
  <si>
    <t>2-7. 부처별 국가과학기술표준분류 적용분야별 집행 현황(2023년)</t>
    <phoneticPr fontId="1" type="noConversion"/>
  </si>
  <si>
    <t>2-8. 부처별 미래유망기술(6T)별 상세분류 집행 현황(2023년)</t>
    <phoneticPr fontId="1" type="noConversion"/>
  </si>
  <si>
    <t>2-9. 부처별 국가전략기술 세부중점기술별 집행 현황(2023년)</t>
    <phoneticPr fontId="1" type="noConversion"/>
  </si>
  <si>
    <t>전략기술</t>
    <phoneticPr fontId="1" type="noConversion"/>
  </si>
  <si>
    <t>세부중점기술</t>
    <phoneticPr fontId="1" type="noConversion"/>
  </si>
  <si>
    <t>반도체·디스플레이 소재·부품·장비</t>
  </si>
  <si>
    <t>반도체 첨단패키징</t>
  </si>
  <si>
    <t>차세대 고성능 센서</t>
  </si>
  <si>
    <t>고성능·저전력 인공지능 반도체</t>
  </si>
  <si>
    <t>고집적·저항기반 메모리</t>
  </si>
  <si>
    <t>전력반도체</t>
  </si>
  <si>
    <t>무기발광 디스플레이</t>
  </si>
  <si>
    <t>프리폼 디스플레이</t>
  </si>
  <si>
    <t>이차전지 모듈·시스템</t>
  </si>
  <si>
    <t>이차전지 재사용·재활용</t>
  </si>
  <si>
    <t>리튬이온전지 및 핵심소재</t>
  </si>
  <si>
    <t>차세대 이차전지 소재·셀</t>
  </si>
  <si>
    <t>자율주행시스템</t>
  </si>
  <si>
    <t>도심항공교통(UAM)</t>
  </si>
  <si>
    <t>전기·수소차</t>
  </si>
  <si>
    <t>소형모듈형원자로(SMR)</t>
  </si>
  <si>
    <t>선진원자력시스템·폐기물관리</t>
  </si>
  <si>
    <t>디지털헬스 데이터 분석·활용</t>
  </si>
  <si>
    <t>합성생물학</t>
  </si>
  <si>
    <t>유전자·세포 치료</t>
  </si>
  <si>
    <t>감염병 백신·치료</t>
  </si>
  <si>
    <t>해양자원탐사</t>
  </si>
  <si>
    <t>달착륙·표면탐사</t>
  </si>
  <si>
    <t>우주관측·센싱</t>
  </si>
  <si>
    <t>첨단 항공가스터빈엔진·부품</t>
  </si>
  <si>
    <t>대형 다단연소사이클 엔진</t>
  </si>
  <si>
    <t>수소연료전지 및 발전</t>
  </si>
  <si>
    <t>수소저장·운송</t>
  </si>
  <si>
    <t>수전해 수소생산</t>
  </si>
  <si>
    <t>데이터·AI 보안</t>
  </si>
  <si>
    <t>신산업·가상융합 보안</t>
  </si>
  <si>
    <t>네트워크·클라우드 보안</t>
  </si>
  <si>
    <t>디지털 취약점 분석·대응(공급망 보안)</t>
  </si>
  <si>
    <t>산업활용·혁신 AI</t>
  </si>
  <si>
    <t>안전·신뢰 AI</t>
  </si>
  <si>
    <t>효율적 학습 및 AI인프라(SW/HW) 고도화</t>
  </si>
  <si>
    <t>첨단 AI모델링·의사결정(인지·판단·추론)</t>
  </si>
  <si>
    <t>고효율 5G·6G 통신부품</t>
  </si>
  <si>
    <t>오픈랜(Open-RAN)</t>
  </si>
  <si>
    <t>5G·6G 위성통신</t>
  </si>
  <si>
    <t>6G</t>
  </si>
  <si>
    <t>5G 고도화(5G-Adv)</t>
  </si>
  <si>
    <t>가상제조</t>
  </si>
  <si>
    <t>로봇 정밀제어·구동 부품·SW</t>
  </si>
  <si>
    <t>로봇 자율이동</t>
  </si>
  <si>
    <t>인간·로봇 상호작용</t>
  </si>
  <si>
    <t>고난도 자율조작</t>
  </si>
  <si>
    <t>양자통신</t>
  </si>
  <si>
    <t>양자컴퓨팅</t>
  </si>
  <si>
    <t>양자센싱</t>
  </si>
  <si>
    <t>문화예술체육학</t>
    <phoneticPr fontId="1" type="noConversion"/>
  </si>
  <si>
    <t>3-2. 연구수행주체별 국가과학기술표준분류 적용분야별 집행 현황(2023년)</t>
    <phoneticPr fontId="1" type="noConversion"/>
  </si>
  <si>
    <t>제조업(섬유,의복 및 가죽제품)</t>
  </si>
  <si>
    <t>제조업(목재,종이 및 인쇄)</t>
  </si>
  <si>
    <t>제조업(의료,정밀,광학기기 및 시계)</t>
  </si>
  <si>
    <t>전기,가스,증기 및 수도사업</t>
  </si>
  <si>
    <t>하수,폐기물처리, 원료재생 및 환경복원업</t>
  </si>
  <si>
    <t>3-3. 연구수행주체별 미래유망기술(6T)별 상세분류 집행 현황(2023년)</t>
    <phoneticPr fontId="1" type="noConversion"/>
  </si>
  <si>
    <t>3-4. 연구수행주체별 국가전략기술별 중점기술 집행 현황(2023년)</t>
  </si>
  <si>
    <t>4-1. 연구개발단계별 연구수행주체 집행 추이, 2019-2023</t>
    <phoneticPr fontId="1" type="noConversion"/>
  </si>
  <si>
    <t>4-2. 연구개발단계별 국가과학기술표준분류 연구분류별 집행 현황(2023년)</t>
    <phoneticPr fontId="1" type="noConversion"/>
  </si>
  <si>
    <t>4-3. 연구개발단계별 국가과학기술표준분류 적용분야별 집행 현황(2023년)</t>
    <phoneticPr fontId="1" type="noConversion"/>
  </si>
  <si>
    <t>4-4. 연구개발단계별 미래유망신기술(6T) 상세분류 집행 현황(2023년)</t>
    <phoneticPr fontId="1" type="noConversion"/>
  </si>
  <si>
    <t>4-5. 연구개발단계별 중점과학기술 상세분류 집행 현황(2023년)</t>
    <phoneticPr fontId="1" type="noConversion"/>
  </si>
  <si>
    <t>5-1. 지역별 주요부처별 집행 추이, 2019-2023</t>
    <phoneticPr fontId="1" type="noConversion"/>
  </si>
  <si>
    <t>5-2. 지역별 연구수행주체별 집행 추이, 2019-2023</t>
    <phoneticPr fontId="1" type="noConversion"/>
  </si>
  <si>
    <t>5-3. 지역별 대응자금 집행 추이, 2019-2023</t>
    <phoneticPr fontId="1" type="noConversion"/>
  </si>
  <si>
    <t>5-4. 지역별 국가과학기술표준분류 연구분야별 상세분류 집행 현황(2023년)</t>
    <phoneticPr fontId="1" type="noConversion"/>
  </si>
  <si>
    <t>5-5. 지역별 국가과학기술표준분류 적용분야별 집행 현황(2023년)</t>
    <phoneticPr fontId="1" type="noConversion"/>
  </si>
  <si>
    <t>5-6. 지역별 미래유망기술(6T)별 상세분류 집행 현황(2023년)</t>
    <phoneticPr fontId="1" type="noConversion"/>
  </si>
  <si>
    <t>위의 국가전략기술 분류에 속하지 않는 기타 연구</t>
    <phoneticPr fontId="1" type="noConversion"/>
  </si>
  <si>
    <t>* 동일인이 복수의 연구수행주체 과제를 수행한 경우 중복으로 산정되어 전체 연구책임자 수보다 클 수 있음</t>
  </si>
  <si>
    <t>- 부처 직할 출연(연) : 특정 연구기관(한국과학기술원 등)을 포함한 부처 산하 국방과학연구소, 한국해양과학기술원 등 48개 기관</t>
  </si>
  <si>
    <t>- 경제･인문사회계 출연(연) : 경제인문사회연구회를 포함한 한국개발연구원, 국토연구원 등의 26개 기관</t>
  </si>
  <si>
    <t>7-8. 전공별 연구책임자의 성별 분포 추이, 2019-2023</t>
  </si>
  <si>
    <t>7-8. 전공별 연구책임자의 성별 분포 추이, 2019-2023</t>
    <phoneticPr fontId="26" type="noConversion"/>
  </si>
  <si>
    <t>2. 부처별 집행현황</t>
  </si>
  <si>
    <t>5. 지역별 집행현황</t>
  </si>
  <si>
    <t>2-6. 부처별 국가과학기술표준분류 연구분야별 상세분류 집행 현황(2023년)</t>
  </si>
  <si>
    <t>2-7. 부처별 국가과학기술표준분류 적용분야별 집행 현황(2023년)</t>
  </si>
  <si>
    <t>2-8. 부처별 미래유망기술(6T)별 상세분류 집행 현황(2023년)</t>
  </si>
  <si>
    <t>3-1. 연구수행주체별 국가과학기술표준분류 연구분야별 상세분류 집행 현황(2023년)</t>
  </si>
  <si>
    <t>3-2. 연구수행주체별 국가과학기술표준분류 적용분야별 집행 현황(2023년)</t>
  </si>
  <si>
    <t>3-3. 연구수행주체별 미래유망기술(6T)별 상세분류 집행 현황(2023년)</t>
  </si>
  <si>
    <t>4-2. 연구개발단계별 국가과학기술표준분류 연구분류별 집행 현황(2023년)</t>
  </si>
  <si>
    <t>4-3. 연구개발단계별 국가과학기술표준분류 적용분야별 집행 현황(2023년)</t>
  </si>
  <si>
    <t>4-4. 연구개발단계별 미래유망신기술(6T) 상세분류 집행 현황(2023년)</t>
  </si>
  <si>
    <t>5-4. 지역별 국가과학기술표준분류 연구분야별 상세분류 집행 현황(2023년)</t>
  </si>
  <si>
    <t>5-5. 지역별 국가과학기술표준분류 적용분야별 집행 현황(2023년)</t>
  </si>
  <si>
    <t>5-6. 지역별 미래유망기술(6T)별 상세분류 집행 현황(2023년)</t>
  </si>
  <si>
    <t>2-1. 주요부처별 연구개발단계별 집행 추이, 2019-2023</t>
  </si>
  <si>
    <t>2-2. 부처별 연구개발단계별 집행 추이, 2019-2023</t>
  </si>
  <si>
    <t>2-3. 주요부처별 연구수행주체별 집행 추이, 2019-2023</t>
  </si>
  <si>
    <t>2-4. 부처별 연구수행주체별 집행 추이, 2019-2023</t>
  </si>
  <si>
    <t>2-5. 부처별 지역별 집행 추이, 2019-2023</t>
  </si>
  <si>
    <t>4-1. 연구개발단계별 연구수행주체 집행 추이, 2019-2023</t>
  </si>
  <si>
    <t>5-1. 지역별 주요부처별 집행 추이, 2019-2023</t>
  </si>
  <si>
    <t>5-2. 지역별 연구수행주체별 집행 추이, 2019-2023</t>
  </si>
  <si>
    <t>5-3. 지역별 대응자금 집행 추이, 2019-2023</t>
  </si>
  <si>
    <t>6-7. 협력유형별 공동･위탁연구 집행 추이, 2019-2023</t>
  </si>
  <si>
    <t>1-2. 부처별 국가연구개발사업 집행 추이, 2022-2023</t>
  </si>
  <si>
    <t>6-4. 국제 공동･위탁연구 참여국가 현황, 2020-2022</t>
  </si>
  <si>
    <t>2-9. 부처별 국가전략기술별 상세분류 집행 현황(2023년)</t>
  </si>
  <si>
    <t>3-4. 연구수행주체별 국가전략기술별 상세분류 집행 현황(2023년)</t>
  </si>
  <si>
    <t>4-5. 연구개발단계별 국가전략기술 상세분류 집행 현황(2023년)</t>
  </si>
  <si>
    <t>5-7. 지역별 국가전략기술별 상세분류 집행 현황(2023년)</t>
  </si>
  <si>
    <t>△2871</t>
  </si>
  <si>
    <t>△99.8</t>
  </si>
  <si>
    <t>△626</t>
  </si>
  <si>
    <t>△4.0</t>
  </si>
  <si>
    <t>△263</t>
  </si>
  <si>
    <t>△22.2</t>
  </si>
  <si>
    <t>△836</t>
  </si>
  <si>
    <t>△56.9</t>
  </si>
  <si>
    <t>△1126</t>
  </si>
  <si>
    <t>△38.6</t>
  </si>
  <si>
    <t>△2225</t>
  </si>
  <si>
    <t>△309</t>
  </si>
  <si>
    <t>△619</t>
  </si>
  <si>
    <t>△45.8</t>
  </si>
  <si>
    <t>△2211</t>
  </si>
  <si>
    <t>△31.0</t>
  </si>
  <si>
    <t>△4.4</t>
  </si>
  <si>
    <t>△1205</t>
  </si>
  <si>
    <t>△45.1</t>
  </si>
  <si>
    <t>△153</t>
  </si>
  <si>
    <t>△16.1</t>
  </si>
  <si>
    <t>△1378</t>
  </si>
  <si>
    <t>△22.7</t>
  </si>
  <si>
    <r>
      <t>* 협력유형별 공동</t>
    </r>
    <r>
      <rPr>
        <sz val="11"/>
        <color theme="1"/>
        <rFont val="MS Gothic"/>
        <family val="3"/>
        <charset val="128"/>
      </rPr>
      <t>･</t>
    </r>
    <r>
      <rPr>
        <sz val="11"/>
        <color theme="1"/>
        <rFont val="맑은 고딕"/>
        <family val="3"/>
        <charset val="129"/>
        <scheme val="minor"/>
      </rPr>
      <t>위탁연구 현황 분석은 인문사회 분야를 제외한 과학기술 분야와 국방(비밀 세부과제 포함) 분야 중 연구수행주체 분류가 산업계(산: 대기업, 중견기업, 중소기업), 학계(학: 대학), 연구소(연: 국공립연구소, 출연연구소)로 분류된 세부과제가 분석대상이며, 2023년은 61,175개 과제, 26조 8,881억원의 정부연구비가 대상금액임(연구수행주체가 ‘정부부처’ 또는 ‘기타’인 경우는 제외)</t>
    </r>
    <phoneticPr fontId="1" type="noConversion"/>
  </si>
  <si>
    <t>* 연구책임자 현황은 인문사회 분야, 국방(비밀 세부과제 포함) 분야 및 연구책임자 정보가 비밀인 과제를 제외한 세부과제가 분석대상(2023년도의 경우 62,893개 세부과제)</t>
    <phoneticPr fontId="1" type="noConversion"/>
  </si>
  <si>
    <r>
      <t>1-16. 신규</t>
    </r>
    <r>
      <rPr>
        <u/>
        <sz val="11"/>
        <color rgb="FF0070C0"/>
        <rFont val="맑은 고딕"/>
        <family val="2"/>
        <charset val="129"/>
        <scheme val="minor"/>
      </rPr>
      <t>･</t>
    </r>
    <r>
      <rPr>
        <u/>
        <sz val="11"/>
        <color rgb="FF0070C0"/>
        <rFont val="맑은 고딕"/>
        <family val="3"/>
        <charset val="129"/>
        <scheme val="minor"/>
      </rPr>
      <t>계속과제의 과제 수와 과제당 연구비 추이, 2019-2023</t>
    </r>
  </si>
  <si>
    <r>
      <t>6-2. 주요 부처별 공동</t>
    </r>
    <r>
      <rPr>
        <u/>
        <sz val="11"/>
        <color rgb="FF0070C0"/>
        <rFont val="맑은 고딕"/>
        <family val="2"/>
        <charset val="129"/>
        <scheme val="minor"/>
      </rPr>
      <t>･</t>
    </r>
    <r>
      <rPr>
        <u/>
        <sz val="11"/>
        <color rgb="FF0070C0"/>
        <rFont val="맑은 고딕"/>
        <family val="3"/>
        <charset val="129"/>
        <scheme val="minor"/>
      </rPr>
      <t>위탁연구 집행 추이, 2019-2023</t>
    </r>
  </si>
  <si>
    <t>총지출규모(C)</t>
    <phoneticPr fontId="1" type="noConversion"/>
  </si>
  <si>
    <t>* 기타는 국가과학기술표준분류의 연구분야 중 뇌과학, 인지/감성과학, 인문학, 사회학, 문화예술체육학 분류에 해당하는 경우에 해당</t>
    <phoneticPr fontId="1" type="noConversion"/>
  </si>
  <si>
    <r>
      <t xml:space="preserve">* 국가전략기술은 </t>
    </r>
    <r>
      <rPr>
        <sz val="11"/>
        <color theme="1"/>
        <rFont val="MS Gothic"/>
        <family val="3"/>
        <charset val="128"/>
      </rPr>
      <t>｢</t>
    </r>
    <r>
      <rPr>
        <sz val="11"/>
        <color theme="1"/>
        <rFont val="맑은 고딕"/>
        <family val="3"/>
        <charset val="129"/>
        <scheme val="minor"/>
      </rPr>
      <t>제5차 과학기술기본계획(</t>
    </r>
    <r>
      <rPr>
        <sz val="11"/>
        <color theme="1"/>
        <rFont val="Courier New"/>
        <family val="3"/>
        <charset val="1"/>
      </rPr>
      <t>ʼ</t>
    </r>
    <r>
      <rPr>
        <sz val="11"/>
        <color theme="1"/>
        <rFont val="맑은 고딕"/>
        <family val="3"/>
        <charset val="129"/>
        <scheme val="minor"/>
      </rPr>
      <t>23~</t>
    </r>
    <r>
      <rPr>
        <sz val="11"/>
        <color theme="1"/>
        <rFont val="Courier New"/>
        <family val="3"/>
        <charset val="1"/>
      </rPr>
      <t>ʼ</t>
    </r>
    <r>
      <rPr>
        <sz val="11"/>
        <color theme="1"/>
        <rFont val="맑은 고딕"/>
        <family val="3"/>
        <charset val="129"/>
        <scheme val="minor"/>
      </rPr>
      <t>27)(안)</t>
    </r>
    <r>
      <rPr>
        <sz val="11"/>
        <color theme="1"/>
        <rFont val="MS Gothic"/>
        <family val="3"/>
        <charset val="128"/>
      </rPr>
      <t>｣</t>
    </r>
    <r>
      <rPr>
        <sz val="11"/>
        <color theme="1"/>
        <rFont val="맑은 고딕"/>
        <family val="3"/>
        <charset val="129"/>
        <scheme val="minor"/>
      </rPr>
      <t>에서 제시되었으며 12개 전략기술, 50개 세부중점기술로 구성</t>
    </r>
    <phoneticPr fontId="1" type="noConversion"/>
  </si>
  <si>
    <t>* 국가과학기술표준분류 적용분야별 집행 추이는 전체 조사분석 대상 세부과제가 분석대상임</t>
    <phoneticPr fontId="1" type="noConversion"/>
  </si>
  <si>
    <t>* 전체 조사분석 대상 세부과제가 분석대상임</t>
    <phoneticPr fontId="1" type="noConversion"/>
  </si>
  <si>
    <r>
      <t>* 기타 부처는 개인정보보호위원회, 경찰청, 고용노동부, 공정거래위원회, 관세청, 국방부, 기획재정부, 대통령경호처, 법무부, 법제처, 새만금개발청, 소방청, 여성가족부, 외교부, 인사혁신처, 조달청, 질병관리청, 통일부, 특허청, 해양경찰청, 행정안전부, 행정중심복합도시건설청의 총 22개 부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처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청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위원회의 합계임</t>
    </r>
    <phoneticPr fontId="1" type="noConversion"/>
  </si>
  <si>
    <r>
      <t>* 기타 부처는 개인정보보호위원회, 경찰청, 고용노동부, 공정거래위원회, 관세청, 기획재정부, 대통령경호처, 법무부, 법제처, 새만금개발청, 소방청, 여성가족부, 외교부, 인사혁신처, 조달청, 질병관리청, 통일부, 특허청, 해양경찰청, 행정안전부, 행정중심복합도시건설청의 총 21개 부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처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청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위원회의 합계임</t>
    </r>
    <phoneticPr fontId="1" type="noConversion"/>
  </si>
  <si>
    <r>
      <t>** 기타 부처는 개인정보보호위원회, 경찰청, 고용노동부, 공정거래위원회, 관세청, 기획재정부, 대통령경호처, 법무부, 법제처, 새만금개발청, 소방청, 여성가족부, 외교부, 인사혁신처, 조달청, 질병관리청, 통일부, 특허청, 해양경찰청, 행정안전부, 행정중심복합도시건설청의 총 21개 부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처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청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위원회의 합계임</t>
    </r>
    <phoneticPr fontId="1" type="noConversion"/>
  </si>
  <si>
    <t>* 기타는 과학기술표준분류 중 뇌과학, 인지/감성과학, 인문학, 사회학, 문화예술체육학 분류에 해당하는 경우에 해당</t>
    <phoneticPr fontId="1" type="noConversion"/>
  </si>
  <si>
    <t>*** 지역별 집행현황 분석은 지역 구분이 수도권, 지방으로 분류가 가능한 세부과제가 분석대상이며 2023년도에는 29조 9565억원이 대상금액(지역 구분이 해외 또는 기타인 경우는 제외)</t>
    <phoneticPr fontId="1" type="noConversion"/>
  </si>
  <si>
    <t>기하학</t>
    <phoneticPr fontId="1" type="noConversion"/>
  </si>
  <si>
    <r>
      <t>** 기타 부처는 개인정보보호위원회, 경찰청, 고용노동부, 공정거래위원회, 관세청, 국무조정실, 기획재정부, 대통령경호처, 문화재청, 법무부, 법제처, 새만금개발청, 소방청, 여성가족부, 외교부, 인사혁신처, 조달청, 질병관리청, 통일부, 특허청, 해양경찰청, 행정안전부, 행정중심복합도시건설청의 총 23개 부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처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청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위원회의 합계임</t>
    </r>
    <phoneticPr fontId="1" type="noConversion"/>
  </si>
  <si>
    <r>
      <t>** 기타 부처는 개인정보보호위원회, 경찰청, 고용노동부, 공정거래위원회, 관세청, 국무조정실, 기획재정부, 대통령경호처, 법무부, 법제처, 새만금개발청, 소방청, 여성가족부, 외교부, 인사혁신처, 조달청, 질병관리청, 통일부, 특허청, 해양경찰청, 행정안전부, 행정중심복합도시건설청의 총 22개 부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처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청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>위원회의 합계임</t>
    </r>
    <phoneticPr fontId="1" type="noConversion"/>
  </si>
  <si>
    <t>반도체·디스플레이</t>
    <phoneticPr fontId="1" type="noConversion"/>
  </si>
  <si>
    <t>차세대 원자력</t>
    <phoneticPr fontId="1" type="noConversion"/>
  </si>
  <si>
    <t>첨단바이오</t>
    <phoneticPr fontId="1" type="noConversion"/>
  </si>
  <si>
    <t>우주항공·해양</t>
    <phoneticPr fontId="1" type="noConversion"/>
  </si>
  <si>
    <t>첨단로봇·제조</t>
    <phoneticPr fontId="1" type="noConversion"/>
  </si>
  <si>
    <t>* 지역별 집행현황 분석은 지역 구분이 수도권, 지방으로 분류가 가능한 세부과제가 분석대상이며 2023년도에는 29조 9565억원이 대상금액(지역 구분이 해외 또는 기타인 경우는 제외)</t>
    <phoneticPr fontId="1" type="noConversion"/>
  </si>
  <si>
    <t>* 지역별 기술분야별 집행현황 분석은 지역 구분이 수도권, 지방으로 분류가 가능한 세부과제(지역 구분이 해외 또는 기타인 경우는 제외) 및 인문사회 분야를 제외한 과학기술 분야와 국방(비밀 세부과제 포함) 분야 연구개발사업이 분석대상(2023년에는 28조 4,072억원임)</t>
    <phoneticPr fontId="1" type="noConversion"/>
  </si>
  <si>
    <t>* 지역별 집행현황 분석은 지역 구분이 수도권, 지방으로 분류가 가능한 세부과제가 분석대상이며 2023년도에는 29조 9,565원이 대상금액(지역 구분이 해외 또는 기타인 경우는 제외)</t>
    <phoneticPr fontId="1" type="noConversion"/>
  </si>
  <si>
    <t>5-7. 지역별 국가전략기술별 상세분류 집행 현황(2022년)</t>
    <phoneticPr fontId="1" type="noConversion"/>
  </si>
  <si>
    <t>국가전략기술</t>
    <phoneticPr fontId="1" type="noConversion"/>
  </si>
  <si>
    <t>반도체·디스플레이 소재·부품·장비</t>
    <phoneticPr fontId="1" type="noConversion"/>
  </si>
  <si>
    <t>이차전지</t>
    <phoneticPr fontId="1" type="noConversion"/>
  </si>
  <si>
    <t>첨단 모빌리티</t>
    <phoneticPr fontId="1" type="noConversion"/>
  </si>
  <si>
    <t>5억원 이상~10억원 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</si>
</sst>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);\(#,##0\)"/>
    <numFmt numFmtId="177" formatCode="0.0"/>
    <numFmt numFmtId="178" formatCode="0.0%"/>
    <numFmt numFmtId="179" formatCode="#,##0.0"/>
    <numFmt numFmtId="180" formatCode="0.0_ "/>
    <numFmt numFmtId="181" formatCode="#,##0_);[Red]\(#,##0\)"/>
    <numFmt numFmtId="182" formatCode="#,##0_ "/>
    <numFmt numFmtId="183" formatCode="#,##0.0_ "/>
    <numFmt numFmtId="184" formatCode="#,##0.0000"/>
    <numFmt numFmtId="185" formatCode="0_);[Red]\(0\)"/>
    <numFmt numFmtId="186" formatCode="0.0_);[Red]\(0.0\)"/>
    <numFmt numFmtId="187" formatCode="#,##0.0_);[Red]\(#,##0.0\)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2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MS Gothic"/>
      <family val="3"/>
      <charset val="128"/>
    </font>
    <font>
      <sz val="11"/>
      <color theme="1"/>
      <name val="맑은 고딕"/>
      <family val="3"/>
      <charset val="129"/>
      <scheme val="minor"/>
    </font>
    <font>
      <sz val="12"/>
      <color theme="0"/>
      <name val="MS Gothic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u/>
      <sz val="11"/>
      <color rgb="FF0070C0"/>
      <name val="맑은 고딕"/>
      <family val="3"/>
      <charset val="129"/>
      <scheme val="minor"/>
    </font>
    <font>
      <u/>
      <sz val="11"/>
      <color rgb="FF0070C0"/>
      <name val="맑은 고딕"/>
      <family val="2"/>
      <charset val="129"/>
      <scheme val="minor"/>
    </font>
    <font>
      <sz val="11"/>
      <color theme="1"/>
      <name val="Courier New"/>
      <family val="3"/>
      <charset val="1"/>
    </font>
    <font>
      <sz val="11"/>
      <color theme="1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AD8D6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2AA91"/>
        <bgColor indexed="64"/>
      </patternFill>
    </fill>
    <fill>
      <patternFill patternType="solid">
        <fgColor rgb="FFEBE5DF"/>
        <bgColor indexed="64"/>
      </patternFill>
    </fill>
    <fill>
      <patternFill patternType="solid">
        <fgColor rgb="FFAE8D6C"/>
        <bgColor indexed="64"/>
      </patternFill>
    </fill>
    <fill>
      <patternFill patternType="solid">
        <fgColor rgb="FF6162A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 style="thin">
        <color rgb="FFAD8D6B"/>
      </bottom>
      <diagonal/>
    </border>
    <border>
      <left style="thick">
        <color rgb="FFFFFFFF"/>
      </left>
      <right style="thick">
        <color rgb="FFFFFFFF"/>
      </right>
      <top/>
      <bottom style="thin">
        <color rgb="FFAD8D6B"/>
      </bottom>
      <diagonal/>
    </border>
    <border>
      <left style="thick">
        <color rgb="FFFFFFFF"/>
      </left>
      <right/>
      <top/>
      <bottom style="thin">
        <color rgb="FFAD8D6B"/>
      </bottom>
      <diagonal/>
    </border>
    <border>
      <left style="thick">
        <color rgb="FFFFFFFF"/>
      </left>
      <right style="thick">
        <color rgb="FFFFFFFF"/>
      </right>
      <top style="thin">
        <color rgb="FFAD8D6B"/>
      </top>
      <bottom style="thin">
        <color rgb="FFAD8D6B"/>
      </bottom>
      <diagonal/>
    </border>
    <border>
      <left style="thick">
        <color rgb="FFFFFFFF"/>
      </left>
      <right/>
      <top style="thin">
        <color rgb="FFAD8D6B"/>
      </top>
      <bottom style="thin">
        <color rgb="FFAD8D6B"/>
      </bottom>
      <diagonal/>
    </border>
    <border>
      <left/>
      <right style="thick">
        <color rgb="FFFFFFFF"/>
      </right>
      <top style="thin">
        <color rgb="FFAD8D6B"/>
      </top>
      <bottom style="thin">
        <color rgb="FFAD8D6B"/>
      </bottom>
      <diagonal/>
    </border>
    <border>
      <left/>
      <right style="thick">
        <color rgb="FFFFFFFF"/>
      </right>
      <top style="thin">
        <color rgb="FFAD8D6B"/>
      </top>
      <bottom/>
      <diagonal/>
    </border>
    <border>
      <left style="thick">
        <color rgb="FFFFFFFF"/>
      </left>
      <right style="thick">
        <color rgb="FFFFFFFF"/>
      </right>
      <top style="thin">
        <color rgb="FFAD8D6B"/>
      </top>
      <bottom/>
      <diagonal/>
    </border>
    <border>
      <left style="thick">
        <color rgb="FFFFFFFF"/>
      </left>
      <right/>
      <top style="thin">
        <color rgb="FFAD8D6B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n">
        <color rgb="FFAD8D6B"/>
      </top>
      <bottom/>
      <diagonal/>
    </border>
    <border>
      <left/>
      <right/>
      <top/>
      <bottom style="thin">
        <color rgb="FFAD8D6B"/>
      </bottom>
      <diagonal/>
    </border>
    <border>
      <left/>
      <right/>
      <top style="thin">
        <color rgb="FFAD8D6B"/>
      </top>
      <bottom style="thin">
        <color rgb="FFAD8D6B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AD8D6B"/>
      </top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5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3" fillId="0" borderId="0"/>
    <xf numFmtId="41" fontId="22" fillId="0" borderId="0" applyFont="0" applyFill="0" applyBorder="0" applyAlignment="0" applyProtection="0">
      <alignment vertical="center"/>
    </xf>
  </cellStyleXfs>
  <cellXfs count="3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6" fillId="3" borderId="0" xfId="0" applyFont="1" applyFill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0" fontId="8" fillId="0" borderId="5" xfId="0" quotePrefix="1" applyNumberFormat="1" applyFont="1" applyBorder="1" applyAlignment="1">
      <alignment horizontal="center" vertical="center" wrapText="1"/>
    </xf>
    <xf numFmtId="10" fontId="8" fillId="0" borderId="7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76" fontId="8" fillId="0" borderId="5" xfId="0" quotePrefix="1" applyNumberFormat="1" applyFont="1" applyBorder="1" applyAlignment="1">
      <alignment horizontal="center" vertical="center" wrapText="1"/>
    </xf>
    <xf numFmtId="3" fontId="8" fillId="0" borderId="5" xfId="0" quotePrefix="1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 wrapText="1"/>
    </xf>
    <xf numFmtId="3" fontId="8" fillId="5" borderId="7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1" fillId="7" borderId="26" xfId="0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11" fillId="6" borderId="26" xfId="0" applyFont="1" applyFill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5" fillId="0" borderId="26" xfId="1" applyBorder="1" applyAlignment="1">
      <alignment horizontal="left" vertical="center"/>
    </xf>
    <xf numFmtId="0" fontId="15" fillId="0" borderId="0" xfId="1" applyFill="1" applyAlignment="1">
      <alignment horizontal="center" vertical="center"/>
    </xf>
    <xf numFmtId="0" fontId="15" fillId="0" borderId="0" xfId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  <xf numFmtId="0" fontId="17" fillId="0" borderId="0" xfId="0" quotePrefix="1" applyFont="1">
      <alignment vertical="center"/>
    </xf>
    <xf numFmtId="0" fontId="8" fillId="0" borderId="6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5" borderId="8" xfId="0" applyNumberFormat="1" applyFont="1" applyFill="1" applyBorder="1" applyAlignment="1">
      <alignment horizontal="center" vertical="center" wrapText="1"/>
    </xf>
    <xf numFmtId="0" fontId="8" fillId="0" borderId="7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177" fontId="8" fillId="5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8" fillId="0" borderId="7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3" fontId="0" fillId="0" borderId="0" xfId="0" applyNumberFormat="1" applyAlignment="1"/>
    <xf numFmtId="3" fontId="0" fillId="0" borderId="0" xfId="0" applyNumberFormat="1" applyFill="1">
      <alignment vertical="center"/>
    </xf>
    <xf numFmtId="0" fontId="8" fillId="8" borderId="7" xfId="0" applyFont="1" applyFill="1" applyBorder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3" fontId="8" fillId="5" borderId="7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3" fontId="8" fillId="0" borderId="7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3" fontId="8" fillId="8" borderId="5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177" fontId="8" fillId="8" borderId="5" xfId="0" applyNumberFormat="1" applyFont="1" applyFill="1" applyBorder="1" applyAlignment="1">
      <alignment horizontal="center" vertical="center" wrapText="1"/>
    </xf>
    <xf numFmtId="178" fontId="0" fillId="0" borderId="0" xfId="2" applyNumberFormat="1" applyFont="1">
      <alignment vertical="center"/>
    </xf>
    <xf numFmtId="0" fontId="7" fillId="6" borderId="3" xfId="0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178" fontId="8" fillId="0" borderId="8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8" fillId="5" borderId="7" xfId="0" applyNumberFormat="1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5" borderId="7" xfId="0" applyNumberFormat="1" applyFont="1" applyFill="1" applyBorder="1" applyAlignment="1">
      <alignment horizontal="center" vertical="center" wrapText="1"/>
    </xf>
    <xf numFmtId="177" fontId="8" fillId="5" borderId="8" xfId="0" applyNumberFormat="1" applyFont="1" applyFill="1" applyBorder="1" applyAlignment="1">
      <alignment horizontal="center" vertical="center" wrapText="1"/>
    </xf>
    <xf numFmtId="178" fontId="8" fillId="0" borderId="6" xfId="2" applyNumberFormat="1" applyFont="1" applyBorder="1" applyAlignment="1">
      <alignment horizontal="center" vertical="center" wrapText="1"/>
    </xf>
    <xf numFmtId="178" fontId="8" fillId="0" borderId="8" xfId="2" applyNumberFormat="1" applyFont="1" applyBorder="1" applyAlignment="1">
      <alignment horizontal="center" vertical="center" wrapText="1"/>
    </xf>
    <xf numFmtId="178" fontId="8" fillId="5" borderId="8" xfId="2" applyNumberFormat="1" applyFont="1" applyFill="1" applyBorder="1" applyAlignment="1">
      <alignment horizontal="center" vertical="center" wrapText="1"/>
    </xf>
    <xf numFmtId="178" fontId="8" fillId="8" borderId="6" xfId="2" applyNumberFormat="1" applyFont="1" applyFill="1" applyBorder="1" applyAlignment="1">
      <alignment horizontal="center" vertical="center" wrapText="1"/>
    </xf>
    <xf numFmtId="178" fontId="8" fillId="5" borderId="7" xfId="2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8" fontId="8" fillId="0" borderId="6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41" fontId="8" fillId="0" borderId="5" xfId="4" applyFont="1" applyBorder="1" applyAlignment="1">
      <alignment horizontal="center" vertical="center" wrapText="1"/>
    </xf>
    <xf numFmtId="41" fontId="8" fillId="0" borderId="7" xfId="4" applyFont="1" applyBorder="1" applyAlignment="1">
      <alignment horizontal="center" vertical="center" wrapText="1"/>
    </xf>
    <xf numFmtId="41" fontId="8" fillId="5" borderId="7" xfId="4" applyFont="1" applyFill="1" applyBorder="1" applyAlignment="1">
      <alignment horizontal="center" vertical="center" wrapText="1"/>
    </xf>
    <xf numFmtId="177" fontId="8" fillId="0" borderId="5" xfId="0" applyNumberFormat="1" applyFont="1" applyBorder="1" applyAlignment="1">
      <alignment horizontal="center" vertical="center" wrapText="1"/>
    </xf>
    <xf numFmtId="179" fontId="8" fillId="5" borderId="7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79" fontId="0" fillId="0" borderId="0" xfId="0" applyNumberFormat="1" applyAlignment="1"/>
    <xf numFmtId="179" fontId="0" fillId="0" borderId="0" xfId="0" applyNumberForma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3" fontId="8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quotePrefix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25" fillId="3" borderId="0" xfId="0" applyFont="1" applyFill="1">
      <alignment vertical="center"/>
    </xf>
    <xf numFmtId="0" fontId="25" fillId="0" borderId="0" xfId="0" applyFont="1">
      <alignment vertical="center"/>
    </xf>
    <xf numFmtId="0" fontId="4" fillId="0" borderId="0" xfId="0" applyFont="1">
      <alignment vertical="center"/>
    </xf>
    <xf numFmtId="0" fontId="26" fillId="0" borderId="0" xfId="0" applyFont="1">
      <alignment vertical="center"/>
    </xf>
    <xf numFmtId="181" fontId="8" fillId="0" borderId="5" xfId="0" applyNumberFormat="1" applyFont="1" applyBorder="1" applyAlignment="1">
      <alignment horizontal="center" vertical="center" wrapText="1"/>
    </xf>
    <xf numFmtId="181" fontId="8" fillId="0" borderId="5" xfId="4" applyNumberFormat="1" applyFont="1" applyBorder="1" applyAlignment="1">
      <alignment horizontal="center" vertical="center" wrapText="1"/>
    </xf>
    <xf numFmtId="181" fontId="8" fillId="0" borderId="6" xfId="0" applyNumberFormat="1" applyFont="1" applyBorder="1" applyAlignment="1">
      <alignment horizontal="center" vertical="center" wrapText="1"/>
    </xf>
    <xf numFmtId="181" fontId="8" fillId="0" borderId="7" xfId="0" applyNumberFormat="1" applyFont="1" applyBorder="1" applyAlignment="1">
      <alignment horizontal="center" vertical="center" wrapText="1"/>
    </xf>
    <xf numFmtId="181" fontId="8" fillId="0" borderId="7" xfId="4" applyNumberFormat="1" applyFont="1" applyBorder="1" applyAlignment="1">
      <alignment horizontal="center" vertical="center" wrapText="1"/>
    </xf>
    <xf numFmtId="181" fontId="8" fillId="0" borderId="8" xfId="0" applyNumberFormat="1" applyFont="1" applyBorder="1" applyAlignment="1">
      <alignment horizontal="center" vertical="center" wrapText="1"/>
    </xf>
    <xf numFmtId="181" fontId="8" fillId="5" borderId="7" xfId="0" applyNumberFormat="1" applyFont="1" applyFill="1" applyBorder="1" applyAlignment="1">
      <alignment horizontal="center" vertical="center" wrapText="1"/>
    </xf>
    <xf numFmtId="181" fontId="8" fillId="5" borderId="7" xfId="4" applyNumberFormat="1" applyFont="1" applyFill="1" applyBorder="1" applyAlignment="1">
      <alignment horizontal="center" vertical="center" wrapText="1"/>
    </xf>
    <xf numFmtId="181" fontId="8" fillId="5" borderId="8" xfId="0" applyNumberFormat="1" applyFont="1" applyFill="1" applyBorder="1" applyAlignment="1">
      <alignment horizontal="center" vertical="center" wrapText="1"/>
    </xf>
    <xf numFmtId="181" fontId="8" fillId="0" borderId="7" xfId="0" quotePrefix="1" applyNumberFormat="1" applyFont="1" applyBorder="1" applyAlignment="1">
      <alignment horizontal="center" vertical="center" wrapText="1"/>
    </xf>
    <xf numFmtId="181" fontId="8" fillId="0" borderId="7" xfId="4" quotePrefix="1" applyNumberFormat="1" applyFont="1" applyBorder="1" applyAlignment="1">
      <alignment horizontal="center" vertical="center" wrapText="1"/>
    </xf>
    <xf numFmtId="182" fontId="8" fillId="0" borderId="7" xfId="0" applyNumberFormat="1" applyFont="1" applyBorder="1" applyAlignment="1">
      <alignment horizontal="center" vertical="center" wrapText="1"/>
    </xf>
    <xf numFmtId="182" fontId="8" fillId="0" borderId="8" xfId="0" applyNumberFormat="1" applyFont="1" applyBorder="1" applyAlignment="1">
      <alignment horizontal="center" vertical="center" wrapText="1"/>
    </xf>
    <xf numFmtId="182" fontId="8" fillId="5" borderId="7" xfId="0" applyNumberFormat="1" applyFont="1" applyFill="1" applyBorder="1" applyAlignment="1">
      <alignment horizontal="center" vertical="center" wrapText="1"/>
    </xf>
    <xf numFmtId="182" fontId="8" fillId="5" borderId="8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0" fontId="24" fillId="0" borderId="0" xfId="0" applyFont="1" applyAlignment="1"/>
    <xf numFmtId="0" fontId="8" fillId="0" borderId="11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182" fontId="8" fillId="0" borderId="2" xfId="0" applyNumberFormat="1" applyFont="1" applyBorder="1" applyAlignment="1">
      <alignment horizontal="center" vertical="center" wrapText="1"/>
    </xf>
    <xf numFmtId="182" fontId="8" fillId="0" borderId="3" xfId="0" applyNumberFormat="1" applyFont="1" applyBorder="1" applyAlignment="1">
      <alignment horizontal="center" vertical="center" wrapText="1"/>
    </xf>
    <xf numFmtId="182" fontId="8" fillId="0" borderId="11" xfId="0" applyNumberFormat="1" applyFont="1" applyBorder="1" applyAlignment="1">
      <alignment horizontal="center" vertical="center" wrapText="1"/>
    </xf>
    <xf numFmtId="182" fontId="8" fillId="0" borderId="12" xfId="0" applyNumberFormat="1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182" fontId="8" fillId="0" borderId="5" xfId="0" applyNumberFormat="1" applyFont="1" applyBorder="1" applyAlignment="1">
      <alignment horizontal="center" vertical="center" wrapText="1"/>
    </xf>
    <xf numFmtId="182" fontId="8" fillId="0" borderId="6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182" fontId="8" fillId="8" borderId="7" xfId="0" applyNumberFormat="1" applyFont="1" applyFill="1" applyBorder="1" applyAlignment="1">
      <alignment horizontal="center" vertical="center" wrapText="1"/>
    </xf>
    <xf numFmtId="182" fontId="8" fillId="0" borderId="9" xfId="0" applyNumberFormat="1" applyFont="1" applyBorder="1" applyAlignment="1">
      <alignment horizontal="center" vertical="center" wrapText="1"/>
    </xf>
    <xf numFmtId="182" fontId="8" fillId="5" borderId="9" xfId="0" applyNumberFormat="1" applyFont="1" applyFill="1" applyBorder="1" applyAlignment="1">
      <alignment horizontal="center" vertical="center" wrapText="1"/>
    </xf>
    <xf numFmtId="183" fontId="8" fillId="0" borderId="5" xfId="0" applyNumberFormat="1" applyFont="1" applyBorder="1" applyAlignment="1">
      <alignment horizontal="center" vertical="center" wrapText="1"/>
    </xf>
    <xf numFmtId="183" fontId="8" fillId="0" borderId="7" xfId="0" applyNumberFormat="1" applyFont="1" applyBorder="1" applyAlignment="1">
      <alignment horizontal="center" vertical="center" wrapText="1"/>
    </xf>
    <xf numFmtId="183" fontId="8" fillId="0" borderId="6" xfId="0" applyNumberFormat="1" applyFont="1" applyBorder="1" applyAlignment="1">
      <alignment horizontal="center" vertical="center" wrapText="1"/>
    </xf>
    <xf numFmtId="183" fontId="8" fillId="0" borderId="9" xfId="0" applyNumberFormat="1" applyFont="1" applyBorder="1" applyAlignment="1">
      <alignment horizontal="center" vertical="center" wrapText="1"/>
    </xf>
    <xf numFmtId="183" fontId="8" fillId="5" borderId="9" xfId="0" applyNumberFormat="1" applyFont="1" applyFill="1" applyBorder="1" applyAlignment="1">
      <alignment horizontal="center" vertical="center" wrapText="1"/>
    </xf>
    <xf numFmtId="181" fontId="9" fillId="0" borderId="7" xfId="0" quotePrefix="1" applyNumberFormat="1" applyFont="1" applyBorder="1" applyAlignment="1">
      <alignment horizontal="center" vertical="center" wrapText="1"/>
    </xf>
    <xf numFmtId="181" fontId="9" fillId="0" borderId="7" xfId="0" applyNumberFormat="1" applyFont="1" applyBorder="1" applyAlignment="1">
      <alignment horizontal="center" vertical="center" wrapText="1"/>
    </xf>
    <xf numFmtId="181" fontId="9" fillId="5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41" fontId="9" fillId="0" borderId="7" xfId="4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3" fontId="9" fillId="0" borderId="7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1" fontId="9" fillId="0" borderId="5" xfId="4" applyFont="1" applyFill="1" applyBorder="1" applyAlignment="1">
      <alignment horizontal="center" vertical="center" wrapText="1"/>
    </xf>
    <xf numFmtId="0" fontId="9" fillId="0" borderId="7" xfId="0" quotePrefix="1" applyFont="1" applyFill="1" applyBorder="1" applyAlignment="1">
      <alignment horizontal="center" vertical="center" wrapText="1"/>
    </xf>
    <xf numFmtId="182" fontId="9" fillId="0" borderId="7" xfId="0" applyNumberFormat="1" applyFont="1" applyFill="1" applyBorder="1" applyAlignment="1">
      <alignment horizontal="center" vertical="center" wrapText="1"/>
    </xf>
    <xf numFmtId="182" fontId="9" fillId="5" borderId="7" xfId="0" applyNumberFormat="1" applyFont="1" applyFill="1" applyBorder="1" applyAlignment="1">
      <alignment horizontal="center" vertical="center" wrapText="1"/>
    </xf>
    <xf numFmtId="181" fontId="9" fillId="0" borderId="7" xfId="4" applyNumberFormat="1" applyFont="1" applyBorder="1" applyAlignment="1">
      <alignment horizontal="center" vertical="center" wrapText="1"/>
    </xf>
    <xf numFmtId="181" fontId="9" fillId="0" borderId="8" xfId="0" applyNumberFormat="1" applyFont="1" applyBorder="1" applyAlignment="1">
      <alignment horizontal="center" vertical="center" wrapText="1"/>
    </xf>
    <xf numFmtId="181" fontId="9" fillId="5" borderId="7" xfId="4" applyNumberFormat="1" applyFont="1" applyFill="1" applyBorder="1" applyAlignment="1">
      <alignment horizontal="center" vertical="center" wrapText="1"/>
    </xf>
    <xf numFmtId="181" fontId="9" fillId="5" borderId="8" xfId="0" applyNumberFormat="1" applyFont="1" applyFill="1" applyBorder="1" applyAlignment="1">
      <alignment horizontal="center" vertical="center" wrapText="1"/>
    </xf>
    <xf numFmtId="181" fontId="9" fillId="0" borderId="7" xfId="4" quotePrefix="1" applyNumberFormat="1" applyFont="1" applyBorder="1" applyAlignment="1">
      <alignment horizontal="center" vertical="center" wrapText="1"/>
    </xf>
    <xf numFmtId="0" fontId="17" fillId="0" borderId="0" xfId="0" applyFont="1">
      <alignment vertical="center"/>
    </xf>
    <xf numFmtId="3" fontId="9" fillId="5" borderId="7" xfId="0" applyNumberFormat="1" applyFont="1" applyFill="1" applyBorder="1" applyAlignment="1">
      <alignment horizontal="center" vertical="center" wrapText="1"/>
    </xf>
    <xf numFmtId="0" fontId="9" fillId="5" borderId="8" xfId="0" applyNumberFormat="1" applyFont="1" applyFill="1" applyBorder="1" applyAlignment="1">
      <alignment horizontal="center" vertical="center" wrapText="1"/>
    </xf>
    <xf numFmtId="181" fontId="9" fillId="0" borderId="11" xfId="0" applyNumberFormat="1" applyFont="1" applyBorder="1" applyAlignment="1">
      <alignment horizontal="center" vertical="center" wrapText="1"/>
    </xf>
    <xf numFmtId="181" fontId="9" fillId="0" borderId="12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0" fontId="17" fillId="0" borderId="0" xfId="0" applyFont="1" applyAlignment="1"/>
    <xf numFmtId="0" fontId="8" fillId="5" borderId="8" xfId="0" applyFont="1" applyFill="1" applyBorder="1" applyAlignment="1">
      <alignment horizontal="center" vertical="center" wrapText="1"/>
    </xf>
    <xf numFmtId="184" fontId="0" fillId="0" borderId="0" xfId="0" applyNumberForma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27" fillId="0" borderId="26" xfId="1" applyFont="1" applyBorder="1" applyAlignment="1">
      <alignment horizontal="left" vertical="center"/>
    </xf>
    <xf numFmtId="181" fontId="9" fillId="0" borderId="7" xfId="0" applyNumberFormat="1" applyFont="1" applyFill="1" applyBorder="1" applyAlignment="1">
      <alignment horizontal="center" vertical="center" wrapText="1"/>
    </xf>
    <xf numFmtId="181" fontId="9" fillId="0" borderId="5" xfId="0" applyNumberFormat="1" applyFont="1" applyFill="1" applyBorder="1" applyAlignment="1">
      <alignment horizontal="center" vertical="center" wrapText="1"/>
    </xf>
    <xf numFmtId="181" fontId="9" fillId="0" borderId="7" xfId="4" applyNumberFormat="1" applyFont="1" applyFill="1" applyBorder="1" applyAlignment="1">
      <alignment horizontal="center"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41" fontId="8" fillId="0" borderId="0" xfId="4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/>
    <xf numFmtId="178" fontId="8" fillId="0" borderId="7" xfId="0" applyNumberFormat="1" applyFont="1" applyBorder="1" applyAlignment="1">
      <alignment horizontal="center"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85" fontId="8" fillId="5" borderId="7" xfId="2" applyNumberFormat="1" applyFont="1" applyFill="1" applyBorder="1" applyAlignment="1">
      <alignment horizontal="center" vertical="center" wrapText="1"/>
    </xf>
    <xf numFmtId="186" fontId="8" fillId="0" borderId="6" xfId="2" applyNumberFormat="1" applyFont="1" applyBorder="1" applyAlignment="1">
      <alignment horizontal="center" vertical="center" wrapText="1"/>
    </xf>
    <xf numFmtId="186" fontId="8" fillId="0" borderId="9" xfId="0" applyNumberFormat="1" applyFont="1" applyBorder="1" applyAlignment="1">
      <alignment horizontal="center" vertical="center" wrapText="1"/>
    </xf>
    <xf numFmtId="187" fontId="9" fillId="0" borderId="11" xfId="0" applyNumberFormat="1" applyFont="1" applyBorder="1" applyAlignment="1">
      <alignment horizontal="center" vertical="center" wrapText="1"/>
    </xf>
    <xf numFmtId="187" fontId="9" fillId="0" borderId="7" xfId="0" applyNumberFormat="1" applyFont="1" applyBorder="1" applyAlignment="1">
      <alignment horizontal="center" vertical="center" wrapText="1"/>
    </xf>
    <xf numFmtId="187" fontId="9" fillId="5" borderId="7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8" fontId="8" fillId="0" borderId="12" xfId="0" applyNumberFormat="1" applyFont="1" applyBorder="1" applyAlignment="1">
      <alignment horizontal="center" vertical="center" wrapText="1"/>
    </xf>
    <xf numFmtId="178" fontId="8" fillId="0" borderId="6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3" fontId="8" fillId="5" borderId="9" xfId="0" applyNumberFormat="1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</cellXfs>
  <cellStyles count="5">
    <cellStyle name="백분율" xfId="2" builtinId="5"/>
    <cellStyle name="쉼표 [0]" xfId="4" builtinId="6"/>
    <cellStyle name="표준" xfId="0" builtinId="0"/>
    <cellStyle name="표준 2" xfId="3" xr:uid="{3D502DD7-2330-4939-B460-5CBBF6F43711}"/>
    <cellStyle name="하이퍼링크" xfId="1" builtinId="8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996633"/>
      <color rgb="FFEBE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B82"/>
  <sheetViews>
    <sheetView tabSelected="1" workbookViewId="0">
      <selection activeCell="B1" sqref="B1"/>
    </sheetView>
  </sheetViews>
  <sheetFormatPr defaultRowHeight="16.5" x14ac:dyDescent="0.3"/>
  <cols>
    <col min="2" max="2" width="86" style="63" customWidth="1"/>
  </cols>
  <sheetData>
    <row r="1" spans="2:2" ht="17.25" x14ac:dyDescent="0.3">
      <c r="B1" s="64" t="s">
        <v>405</v>
      </c>
    </row>
    <row r="2" spans="2:2" x14ac:dyDescent="0.3">
      <c r="B2" s="65"/>
    </row>
    <row r="3" spans="2:2" ht="17.25" x14ac:dyDescent="0.3">
      <c r="B3" s="66" t="s">
        <v>361</v>
      </c>
    </row>
    <row r="4" spans="2:2" x14ac:dyDescent="0.3">
      <c r="B4" s="67"/>
    </row>
    <row r="5" spans="2:2" x14ac:dyDescent="0.3">
      <c r="B5" s="284" t="s">
        <v>403</v>
      </c>
    </row>
    <row r="6" spans="2:2" x14ac:dyDescent="0.3">
      <c r="B6" s="284" t="s">
        <v>1310</v>
      </c>
    </row>
    <row r="7" spans="2:2" x14ac:dyDescent="0.3">
      <c r="B7" s="284" t="s">
        <v>406</v>
      </c>
    </row>
    <row r="8" spans="2:2" x14ac:dyDescent="0.3">
      <c r="B8" s="284" t="s">
        <v>407</v>
      </c>
    </row>
    <row r="9" spans="2:2" x14ac:dyDescent="0.3">
      <c r="B9" s="284" t="s">
        <v>408</v>
      </c>
    </row>
    <row r="10" spans="2:2" x14ac:dyDescent="0.3">
      <c r="B10" s="284" t="s">
        <v>409</v>
      </c>
    </row>
    <row r="11" spans="2:2" x14ac:dyDescent="0.3">
      <c r="B11" s="284" t="s">
        <v>410</v>
      </c>
    </row>
    <row r="12" spans="2:2" x14ac:dyDescent="0.3">
      <c r="B12" s="284" t="s">
        <v>411</v>
      </c>
    </row>
    <row r="13" spans="2:2" x14ac:dyDescent="0.3">
      <c r="B13" s="284" t="s">
        <v>412</v>
      </c>
    </row>
    <row r="14" spans="2:2" x14ac:dyDescent="0.3">
      <c r="B14" s="284" t="s">
        <v>473</v>
      </c>
    </row>
    <row r="15" spans="2:2" x14ac:dyDescent="0.3">
      <c r="B15" s="284" t="s">
        <v>413</v>
      </c>
    </row>
    <row r="16" spans="2:2" x14ac:dyDescent="0.3">
      <c r="B16" s="284" t="s">
        <v>414</v>
      </c>
    </row>
    <row r="17" spans="2:2" x14ac:dyDescent="0.3">
      <c r="B17" s="284" t="s">
        <v>415</v>
      </c>
    </row>
    <row r="18" spans="2:2" x14ac:dyDescent="0.3">
      <c r="B18" s="284" t="s">
        <v>416</v>
      </c>
    </row>
    <row r="19" spans="2:2" x14ac:dyDescent="0.3">
      <c r="B19" s="284" t="s">
        <v>417</v>
      </c>
    </row>
    <row r="20" spans="2:2" x14ac:dyDescent="0.3">
      <c r="B20" s="284" t="s">
        <v>1341</v>
      </c>
    </row>
    <row r="21" spans="2:2" x14ac:dyDescent="0.3">
      <c r="B21" s="67"/>
    </row>
    <row r="22" spans="2:2" ht="17.25" x14ac:dyDescent="0.3">
      <c r="B22" s="66" t="s">
        <v>1286</v>
      </c>
    </row>
    <row r="23" spans="2:2" x14ac:dyDescent="0.3">
      <c r="B23" s="67"/>
    </row>
    <row r="24" spans="2:2" x14ac:dyDescent="0.3">
      <c r="B24" s="284" t="s">
        <v>1300</v>
      </c>
    </row>
    <row r="25" spans="2:2" x14ac:dyDescent="0.3">
      <c r="B25" s="284" t="s">
        <v>1301</v>
      </c>
    </row>
    <row r="26" spans="2:2" x14ac:dyDescent="0.3">
      <c r="B26" s="284" t="s">
        <v>1302</v>
      </c>
    </row>
    <row r="27" spans="2:2" x14ac:dyDescent="0.3">
      <c r="B27" s="284" t="s">
        <v>1303</v>
      </c>
    </row>
    <row r="28" spans="2:2" x14ac:dyDescent="0.3">
      <c r="B28" s="284" t="s">
        <v>1304</v>
      </c>
    </row>
    <row r="29" spans="2:2" x14ac:dyDescent="0.3">
      <c r="B29" s="284" t="s">
        <v>1288</v>
      </c>
    </row>
    <row r="30" spans="2:2" x14ac:dyDescent="0.3">
      <c r="B30" s="284" t="s">
        <v>1289</v>
      </c>
    </row>
    <row r="31" spans="2:2" x14ac:dyDescent="0.3">
      <c r="B31" s="284" t="s">
        <v>1290</v>
      </c>
    </row>
    <row r="32" spans="2:2" x14ac:dyDescent="0.3">
      <c r="B32" s="284" t="s">
        <v>1312</v>
      </c>
    </row>
    <row r="33" spans="2:2" x14ac:dyDescent="0.3">
      <c r="B33" s="69"/>
    </row>
    <row r="34" spans="2:2" ht="17.25" x14ac:dyDescent="0.3">
      <c r="B34" s="66" t="s">
        <v>362</v>
      </c>
    </row>
    <row r="35" spans="2:2" x14ac:dyDescent="0.3">
      <c r="B35" s="67"/>
    </row>
    <row r="36" spans="2:2" x14ac:dyDescent="0.3">
      <c r="B36" s="70" t="s">
        <v>1291</v>
      </c>
    </row>
    <row r="37" spans="2:2" x14ac:dyDescent="0.3">
      <c r="B37" s="70" t="s">
        <v>1292</v>
      </c>
    </row>
    <row r="38" spans="2:2" x14ac:dyDescent="0.3">
      <c r="B38" s="70" t="s">
        <v>1293</v>
      </c>
    </row>
    <row r="39" spans="2:2" x14ac:dyDescent="0.3">
      <c r="B39" s="70" t="s">
        <v>1313</v>
      </c>
    </row>
    <row r="40" spans="2:2" x14ac:dyDescent="0.3">
      <c r="B40" s="70" t="s">
        <v>419</v>
      </c>
    </row>
    <row r="41" spans="2:2" x14ac:dyDescent="0.3">
      <c r="B41" s="69"/>
    </row>
    <row r="42" spans="2:2" ht="17.25" x14ac:dyDescent="0.3">
      <c r="B42" s="66" t="s">
        <v>363</v>
      </c>
    </row>
    <row r="43" spans="2:2" x14ac:dyDescent="0.3">
      <c r="B43" s="67"/>
    </row>
    <row r="44" spans="2:2" x14ac:dyDescent="0.3">
      <c r="B44" s="284" t="s">
        <v>1305</v>
      </c>
    </row>
    <row r="45" spans="2:2" x14ac:dyDescent="0.3">
      <c r="B45" s="284" t="s">
        <v>1294</v>
      </c>
    </row>
    <row r="46" spans="2:2" x14ac:dyDescent="0.3">
      <c r="B46" s="284" t="s">
        <v>1295</v>
      </c>
    </row>
    <row r="47" spans="2:2" x14ac:dyDescent="0.3">
      <c r="B47" s="284" t="s">
        <v>1296</v>
      </c>
    </row>
    <row r="48" spans="2:2" x14ac:dyDescent="0.3">
      <c r="B48" s="284" t="s">
        <v>1314</v>
      </c>
    </row>
    <row r="49" spans="2:2" x14ac:dyDescent="0.3">
      <c r="B49" s="284" t="s">
        <v>420</v>
      </c>
    </row>
    <row r="50" spans="2:2" x14ac:dyDescent="0.3">
      <c r="B50" s="69"/>
    </row>
    <row r="51" spans="2:2" ht="17.25" x14ac:dyDescent="0.3">
      <c r="B51" s="66" t="s">
        <v>1287</v>
      </c>
    </row>
    <row r="52" spans="2:2" x14ac:dyDescent="0.3">
      <c r="B52" s="67"/>
    </row>
    <row r="53" spans="2:2" x14ac:dyDescent="0.3">
      <c r="B53" s="284" t="s">
        <v>1306</v>
      </c>
    </row>
    <row r="54" spans="2:2" x14ac:dyDescent="0.3">
      <c r="B54" s="70" t="s">
        <v>1307</v>
      </c>
    </row>
    <row r="55" spans="2:2" x14ac:dyDescent="0.3">
      <c r="B55" s="70" t="s">
        <v>1308</v>
      </c>
    </row>
    <row r="56" spans="2:2" x14ac:dyDescent="0.3">
      <c r="B56" s="70" t="s">
        <v>1297</v>
      </c>
    </row>
    <row r="57" spans="2:2" x14ac:dyDescent="0.3">
      <c r="B57" s="70" t="s">
        <v>1298</v>
      </c>
    </row>
    <row r="58" spans="2:2" x14ac:dyDescent="0.3">
      <c r="B58" s="70" t="s">
        <v>1299</v>
      </c>
    </row>
    <row r="59" spans="2:2" x14ac:dyDescent="0.3">
      <c r="B59" s="70" t="s">
        <v>1315</v>
      </c>
    </row>
    <row r="60" spans="2:2" x14ac:dyDescent="0.3">
      <c r="B60" s="68"/>
    </row>
    <row r="61" spans="2:2" ht="17.25" x14ac:dyDescent="0.3">
      <c r="B61" s="66" t="s">
        <v>364</v>
      </c>
    </row>
    <row r="62" spans="2:2" x14ac:dyDescent="0.3">
      <c r="B62" s="67"/>
    </row>
    <row r="63" spans="2:2" x14ac:dyDescent="0.3">
      <c r="B63" s="70" t="s">
        <v>421</v>
      </c>
    </row>
    <row r="64" spans="2:2" x14ac:dyDescent="0.3">
      <c r="B64" s="284" t="s">
        <v>1342</v>
      </c>
    </row>
    <row r="65" spans="2:2" x14ac:dyDescent="0.3">
      <c r="B65" s="70" t="s">
        <v>423</v>
      </c>
    </row>
    <row r="66" spans="2:2" x14ac:dyDescent="0.3">
      <c r="B66" s="70" t="s">
        <v>1311</v>
      </c>
    </row>
    <row r="67" spans="2:2" x14ac:dyDescent="0.3">
      <c r="B67" s="70" t="s">
        <v>424</v>
      </c>
    </row>
    <row r="68" spans="2:2" x14ac:dyDescent="0.3">
      <c r="B68" s="70" t="s">
        <v>425</v>
      </c>
    </row>
    <row r="69" spans="2:2" x14ac:dyDescent="0.3">
      <c r="B69" s="70" t="s">
        <v>1309</v>
      </c>
    </row>
    <row r="70" spans="2:2" x14ac:dyDescent="0.3">
      <c r="B70" s="69"/>
    </row>
    <row r="71" spans="2:2" ht="17.25" x14ac:dyDescent="0.3">
      <c r="B71" s="66" t="s">
        <v>365</v>
      </c>
    </row>
    <row r="72" spans="2:2" x14ac:dyDescent="0.3">
      <c r="B72" s="67"/>
    </row>
    <row r="73" spans="2:2" x14ac:dyDescent="0.3">
      <c r="B73" s="70" t="s">
        <v>426</v>
      </c>
    </row>
    <row r="74" spans="2:2" x14ac:dyDescent="0.3">
      <c r="B74" s="70" t="s">
        <v>427</v>
      </c>
    </row>
    <row r="75" spans="2:2" x14ac:dyDescent="0.3">
      <c r="B75" s="70" t="s">
        <v>428</v>
      </c>
    </row>
    <row r="76" spans="2:2" x14ac:dyDescent="0.3">
      <c r="B76" s="70" t="s">
        <v>429</v>
      </c>
    </row>
    <row r="77" spans="2:2" x14ac:dyDescent="0.3">
      <c r="B77" s="70" t="s">
        <v>430</v>
      </c>
    </row>
    <row r="78" spans="2:2" x14ac:dyDescent="0.3">
      <c r="B78" s="70" t="s">
        <v>431</v>
      </c>
    </row>
    <row r="79" spans="2:2" x14ac:dyDescent="0.3">
      <c r="B79" s="70" t="s">
        <v>432</v>
      </c>
    </row>
    <row r="80" spans="2:2" x14ac:dyDescent="0.3">
      <c r="B80" s="70" t="s">
        <v>1284</v>
      </c>
    </row>
    <row r="81" spans="2:2" x14ac:dyDescent="0.3">
      <c r="B81" s="70" t="s">
        <v>433</v>
      </c>
    </row>
    <row r="82" spans="2:2" x14ac:dyDescent="0.3">
      <c r="B82" s="70" t="s">
        <v>434</v>
      </c>
    </row>
  </sheetData>
  <phoneticPr fontId="1" type="noConversion"/>
  <hyperlinks>
    <hyperlink ref="B5" location="'1-1'!A1" display="1-1. 국가연구개발사업의 총괄 집행 추이, 2017-2021" xr:uid="{911CC6B7-075B-4182-A5CF-7C17F9F6FC53}"/>
    <hyperlink ref="B6" location="'1-2'!A1" display="1-2. 부처별 국가연구개발사업 집행 추이, 2020-2021" xr:uid="{B06362D1-92DE-4C54-974C-997A5D752DBF}"/>
    <hyperlink ref="B7" location="'1-3'!A1" display="1-3. 연구수행주체별 집행 추이, 2017-2021" xr:uid="{720C5B2C-4FBC-40CA-8989-7AB533BE1198}"/>
    <hyperlink ref="B8" location="'1-4'!A1" display="1-4. 연구수행주체별 과제 당 연구비 추이, 2017-2021" xr:uid="{53E54EE2-7BBE-434C-B93E-17427B8B62D2}"/>
    <hyperlink ref="B9" location="'1-5'!A1" display="1-5. 출연연구소 유형별 국가연구개발사업 집행 추이, 2017-2021" xr:uid="{6E44E969-6C36-46D7-9BD6-49DA95122CC7}"/>
    <hyperlink ref="B10" location="'1-6'!A1" display="1-6. 세부과제지원유형별 연구개발단계별 집행 추이, 2019-2021" xr:uid="{DC5284C5-F6E7-4D12-BE1E-2DD7046010BB}"/>
    <hyperlink ref="B11" location="'1-7'!A1" display="1-7. 지역별 집행 추이, 2017-2021" xr:uid="{E0A47543-A2CE-4E59-BB86-5F4E01290C71}"/>
    <hyperlink ref="B12" location="'1-8'!A1" display="1-8. 국가과학기술표준분류 연구분야별 집행 추이, 2017-2021" xr:uid="{7C35F38F-6F0E-4748-8995-1821AB170C60}"/>
    <hyperlink ref="B13" location="'1-9'!A1" display="1-9. 국가과학기술표준분류 연구분야기준 단일 및 융합 분야 과제 집행 추이, 2017-2021" xr:uid="{1A376BDC-07F8-4405-9327-9AA17E2E9CEE}"/>
    <hyperlink ref="B14" location="'1-10'!A1" display="1-10. 중점과학기술별 집행 추이, 2019-2021" xr:uid="{C1695C6E-83BA-4202-B67C-AAADFF289A86}"/>
    <hyperlink ref="B15" location="'1-11'!A1" display="1-11. 국가과학기술표준분류 적용분야별 집행 추이, 2017-2021" xr:uid="{55A637BA-CDCA-4749-AA73-12A7807A2946}"/>
    <hyperlink ref="B16" location="'1-12'!A1" display="1-12. 경제사회목적별 집행 추이, 2017-2021" xr:uid="{E911D03D-079C-47BF-83D5-FFE1E21D78B9}"/>
    <hyperlink ref="B17" location="'1-13'!A1" display="1-13. 미래유망신기술(6T)별 집행 추이, 2017-2021" xr:uid="{887D0285-139D-43DF-B9CA-AA611E258A22}"/>
    <hyperlink ref="B18" location="'1-14'!A1" display="1-14. 연구비 규모별 세부과제 당 연구비 추이, 2017-2021" xr:uid="{DF4D426E-9D86-4D9E-84EA-95A566875894}"/>
    <hyperlink ref="B19" location="'1-15'!A1" display="1-15. 연구수행주체별 연구비 규모에 따른 세부과제 수 추이, 2017-2021" xr:uid="{42C4416E-FE34-43F4-B828-69FB13C54B53}"/>
    <hyperlink ref="B20" location="'1-16'!A1" display="1-16. 신규･계속과제의 과제 수와 과제당 연구비 추이, 2017-2021" xr:uid="{CC09186C-E9B5-45D4-A99A-1E137D18F38B}"/>
    <hyperlink ref="B24" location="'2-1'!A1" display="2-1. 주요부처별 연구개발단계별 집행 추이, 2017-2021" xr:uid="{87DA14B3-9BAA-40DA-B2C5-BBC66C15BF8A}"/>
    <hyperlink ref="B25" location="'2-2'!A1" display="2-2. 부처별 연구개발단계별 집행 추이, 2017-2021" xr:uid="{A487E565-1E44-42C4-8905-81087A26DB85}"/>
    <hyperlink ref="B26" location="'2-3'!A1" display="2-3. 주요부처별 연구수행주체별 집행 추이, 2017-2021" xr:uid="{1248EC1C-6438-4F46-AF48-77D4CAA6CD08}"/>
    <hyperlink ref="B27" location="'2-4'!A1" display="2-4. 부처별 연구수행주체별 집행 추이, 2017-2021" xr:uid="{27E02395-B9E1-48D3-98ED-442CEFB3BCAD}"/>
    <hyperlink ref="B28" location="'2-5'!A1" display="2-5. 부처별 지역별 집행 추이, 2017-2021" xr:uid="{8660771E-26A6-4CED-A6F7-DF26C5CF4D0A}"/>
    <hyperlink ref="B29" location="'2-6'!A1" display="2-6. 부처별 국가과학기술표준분류 연구분야별 상세분류 집행 현황(2021년)" xr:uid="{8E1DD999-7765-40F8-9794-1C89C9767190}"/>
    <hyperlink ref="B30" location="'2-7'!A1" display="2-7. 부처별 국가과학기술표준분류 적용분야별 집행 현황(2021년)" xr:uid="{6E1208AA-6B24-4E68-98E4-9A1305159BA7}"/>
    <hyperlink ref="B31" location="'2-8'!A1" display="2-8. 부처별 미래유망기술(6T)별 상세분류 집행 현황(2021년)" xr:uid="{6F8434F5-B77C-45F1-A187-5F550E6BEC5B}"/>
    <hyperlink ref="B32" location="'2-9'!A1" display="2-9. 부처별 중점과학기술별 상세분류 집행 현황(2021년)" xr:uid="{182290E6-028F-4406-8C04-321DA6D16D30}"/>
    <hyperlink ref="B36" location="'3-1'!A1" display="3-1. 연구수행주체별 국가과학기술표준분류 연구분야별 상세분류 집행 현황(2021년)" xr:uid="{A5923AC7-8293-4215-A43D-83EACBE76C6E}"/>
    <hyperlink ref="B37" location="'3-2'!A1" display="3-2. 연구수행주체별 국가과학기술표준분류 적용분야별 집행 현황(2021년)" xr:uid="{A52BAE53-DCC7-4C8F-A062-D4A77B1E4EA2}"/>
    <hyperlink ref="B38" location="'3-3'!A1" display="3-3. 연구수행주체별 미래유망기술(6T)별 상세분류 집행 현황(2021년)" xr:uid="{B9D19106-941B-4438-8DB6-2DB637782074}"/>
    <hyperlink ref="B39" location="'3-4'!A1" display="3-4. 연구수행주체별 중점과학기술별 상세분류 집행 현황(2021년)" xr:uid="{495F41D5-3608-4CE2-9059-F6271455BC01}"/>
    <hyperlink ref="B40" location="'3-5'!A1" display="3-5. 연구수행주체별 비목별 집행 추이, 2017-2021" xr:uid="{0F603949-19B1-4449-A99A-24B7AC6C0358}"/>
    <hyperlink ref="B44" location="'4-1'!A1" display="4-1. 연구개발단계별 연구수행주체 집행 추이, 2017-2021" xr:uid="{4F7D89CA-9DBA-4F81-87BF-C59B05A53618}"/>
    <hyperlink ref="B45" location="'4-2'!A1" display="4-2. 연구개발단계별 국가과학기술표준분류 연구분류별 집행 현황(2021년)" xr:uid="{AD2E11EC-E3D8-455D-806D-C88EDEDA2BDF}"/>
    <hyperlink ref="B46" location="'4-3'!A1" display="4-3. 연구개발단계별 국가과학기술표준분류 적용분야별 집행 현황(2021년)" xr:uid="{857DC71C-F9A9-4CBE-9F95-8EC16435CB8E}"/>
    <hyperlink ref="B47" location="'4-4'!A1" display="4-4. 연구개발단계별 미래유망신기술(6T) 상세분류 집행 현황(2021년)" xr:uid="{729D0E04-EACB-4D22-ABA2-3CC788D75C74}"/>
    <hyperlink ref="B48" location="'4-5'!A1" display="4-5. 연구개발단계별 중점과학기술 상세분류 집행 현황(2021년)" xr:uid="{910A0F59-164C-4763-8877-02D5BC29C8D2}"/>
    <hyperlink ref="B49" location="'4-6'!A1" display="4-6. 연구개발단계별 집행추이, 2017-2021" xr:uid="{705884C0-B8B5-4491-BA86-9D814E331136}"/>
    <hyperlink ref="B53" location="'5-1'!A1" display="5-1. 지역별 주요부처별 집행 추이, 2017-2021" xr:uid="{D99A07E6-B81A-4C9F-83ED-5380CEA213DD}"/>
    <hyperlink ref="B54" location="'5-2'!A1" display="5-2. 지역별 연구수행주체별 집행 추이, 2017-2021" xr:uid="{1AEADF97-8C28-45B9-B5F1-FCBA55A2A444}"/>
    <hyperlink ref="B55" location="'5-3'!A1" display="5-3. 지역별 대응자금 집행 추이, 2017-2021" xr:uid="{90501CFD-D75C-41C8-81CF-76E33C2602FB}"/>
    <hyperlink ref="B56" location="'5-4'!A1" display="5-4. 지역별 국가과학기술표준분류 연구분야별 상세분류 집행 현황(2021년)" xr:uid="{8DB047BA-E10D-40D2-9C40-600CC5572592}"/>
    <hyperlink ref="B57" location="'5-5'!A1" display="5-5. 지역별 국가과학기술표준분류 적용분야별 집행 현황(2021년)" xr:uid="{FB7FDC78-0A0F-49ED-BBC2-178D5574BD96}"/>
    <hyperlink ref="B58" location="'5-6'!A1" display="5-6. 지역별 미래유망기술(6T)별 상세분류 집행 현황(2021년)" xr:uid="{F2B194BF-5079-406E-B1D5-4EBEC06E1B2F}"/>
    <hyperlink ref="B59" location="'5-7'!A1" display="5-7. 지역별 중점과학기술별 상세분류 집행 현황(2021년)" xr:uid="{144C7743-3174-412F-9CA6-CE0FCD1F2725}"/>
    <hyperlink ref="B63" location="'6-1'!A1" display="6-1. 참여기관 유형별 공동･위탁연구 집행 추이, 2017-2021" xr:uid="{8D61F6FE-C35C-45BE-8450-9F31D39AE240}"/>
    <hyperlink ref="B64" location="'6-2'!A1" display="6-2. 주요 부처별 공동･위탁연구 집행 추이, 2017-2021" xr:uid="{69B4F2B9-8341-49D6-85BB-4422CC7610D0}"/>
    <hyperlink ref="B65" location="'6-3'!A1" display="6-3. 주요 부처별 국제 공동･위탁연구 집행 추이, 2017-2021" xr:uid="{AB31398B-702D-4A26-85D9-F4596D4EFFAE}"/>
    <hyperlink ref="B66" location="'6-4'!A1" display="6-4. 국제 공동･위탁연구 참여국가 현황, 2020-2021" xr:uid="{3CC423F7-4D8B-45C2-8144-750EDC71CE44}"/>
    <hyperlink ref="B67" location="'6-5'!A1" display="6-5. 주요 국가별 국제 공동･위탁연구 추이, 2017-2021" xr:uid="{EA4BE1BE-40C3-4184-A701-72C01182D874}"/>
    <hyperlink ref="B68" location="'6-6'!A1" display="6-6. 유형별 국내 공동연구 추이, 2017-2021" xr:uid="{44AE4E20-7EDB-4DE5-B695-A01028F36237}"/>
    <hyperlink ref="B69" location="'6-7'!A1" display="6-7. 협력유형별 공동･위탁연구 집행 추이, 2017-2021" xr:uid="{241DFA43-0E8A-4D45-B3AC-2634D6B994BE}"/>
    <hyperlink ref="B73" location="'7-1'!A1" display="7-1. 성별 연구책임자 추이, 2017-2021" xr:uid="{E0E9DC4C-3F51-4812-BAB5-15910A986C9E}"/>
    <hyperlink ref="B74" location="'7-2'!A1" display="7-2. 연령별 연구책임자 추이, 2017-2021" xr:uid="{436517EB-B339-47D6-8E85-60C10001C5D4}"/>
    <hyperlink ref="B75" location="'7-3'!A1" display="7-3. 연구수행주체별 연구책임자의 성별 분포 추이, 2017-2021" xr:uid="{A557B1B7-DF9E-4F72-B39E-C08DF956D047}"/>
    <hyperlink ref="B76" location="'7-4'!A1" display="7-4. 성별 연구책임자 1인당 연구비 추이, 2017-2021" xr:uid="{B11D88A7-7D09-43DD-AFCE-AB32E543A2FD}"/>
    <hyperlink ref="B77" location="'7-5'!A1" display="7-5. 신진 연구자 1인당 연구비 추이, 2017-2021" xr:uid="{13E9EB5F-DD76-4884-A82F-3538EBD0C914}"/>
    <hyperlink ref="B78" location="'7-6'!A1" display="7-6. 연구수행주체별 연구책임자 1인당 연구비 추이, 2017-2021" xr:uid="{E4E2689D-B90E-4531-8911-9001FE5EC952}"/>
    <hyperlink ref="B79" location="'7-7'!A1" display="7-7. 연구비 규모별 연구책임자 수 비중 추이, 2017-2021" xr:uid="{332F4344-0E07-4112-9144-47D073F1359C}"/>
    <hyperlink ref="B80" location="'7-8'!A1" display="7-8. 전공별 연구책임자의 성별 분포 추이, 2017-2021" xr:uid="{093DCE6C-C769-48DD-93BF-7A0304ABCE66}"/>
    <hyperlink ref="B81" location="'7-9'!A1" display="7-9. 전공별 연구책임자 1인당 연구비 추이, 2017-2021" xr:uid="{C4064F29-CD81-4619-8176-DF0FAA9450E7}"/>
    <hyperlink ref="B82" location="'7-10'!A1" display="7-10. 학위별 성별 연구책임자 분포 추이, 2017-2021" xr:uid="{9CA42559-6F5A-425C-A846-FB8AA4AD807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1:H25"/>
  <sheetViews>
    <sheetView zoomScale="85" zoomScaleNormal="85" workbookViewId="0">
      <selection activeCell="N22" sqref="N22"/>
    </sheetView>
  </sheetViews>
  <sheetFormatPr defaultRowHeight="16.5" x14ac:dyDescent="0.3"/>
  <cols>
    <col min="1" max="1" width="21.75" customWidth="1"/>
    <col min="2" max="2" width="23.375" customWidth="1"/>
    <col min="3" max="3" width="10.625" bestFit="1" customWidth="1"/>
    <col min="4" max="7" width="9.875" bestFit="1" customWidth="1"/>
    <col min="8" max="8" width="12.375" bestFit="1" customWidth="1"/>
    <col min="10" max="10" width="8.875" customWidth="1"/>
  </cols>
  <sheetData>
    <row r="1" spans="1:8" ht="17.25" x14ac:dyDescent="0.3">
      <c r="A1" s="3" t="s">
        <v>404</v>
      </c>
      <c r="B1" s="4"/>
      <c r="C1" s="4"/>
      <c r="E1" s="71" t="s">
        <v>366</v>
      </c>
    </row>
    <row r="3" spans="1:8" x14ac:dyDescent="0.3">
      <c r="A3" s="1"/>
      <c r="B3" s="1"/>
      <c r="C3" s="1"/>
      <c r="D3" s="1"/>
      <c r="E3" s="1"/>
      <c r="F3" s="1"/>
      <c r="G3" s="1"/>
      <c r="H3" s="1" t="s">
        <v>21</v>
      </c>
    </row>
    <row r="4" spans="1:8" x14ac:dyDescent="0.3">
      <c r="A4" s="312" t="s">
        <v>0</v>
      </c>
      <c r="B4" s="313"/>
      <c r="C4" s="311" t="s">
        <v>8</v>
      </c>
      <c r="D4" s="311" t="s">
        <v>9</v>
      </c>
      <c r="E4" s="311" t="s">
        <v>10</v>
      </c>
      <c r="F4" s="311" t="s">
        <v>369</v>
      </c>
      <c r="G4" s="311" t="s">
        <v>402</v>
      </c>
      <c r="H4" s="11" t="s">
        <v>11</v>
      </c>
    </row>
    <row r="5" spans="1:8" x14ac:dyDescent="0.3">
      <c r="A5" s="312"/>
      <c r="B5" s="313"/>
      <c r="C5" s="311"/>
      <c r="D5" s="311"/>
      <c r="E5" s="311"/>
      <c r="F5" s="311"/>
      <c r="G5" s="311"/>
      <c r="H5" s="11" t="s">
        <v>435</v>
      </c>
    </row>
    <row r="6" spans="1:8" x14ac:dyDescent="0.3">
      <c r="A6" s="312"/>
      <c r="B6" s="313"/>
      <c r="C6" s="311"/>
      <c r="D6" s="311"/>
      <c r="E6" s="311"/>
      <c r="F6" s="311"/>
      <c r="G6" s="311"/>
      <c r="H6" s="11" t="s">
        <v>1</v>
      </c>
    </row>
    <row r="7" spans="1:8" x14ac:dyDescent="0.3">
      <c r="A7" s="312"/>
      <c r="B7" s="313"/>
      <c r="C7" s="311"/>
      <c r="D7" s="311"/>
      <c r="E7" s="311"/>
      <c r="F7" s="311"/>
      <c r="G7" s="311"/>
      <c r="H7" s="11" t="s">
        <v>2</v>
      </c>
    </row>
    <row r="8" spans="1:8" x14ac:dyDescent="0.3">
      <c r="A8" s="305" t="s">
        <v>20</v>
      </c>
      <c r="B8" s="84" t="s">
        <v>12</v>
      </c>
      <c r="C8" s="119">
        <v>2791077</v>
      </c>
      <c r="D8" s="119">
        <v>2960386</v>
      </c>
      <c r="E8" s="119">
        <v>3148401</v>
      </c>
      <c r="F8" s="119">
        <v>3502245</v>
      </c>
      <c r="G8" s="12">
        <v>3694343</v>
      </c>
      <c r="H8" s="131">
        <f>RATE(4,0,-C8,G8)</f>
        <v>7.2608783992779757E-2</v>
      </c>
    </row>
    <row r="9" spans="1:8" x14ac:dyDescent="0.3">
      <c r="A9" s="305"/>
      <c r="B9" s="85" t="s">
        <v>13</v>
      </c>
      <c r="C9" s="96">
        <v>3289199</v>
      </c>
      <c r="D9" s="96">
        <v>3511186</v>
      </c>
      <c r="E9" s="96">
        <v>3750382</v>
      </c>
      <c r="F9" s="96">
        <v>4130228</v>
      </c>
      <c r="G9" s="14">
        <v>4410676</v>
      </c>
      <c r="H9" s="131">
        <f>RATE(4,0,-C9,G9)</f>
        <v>7.6102775993761182E-2</v>
      </c>
    </row>
    <row r="10" spans="1:8" x14ac:dyDescent="0.3">
      <c r="A10" s="306"/>
      <c r="B10" s="93" t="s">
        <v>1343</v>
      </c>
      <c r="C10" s="96">
        <v>4695752</v>
      </c>
      <c r="D10" s="96">
        <v>5122504</v>
      </c>
      <c r="E10" s="96">
        <v>5579872</v>
      </c>
      <c r="F10" s="96">
        <v>6076633</v>
      </c>
      <c r="G10" s="14">
        <v>6387277</v>
      </c>
      <c r="H10" s="131">
        <f>RATE(4,0,-C10,G10)</f>
        <v>7.9947515492068341E-2</v>
      </c>
    </row>
    <row r="11" spans="1:8" x14ac:dyDescent="0.3">
      <c r="A11" s="304" t="s">
        <v>19</v>
      </c>
      <c r="B11" s="307" t="s">
        <v>14</v>
      </c>
      <c r="C11" s="118">
        <v>163686</v>
      </c>
      <c r="D11" s="118">
        <v>178556</v>
      </c>
      <c r="E11" s="118">
        <v>198864</v>
      </c>
      <c r="F11" s="118">
        <v>214752</v>
      </c>
      <c r="G11" s="16">
        <v>205286</v>
      </c>
      <c r="H11" s="309">
        <f>RATE(4,0,-C11,G11)</f>
        <v>5.8246764064986009E-2</v>
      </c>
    </row>
    <row r="12" spans="1:8" x14ac:dyDescent="0.3">
      <c r="A12" s="305"/>
      <c r="B12" s="308"/>
      <c r="C12" s="17" t="s">
        <v>23</v>
      </c>
      <c r="D12" s="17" t="s">
        <v>24</v>
      </c>
      <c r="E12" s="17" t="s">
        <v>25</v>
      </c>
      <c r="F12" s="20" t="s">
        <v>399</v>
      </c>
      <c r="G12" s="20"/>
      <c r="H12" s="310"/>
    </row>
    <row r="13" spans="1:8" x14ac:dyDescent="0.3">
      <c r="A13" s="305"/>
      <c r="B13" s="13" t="s">
        <v>4</v>
      </c>
      <c r="C13" s="18">
        <v>5.8999999999999997E-2</v>
      </c>
      <c r="D13" s="18">
        <v>0.06</v>
      </c>
      <c r="E13" s="18">
        <v>6.3E-2</v>
      </c>
      <c r="F13" s="18">
        <f>F11/F8</f>
        <v>6.1318382922953704E-2</v>
      </c>
      <c r="G13" s="18">
        <f>G11/G8</f>
        <v>5.5567661151116721E-2</v>
      </c>
      <c r="H13" s="19"/>
    </row>
    <row r="14" spans="1:8" x14ac:dyDescent="0.3">
      <c r="A14" s="305"/>
      <c r="B14" s="307" t="s">
        <v>15</v>
      </c>
      <c r="C14" s="118">
        <v>187992</v>
      </c>
      <c r="D14" s="118">
        <v>224431</v>
      </c>
      <c r="E14" s="118">
        <v>253921</v>
      </c>
      <c r="F14" s="118">
        <v>272407</v>
      </c>
      <c r="G14" s="16">
        <v>286349</v>
      </c>
      <c r="H14" s="309">
        <f>RATE(4,0,-C14,G14)</f>
        <v>0.11093609024143974</v>
      </c>
    </row>
    <row r="15" spans="1:8" x14ac:dyDescent="0.3">
      <c r="A15" s="305"/>
      <c r="B15" s="308"/>
      <c r="C15" s="20" t="s">
        <v>26</v>
      </c>
      <c r="D15" s="20" t="s">
        <v>27</v>
      </c>
      <c r="E15" s="20" t="s">
        <v>28</v>
      </c>
      <c r="F15" s="20" t="s">
        <v>397</v>
      </c>
      <c r="G15" s="20"/>
      <c r="H15" s="310"/>
    </row>
    <row r="16" spans="1:8" x14ac:dyDescent="0.3">
      <c r="A16" s="305"/>
      <c r="B16" s="13" t="s">
        <v>5</v>
      </c>
      <c r="C16" s="18">
        <v>5.7000000000000002E-2</v>
      </c>
      <c r="D16" s="18">
        <v>6.4000000000000001E-2</v>
      </c>
      <c r="E16" s="18">
        <v>6.8000000000000005E-2</v>
      </c>
      <c r="F16" s="18">
        <f>F14/F9</f>
        <v>6.595447031011363E-2</v>
      </c>
      <c r="G16" s="18">
        <f>G14/G9</f>
        <v>6.4921794300918947E-2</v>
      </c>
      <c r="H16" s="19"/>
    </row>
    <row r="17" spans="1:8" x14ac:dyDescent="0.3">
      <c r="A17" s="305"/>
      <c r="B17" s="307" t="s">
        <v>16</v>
      </c>
      <c r="C17" s="118">
        <v>205328</v>
      </c>
      <c r="D17" s="118">
        <v>242195</v>
      </c>
      <c r="E17" s="118">
        <v>274005</v>
      </c>
      <c r="F17" s="118">
        <v>297770</v>
      </c>
      <c r="G17" s="16">
        <v>310778</v>
      </c>
      <c r="H17" s="309">
        <f>RATE(4,0,-C17,G17)</f>
        <v>0.10917615006533309</v>
      </c>
    </row>
    <row r="18" spans="1:8" x14ac:dyDescent="0.3">
      <c r="A18" s="305"/>
      <c r="B18" s="308"/>
      <c r="C18" s="21" t="s">
        <v>29</v>
      </c>
      <c r="D18" s="21" t="s">
        <v>30</v>
      </c>
      <c r="E18" s="21" t="s">
        <v>31</v>
      </c>
      <c r="F18" s="20" t="s">
        <v>398</v>
      </c>
      <c r="G18" s="20"/>
      <c r="H18" s="310"/>
    </row>
    <row r="19" spans="1:8" ht="27" customHeight="1" x14ac:dyDescent="0.3">
      <c r="A19" s="306"/>
      <c r="B19" s="93" t="s">
        <v>6</v>
      </c>
      <c r="C19" s="293">
        <f>C17/C10</f>
        <v>4.3726329669880354E-2</v>
      </c>
      <c r="D19" s="293">
        <f>D17/D10</f>
        <v>4.7280587775041266E-2</v>
      </c>
      <c r="E19" s="293">
        <f>E17/E10</f>
        <v>4.9105965154756237E-2</v>
      </c>
      <c r="F19" s="293">
        <f>F17/F10</f>
        <v>4.9002465674658977E-2</v>
      </c>
      <c r="G19" s="293">
        <f>G17/G10</f>
        <v>4.8655788687417191E-2</v>
      </c>
      <c r="H19" s="19"/>
    </row>
    <row r="20" spans="1:8" x14ac:dyDescent="0.3">
      <c r="A20" s="304" t="s">
        <v>263</v>
      </c>
      <c r="B20" s="13" t="s">
        <v>7</v>
      </c>
      <c r="C20" s="96">
        <v>206254</v>
      </c>
      <c r="D20" s="96">
        <v>238803</v>
      </c>
      <c r="E20" s="96">
        <v>265791</v>
      </c>
      <c r="F20" s="96">
        <v>286782</v>
      </c>
      <c r="G20" s="14">
        <v>305731</v>
      </c>
      <c r="H20" s="131">
        <f>RATE(4,0,-C20,G20)</f>
        <v>0.10340328923268206</v>
      </c>
    </row>
    <row r="21" spans="1:8" x14ac:dyDescent="0.3">
      <c r="A21" s="305"/>
      <c r="B21" s="13" t="s">
        <v>17</v>
      </c>
      <c r="C21" s="95">
        <v>847</v>
      </c>
      <c r="D21" s="96">
        <v>1022</v>
      </c>
      <c r="E21" s="96">
        <v>1181</v>
      </c>
      <c r="F21" s="96">
        <v>1397</v>
      </c>
      <c r="G21" s="14">
        <v>1463</v>
      </c>
      <c r="H21" s="131">
        <f>RATE(4,0,-C21,G21)</f>
        <v>0.14641069488449096</v>
      </c>
    </row>
    <row r="22" spans="1:8" x14ac:dyDescent="0.3">
      <c r="A22" s="306"/>
      <c r="B22" s="13" t="s">
        <v>18</v>
      </c>
      <c r="C22" s="96">
        <v>70327</v>
      </c>
      <c r="D22" s="96">
        <v>73501</v>
      </c>
      <c r="E22" s="96">
        <v>74745</v>
      </c>
      <c r="F22" s="96">
        <v>76052</v>
      </c>
      <c r="G22" s="14">
        <v>71804</v>
      </c>
      <c r="H22" s="131">
        <f>RATE(4,0,-C22,G22)</f>
        <v>5.2096209910368185E-3</v>
      </c>
    </row>
    <row r="24" spans="1:8" x14ac:dyDescent="0.3">
      <c r="A24" t="s">
        <v>22</v>
      </c>
      <c r="G24" s="165"/>
    </row>
    <row r="25" spans="1:8" x14ac:dyDescent="0.3">
      <c r="G25" s="86"/>
    </row>
  </sheetData>
  <mergeCells count="15">
    <mergeCell ref="G4:G7"/>
    <mergeCell ref="A4:B7"/>
    <mergeCell ref="C4:C7"/>
    <mergeCell ref="D4:D7"/>
    <mergeCell ref="E4:E7"/>
    <mergeCell ref="F4:F7"/>
    <mergeCell ref="A20:A22"/>
    <mergeCell ref="A11:A19"/>
    <mergeCell ref="A8:A10"/>
    <mergeCell ref="B11:B12"/>
    <mergeCell ref="H11:H12"/>
    <mergeCell ref="B14:B15"/>
    <mergeCell ref="H14:H15"/>
    <mergeCell ref="B17:B18"/>
    <mergeCell ref="H17:H18"/>
  </mergeCells>
  <phoneticPr fontId="1" type="noConversion"/>
  <hyperlinks>
    <hyperlink ref="E1" location="목차!A1" display="목차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K79"/>
  <sheetViews>
    <sheetView zoomScale="70" zoomScaleNormal="70" workbookViewId="0">
      <selection activeCell="H45" sqref="H45"/>
    </sheetView>
  </sheetViews>
  <sheetFormatPr defaultRowHeight="16.5" x14ac:dyDescent="0.3"/>
  <cols>
    <col min="1" max="1" width="23.625" customWidth="1"/>
    <col min="5" max="7" width="9" customWidth="1"/>
    <col min="8" max="8" width="10.75" customWidth="1"/>
  </cols>
  <sheetData>
    <row r="1" spans="1:11" ht="17.25" x14ac:dyDescent="0.3">
      <c r="A1" s="3" t="s">
        <v>437</v>
      </c>
      <c r="B1" s="4"/>
      <c r="C1" s="4"/>
      <c r="D1" s="2"/>
      <c r="F1" s="72" t="s">
        <v>367</v>
      </c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75</v>
      </c>
    </row>
    <row r="4" spans="1:11" ht="17.25" thickBot="1" x14ac:dyDescent="0.35">
      <c r="A4" s="313" t="s">
        <v>0</v>
      </c>
      <c r="B4" s="318" t="s">
        <v>369</v>
      </c>
      <c r="C4" s="319"/>
      <c r="D4" s="319"/>
      <c r="E4" s="320"/>
      <c r="F4" s="318" t="s">
        <v>402</v>
      </c>
      <c r="G4" s="319"/>
      <c r="H4" s="319"/>
      <c r="I4" s="320"/>
      <c r="J4" s="318" t="s">
        <v>32</v>
      </c>
      <c r="K4" s="319"/>
    </row>
    <row r="5" spans="1:11" ht="17.25" thickTop="1" x14ac:dyDescent="0.3">
      <c r="A5" s="313"/>
      <c r="B5" s="314" t="s">
        <v>33</v>
      </c>
      <c r="C5" s="53" t="s">
        <v>34</v>
      </c>
      <c r="D5" s="314" t="s">
        <v>73</v>
      </c>
      <c r="E5" s="314" t="s">
        <v>36</v>
      </c>
      <c r="F5" s="314" t="s">
        <v>33</v>
      </c>
      <c r="G5" s="53" t="s">
        <v>34</v>
      </c>
      <c r="H5" s="314" t="s">
        <v>74</v>
      </c>
      <c r="I5" s="314" t="s">
        <v>36</v>
      </c>
      <c r="J5" s="314" t="s">
        <v>37</v>
      </c>
      <c r="K5" s="316" t="s">
        <v>38</v>
      </c>
    </row>
    <row r="6" spans="1:11" x14ac:dyDescent="0.3">
      <c r="A6" s="313"/>
      <c r="B6" s="315"/>
      <c r="C6" s="54" t="s">
        <v>35</v>
      </c>
      <c r="D6" s="315"/>
      <c r="E6" s="315"/>
      <c r="F6" s="315"/>
      <c r="G6" s="54" t="s">
        <v>35</v>
      </c>
      <c r="H6" s="315"/>
      <c r="I6" s="315"/>
      <c r="J6" s="315"/>
      <c r="K6" s="317"/>
    </row>
    <row r="7" spans="1:11" x14ac:dyDescent="0.3">
      <c r="A7" s="158" t="s">
        <v>371</v>
      </c>
      <c r="B7" s="201">
        <v>1</v>
      </c>
      <c r="C7" s="201">
        <v>4</v>
      </c>
      <c r="D7" s="201">
        <v>29</v>
      </c>
      <c r="E7" s="160">
        <v>0</v>
      </c>
      <c r="F7" s="201">
        <v>2</v>
      </c>
      <c r="G7" s="201">
        <v>13</v>
      </c>
      <c r="H7" s="202">
        <v>75</v>
      </c>
      <c r="I7" s="160">
        <v>0</v>
      </c>
      <c r="J7" s="152">
        <v>46</v>
      </c>
      <c r="K7" s="160">
        <v>158.6</v>
      </c>
    </row>
    <row r="8" spans="1:11" x14ac:dyDescent="0.3">
      <c r="A8" s="36" t="s">
        <v>39</v>
      </c>
      <c r="B8" s="204">
        <v>10</v>
      </c>
      <c r="C8" s="204">
        <v>44</v>
      </c>
      <c r="D8" s="204">
        <v>495</v>
      </c>
      <c r="E8" s="13">
        <v>0.2</v>
      </c>
      <c r="F8" s="204">
        <v>12</v>
      </c>
      <c r="G8" s="204">
        <v>51</v>
      </c>
      <c r="H8" s="205">
        <v>542</v>
      </c>
      <c r="I8" s="13">
        <v>0.2</v>
      </c>
      <c r="J8" s="153">
        <v>47</v>
      </c>
      <c r="K8" s="35">
        <v>9.5</v>
      </c>
    </row>
    <row r="9" spans="1:11" x14ac:dyDescent="0.3">
      <c r="A9" s="36" t="s">
        <v>40</v>
      </c>
      <c r="B9" s="204">
        <v>343</v>
      </c>
      <c r="C9" s="204">
        <v>25127</v>
      </c>
      <c r="D9" s="204">
        <v>89089</v>
      </c>
      <c r="E9" s="13">
        <v>31.1</v>
      </c>
      <c r="F9" s="204">
        <v>382</v>
      </c>
      <c r="G9" s="204">
        <v>23640</v>
      </c>
      <c r="H9" s="205">
        <v>94145</v>
      </c>
      <c r="I9" s="13">
        <v>30.8</v>
      </c>
      <c r="J9" s="153">
        <v>5056</v>
      </c>
      <c r="K9" s="35">
        <v>5.7</v>
      </c>
    </row>
    <row r="10" spans="1:11" x14ac:dyDescent="0.3">
      <c r="A10" s="36" t="s">
        <v>41</v>
      </c>
      <c r="B10" s="204">
        <v>23</v>
      </c>
      <c r="C10" s="204">
        <v>14728</v>
      </c>
      <c r="D10" s="204">
        <v>23904</v>
      </c>
      <c r="E10" s="13">
        <v>8.3000000000000007</v>
      </c>
      <c r="F10" s="204">
        <v>23</v>
      </c>
      <c r="G10" s="204">
        <v>15504</v>
      </c>
      <c r="H10" s="205">
        <v>28199</v>
      </c>
      <c r="I10" s="13">
        <v>9.1999999999999993</v>
      </c>
      <c r="J10" s="153">
        <v>4295</v>
      </c>
      <c r="K10" s="35">
        <v>18</v>
      </c>
    </row>
    <row r="11" spans="1:11" x14ac:dyDescent="0.3">
      <c r="A11" s="36" t="s">
        <v>42</v>
      </c>
      <c r="B11" s="204">
        <v>31</v>
      </c>
      <c r="C11" s="204">
        <v>1007</v>
      </c>
      <c r="D11" s="204">
        <v>5571</v>
      </c>
      <c r="E11" s="13">
        <v>1.9</v>
      </c>
      <c r="F11" s="204">
        <v>30</v>
      </c>
      <c r="G11" s="204">
        <v>940</v>
      </c>
      <c r="H11" s="205">
        <v>5439</v>
      </c>
      <c r="I11" s="13">
        <v>1.8</v>
      </c>
      <c r="J11" s="153" t="s">
        <v>438</v>
      </c>
      <c r="K11" s="35" t="s">
        <v>376</v>
      </c>
    </row>
    <row r="12" spans="1:11" x14ac:dyDescent="0.3">
      <c r="A12" s="36" t="s">
        <v>43</v>
      </c>
      <c r="B12" s="204">
        <v>3</v>
      </c>
      <c r="C12" s="204">
        <v>14</v>
      </c>
      <c r="D12" s="204">
        <v>662</v>
      </c>
      <c r="E12" s="13">
        <v>0.2</v>
      </c>
      <c r="F12" s="204">
        <v>3</v>
      </c>
      <c r="G12" s="204">
        <v>18</v>
      </c>
      <c r="H12" s="205">
        <v>806</v>
      </c>
      <c r="I12" s="13">
        <v>0.3</v>
      </c>
      <c r="J12" s="153">
        <v>144</v>
      </c>
      <c r="K12" s="35">
        <v>21.8</v>
      </c>
    </row>
    <row r="13" spans="1:11" x14ac:dyDescent="0.3">
      <c r="A13" s="36" t="s">
        <v>44</v>
      </c>
      <c r="B13" s="204">
        <v>86</v>
      </c>
      <c r="C13" s="285">
        <v>499</v>
      </c>
      <c r="D13" s="285">
        <v>5622</v>
      </c>
      <c r="E13" s="252">
        <v>2</v>
      </c>
      <c r="F13" s="285">
        <v>104</v>
      </c>
      <c r="G13" s="285">
        <v>366</v>
      </c>
      <c r="H13" s="287">
        <v>6032</v>
      </c>
      <c r="I13" s="252">
        <v>2</v>
      </c>
      <c r="J13" s="253">
        <v>410</v>
      </c>
      <c r="K13" s="254">
        <v>7.3</v>
      </c>
    </row>
    <row r="14" spans="1:11" x14ac:dyDescent="0.3">
      <c r="A14" s="36" t="s">
        <v>45</v>
      </c>
      <c r="B14" s="204">
        <v>22</v>
      </c>
      <c r="C14" s="285">
        <v>168</v>
      </c>
      <c r="D14" s="285">
        <v>1236</v>
      </c>
      <c r="E14" s="252">
        <v>0.4</v>
      </c>
      <c r="F14" s="285">
        <v>21</v>
      </c>
      <c r="G14" s="285">
        <v>134</v>
      </c>
      <c r="H14" s="287">
        <v>1224</v>
      </c>
      <c r="I14" s="252">
        <v>0.4</v>
      </c>
      <c r="J14" s="253" t="s">
        <v>377</v>
      </c>
      <c r="K14" s="254" t="s">
        <v>439</v>
      </c>
    </row>
    <row r="15" spans="1:11" x14ac:dyDescent="0.3">
      <c r="A15" s="36" t="s">
        <v>46</v>
      </c>
      <c r="B15" s="204">
        <v>41</v>
      </c>
      <c r="C15" s="285">
        <v>574</v>
      </c>
      <c r="D15" s="285">
        <v>2878</v>
      </c>
      <c r="E15" s="252">
        <v>1</v>
      </c>
      <c r="F15" s="285">
        <v>2</v>
      </c>
      <c r="G15" s="285">
        <v>2</v>
      </c>
      <c r="H15" s="287">
        <v>7</v>
      </c>
      <c r="I15" s="252">
        <v>0</v>
      </c>
      <c r="J15" s="253" t="s">
        <v>1316</v>
      </c>
      <c r="K15" s="254" t="s">
        <v>1317</v>
      </c>
    </row>
    <row r="16" spans="1:11" x14ac:dyDescent="0.3">
      <c r="A16" s="36" t="s">
        <v>47</v>
      </c>
      <c r="B16" s="204">
        <v>31</v>
      </c>
      <c r="C16" s="285">
        <v>1624</v>
      </c>
      <c r="D16" s="285">
        <v>2662</v>
      </c>
      <c r="E16" s="252">
        <v>0.9</v>
      </c>
      <c r="F16" s="285">
        <v>27</v>
      </c>
      <c r="G16" s="285">
        <v>1347</v>
      </c>
      <c r="H16" s="287">
        <v>2535</v>
      </c>
      <c r="I16" s="252">
        <v>0.8</v>
      </c>
      <c r="J16" s="253" t="s">
        <v>440</v>
      </c>
      <c r="K16" s="254" t="s">
        <v>441</v>
      </c>
    </row>
    <row r="17" spans="1:11" x14ac:dyDescent="0.3">
      <c r="A17" s="36" t="s">
        <v>48</v>
      </c>
      <c r="B17" s="204">
        <v>61</v>
      </c>
      <c r="C17" s="285">
        <v>4676</v>
      </c>
      <c r="D17" s="285">
        <v>8124</v>
      </c>
      <c r="E17" s="252">
        <v>2.8</v>
      </c>
      <c r="F17" s="285">
        <v>58</v>
      </c>
      <c r="G17" s="285">
        <v>1567</v>
      </c>
      <c r="H17" s="287">
        <v>8777</v>
      </c>
      <c r="I17" s="252">
        <v>2.9</v>
      </c>
      <c r="J17" s="253">
        <v>653</v>
      </c>
      <c r="K17" s="254">
        <v>8</v>
      </c>
    </row>
    <row r="18" spans="1:11" x14ac:dyDescent="0.3">
      <c r="A18" s="36" t="s">
        <v>49</v>
      </c>
      <c r="B18" s="204">
        <v>31</v>
      </c>
      <c r="C18" s="285">
        <v>1557</v>
      </c>
      <c r="D18" s="285">
        <v>9252</v>
      </c>
      <c r="E18" s="252">
        <v>3.2</v>
      </c>
      <c r="F18" s="285">
        <v>29</v>
      </c>
      <c r="G18" s="285">
        <v>1445</v>
      </c>
      <c r="H18" s="287">
        <v>9360</v>
      </c>
      <c r="I18" s="252">
        <v>3.1</v>
      </c>
      <c r="J18" s="253">
        <v>108</v>
      </c>
      <c r="K18" s="254">
        <v>1.2</v>
      </c>
    </row>
    <row r="19" spans="1:11" x14ac:dyDescent="0.3">
      <c r="A19" s="36" t="s">
        <v>50</v>
      </c>
      <c r="B19" s="204">
        <v>6</v>
      </c>
      <c r="C19" s="285">
        <v>76</v>
      </c>
      <c r="D19" s="285">
        <v>641</v>
      </c>
      <c r="E19" s="252">
        <v>0.2</v>
      </c>
      <c r="F19" s="285">
        <v>6</v>
      </c>
      <c r="G19" s="285">
        <v>73</v>
      </c>
      <c r="H19" s="287">
        <v>678</v>
      </c>
      <c r="I19" s="252">
        <v>0.2</v>
      </c>
      <c r="J19" s="253">
        <v>37</v>
      </c>
      <c r="K19" s="254">
        <v>5.8</v>
      </c>
    </row>
    <row r="20" spans="1:11" x14ac:dyDescent="0.3">
      <c r="A20" s="36" t="s">
        <v>51</v>
      </c>
      <c r="B20" s="204">
        <v>14</v>
      </c>
      <c r="C20" s="285">
        <v>130</v>
      </c>
      <c r="D20" s="285">
        <v>1290</v>
      </c>
      <c r="E20" s="252">
        <v>0.4</v>
      </c>
      <c r="F20" s="285">
        <v>14</v>
      </c>
      <c r="G20" s="285">
        <v>147</v>
      </c>
      <c r="H20" s="287">
        <v>1291</v>
      </c>
      <c r="I20" s="252">
        <v>0.4</v>
      </c>
      <c r="J20" s="253">
        <v>1</v>
      </c>
      <c r="K20" s="254">
        <v>0.1</v>
      </c>
    </row>
    <row r="21" spans="1:11" x14ac:dyDescent="0.3">
      <c r="A21" s="36" t="s">
        <v>52</v>
      </c>
      <c r="B21" s="204">
        <v>8</v>
      </c>
      <c r="C21" s="285">
        <v>730</v>
      </c>
      <c r="D21" s="285">
        <v>41061</v>
      </c>
      <c r="E21" s="252">
        <v>14.3</v>
      </c>
      <c r="F21" s="285">
        <v>8</v>
      </c>
      <c r="G21" s="285">
        <v>846</v>
      </c>
      <c r="H21" s="287">
        <v>45992</v>
      </c>
      <c r="I21" s="252">
        <v>15</v>
      </c>
      <c r="J21" s="253">
        <v>4931</v>
      </c>
      <c r="K21" s="254">
        <v>12</v>
      </c>
    </row>
    <row r="22" spans="1:11" x14ac:dyDescent="0.3">
      <c r="A22" s="36" t="s">
        <v>53</v>
      </c>
      <c r="B22" s="204">
        <v>2</v>
      </c>
      <c r="C22" s="285">
        <v>15</v>
      </c>
      <c r="D22" s="285">
        <v>26</v>
      </c>
      <c r="E22" s="252">
        <v>0</v>
      </c>
      <c r="F22" s="285">
        <v>2</v>
      </c>
      <c r="G22" s="285">
        <v>14</v>
      </c>
      <c r="H22" s="287">
        <v>27</v>
      </c>
      <c r="I22" s="252">
        <v>0</v>
      </c>
      <c r="J22" s="253">
        <v>1</v>
      </c>
      <c r="K22" s="254">
        <v>3.8</v>
      </c>
    </row>
    <row r="23" spans="1:11" x14ac:dyDescent="0.3">
      <c r="A23" s="36" t="s">
        <v>54</v>
      </c>
      <c r="B23" s="204">
        <v>0</v>
      </c>
      <c r="C23" s="285">
        <v>0</v>
      </c>
      <c r="D23" s="285">
        <v>0</v>
      </c>
      <c r="E23" s="252">
        <v>0</v>
      </c>
      <c r="F23" s="285">
        <v>1</v>
      </c>
      <c r="G23" s="285">
        <v>1</v>
      </c>
      <c r="H23" s="287">
        <v>1</v>
      </c>
      <c r="I23" s="252">
        <v>0</v>
      </c>
      <c r="J23" s="253">
        <v>1</v>
      </c>
      <c r="K23" s="254" t="s">
        <v>65</v>
      </c>
    </row>
    <row r="24" spans="1:11" x14ac:dyDescent="0.3">
      <c r="A24" s="36" t="s">
        <v>55</v>
      </c>
      <c r="B24" s="204">
        <v>68</v>
      </c>
      <c r="C24" s="285">
        <v>2627</v>
      </c>
      <c r="D24" s="285">
        <v>6224</v>
      </c>
      <c r="E24" s="252">
        <v>2.2000000000000002</v>
      </c>
      <c r="F24" s="285">
        <v>69</v>
      </c>
      <c r="G24" s="285">
        <v>2864</v>
      </c>
      <c r="H24" s="287">
        <v>6140</v>
      </c>
      <c r="I24" s="252">
        <v>2</v>
      </c>
      <c r="J24" s="253" t="s">
        <v>442</v>
      </c>
      <c r="K24" s="254" t="s">
        <v>388</v>
      </c>
    </row>
    <row r="25" spans="1:11" x14ac:dyDescent="0.3">
      <c r="A25" s="36" t="s">
        <v>56</v>
      </c>
      <c r="B25" s="204">
        <v>23</v>
      </c>
      <c r="C25" s="285">
        <v>526</v>
      </c>
      <c r="D25" s="285">
        <v>1471</v>
      </c>
      <c r="E25" s="252">
        <v>0.5</v>
      </c>
      <c r="F25" s="285">
        <v>24</v>
      </c>
      <c r="G25" s="285">
        <v>509</v>
      </c>
      <c r="H25" s="287">
        <v>1625</v>
      </c>
      <c r="I25" s="252">
        <v>0.5</v>
      </c>
      <c r="J25" s="253">
        <v>154</v>
      </c>
      <c r="K25" s="254">
        <v>10.5</v>
      </c>
    </row>
    <row r="26" spans="1:11" x14ac:dyDescent="0.3">
      <c r="A26" s="36" t="s">
        <v>57</v>
      </c>
      <c r="B26" s="204">
        <v>238</v>
      </c>
      <c r="C26" s="285">
        <v>5956</v>
      </c>
      <c r="D26" s="285">
        <v>50675</v>
      </c>
      <c r="E26" s="252">
        <v>17.7</v>
      </c>
      <c r="F26" s="285">
        <v>265</v>
      </c>
      <c r="G26" s="285">
        <v>6161</v>
      </c>
      <c r="H26" s="287">
        <v>54576</v>
      </c>
      <c r="I26" s="252">
        <v>17.899999999999999</v>
      </c>
      <c r="J26" s="253">
        <v>3901</v>
      </c>
      <c r="K26" s="254">
        <v>7.7</v>
      </c>
    </row>
    <row r="27" spans="1:11" x14ac:dyDescent="0.3">
      <c r="A27" s="36" t="s">
        <v>58</v>
      </c>
      <c r="B27" s="204">
        <v>7</v>
      </c>
      <c r="C27" s="285">
        <v>32</v>
      </c>
      <c r="D27" s="285">
        <v>223</v>
      </c>
      <c r="E27" s="252">
        <v>0.1</v>
      </c>
      <c r="F27" s="285">
        <v>10</v>
      </c>
      <c r="G27" s="285">
        <v>29</v>
      </c>
      <c r="H27" s="287">
        <v>243</v>
      </c>
      <c r="I27" s="252">
        <v>0.1</v>
      </c>
      <c r="J27" s="253">
        <v>20</v>
      </c>
      <c r="K27" s="254">
        <v>9</v>
      </c>
    </row>
    <row r="28" spans="1:11" x14ac:dyDescent="0.3">
      <c r="A28" s="36" t="s">
        <v>59</v>
      </c>
      <c r="B28" s="204">
        <v>14</v>
      </c>
      <c r="C28" s="285">
        <v>590</v>
      </c>
      <c r="D28" s="285">
        <v>1102</v>
      </c>
      <c r="E28" s="252">
        <v>0.4</v>
      </c>
      <c r="F28" s="285">
        <v>15</v>
      </c>
      <c r="G28" s="285">
        <v>654</v>
      </c>
      <c r="H28" s="287">
        <v>1341</v>
      </c>
      <c r="I28" s="252">
        <v>0.4</v>
      </c>
      <c r="J28" s="253">
        <v>239</v>
      </c>
      <c r="K28" s="254">
        <v>21.7</v>
      </c>
    </row>
    <row r="29" spans="1:11" x14ac:dyDescent="0.3">
      <c r="A29" s="36" t="s">
        <v>60</v>
      </c>
      <c r="B29" s="204">
        <v>1</v>
      </c>
      <c r="C29" s="285">
        <v>9</v>
      </c>
      <c r="D29" s="285">
        <v>2</v>
      </c>
      <c r="E29" s="252">
        <v>0</v>
      </c>
      <c r="F29" s="285">
        <v>1</v>
      </c>
      <c r="G29" s="285">
        <v>8</v>
      </c>
      <c r="H29" s="287">
        <v>2</v>
      </c>
      <c r="I29" s="252">
        <v>0</v>
      </c>
      <c r="J29" s="253">
        <v>0</v>
      </c>
      <c r="K29" s="254">
        <v>0</v>
      </c>
    </row>
    <row r="30" spans="1:11" x14ac:dyDescent="0.3">
      <c r="A30" s="36" t="s">
        <v>61</v>
      </c>
      <c r="B30" s="204">
        <v>1</v>
      </c>
      <c r="C30" s="285">
        <v>2</v>
      </c>
      <c r="D30" s="285">
        <v>1</v>
      </c>
      <c r="E30" s="252">
        <v>0</v>
      </c>
      <c r="F30" s="285">
        <v>1</v>
      </c>
      <c r="G30" s="285">
        <v>8</v>
      </c>
      <c r="H30" s="287">
        <v>4</v>
      </c>
      <c r="I30" s="252">
        <v>0</v>
      </c>
      <c r="J30" s="253">
        <v>3</v>
      </c>
      <c r="K30" s="254">
        <v>300</v>
      </c>
    </row>
    <row r="31" spans="1:11" x14ac:dyDescent="0.3">
      <c r="A31" s="36" t="s">
        <v>62</v>
      </c>
      <c r="B31" s="201">
        <v>12</v>
      </c>
      <c r="C31" s="286">
        <v>213</v>
      </c>
      <c r="D31" s="286">
        <v>1149</v>
      </c>
      <c r="E31" s="256">
        <v>0.4</v>
      </c>
      <c r="F31" s="285">
        <v>13</v>
      </c>
      <c r="G31" s="285">
        <v>179</v>
      </c>
      <c r="H31" s="287">
        <v>979</v>
      </c>
      <c r="I31" s="252">
        <v>0.3</v>
      </c>
      <c r="J31" s="257" t="s">
        <v>443</v>
      </c>
      <c r="K31" s="256" t="s">
        <v>444</v>
      </c>
    </row>
    <row r="32" spans="1:11" x14ac:dyDescent="0.3">
      <c r="A32" s="36" t="s">
        <v>445</v>
      </c>
      <c r="B32" s="204">
        <v>0</v>
      </c>
      <c r="C32" s="285">
        <v>0</v>
      </c>
      <c r="D32" s="285">
        <v>0</v>
      </c>
      <c r="E32" s="252">
        <v>0</v>
      </c>
      <c r="F32" s="285">
        <v>1</v>
      </c>
      <c r="G32" s="285">
        <v>7</v>
      </c>
      <c r="H32" s="287">
        <v>17</v>
      </c>
      <c r="I32" s="252">
        <v>0</v>
      </c>
      <c r="J32" s="253">
        <v>17</v>
      </c>
      <c r="K32" s="254" t="s">
        <v>65</v>
      </c>
    </row>
    <row r="33" spans="1:11" x14ac:dyDescent="0.3">
      <c r="A33" s="36" t="s">
        <v>63</v>
      </c>
      <c r="B33" s="204">
        <v>49</v>
      </c>
      <c r="C33" s="285">
        <v>12283</v>
      </c>
      <c r="D33" s="285">
        <v>17296</v>
      </c>
      <c r="E33" s="252">
        <v>6</v>
      </c>
      <c r="F33" s="285">
        <v>51</v>
      </c>
      <c r="G33" s="285">
        <v>12550</v>
      </c>
      <c r="H33" s="287">
        <v>18224</v>
      </c>
      <c r="I33" s="252">
        <v>6</v>
      </c>
      <c r="J33" s="253">
        <v>928</v>
      </c>
      <c r="K33" s="254">
        <v>5.4</v>
      </c>
    </row>
    <row r="34" spans="1:11" x14ac:dyDescent="0.3">
      <c r="A34" s="36" t="s">
        <v>64</v>
      </c>
      <c r="B34" s="204">
        <v>17</v>
      </c>
      <c r="C34" s="285">
        <v>198</v>
      </c>
      <c r="D34" s="285">
        <v>1448</v>
      </c>
      <c r="E34" s="252">
        <v>0.5</v>
      </c>
      <c r="F34" s="285">
        <v>21</v>
      </c>
      <c r="G34" s="285">
        <v>304</v>
      </c>
      <c r="H34" s="287">
        <v>1934</v>
      </c>
      <c r="I34" s="252">
        <v>0.6</v>
      </c>
      <c r="J34" s="253">
        <v>486</v>
      </c>
      <c r="K34" s="254">
        <v>33.6</v>
      </c>
    </row>
    <row r="35" spans="1:11" x14ac:dyDescent="0.3">
      <c r="A35" s="124" t="s">
        <v>66</v>
      </c>
      <c r="B35" s="204">
        <v>3</v>
      </c>
      <c r="C35" s="285">
        <v>12</v>
      </c>
      <c r="D35" s="285">
        <v>588</v>
      </c>
      <c r="E35" s="252">
        <v>0.2</v>
      </c>
      <c r="F35" s="285">
        <v>3</v>
      </c>
      <c r="G35" s="285">
        <v>9</v>
      </c>
      <c r="H35" s="287">
        <v>490</v>
      </c>
      <c r="I35" s="252">
        <v>0.2</v>
      </c>
      <c r="J35" s="253" t="s">
        <v>446</v>
      </c>
      <c r="K35" s="254" t="s">
        <v>447</v>
      </c>
    </row>
    <row r="36" spans="1:11" x14ac:dyDescent="0.3">
      <c r="A36" s="36" t="s">
        <v>67</v>
      </c>
      <c r="B36" s="204">
        <v>9</v>
      </c>
      <c r="C36" s="285">
        <v>113</v>
      </c>
      <c r="D36" s="285">
        <v>341</v>
      </c>
      <c r="E36" s="252">
        <v>0.1</v>
      </c>
      <c r="F36" s="285">
        <v>12</v>
      </c>
      <c r="G36" s="285">
        <v>93</v>
      </c>
      <c r="H36" s="287">
        <v>402</v>
      </c>
      <c r="I36" s="252">
        <v>0.1</v>
      </c>
      <c r="J36" s="253">
        <v>61</v>
      </c>
      <c r="K36" s="254">
        <v>17.899999999999999</v>
      </c>
    </row>
    <row r="37" spans="1:11" x14ac:dyDescent="0.3">
      <c r="A37" s="36" t="s">
        <v>68</v>
      </c>
      <c r="B37" s="204">
        <v>107</v>
      </c>
      <c r="C37" s="204">
        <v>1558</v>
      </c>
      <c r="D37" s="204">
        <v>8370</v>
      </c>
      <c r="E37" s="13">
        <v>2.9</v>
      </c>
      <c r="F37" s="204">
        <v>114</v>
      </c>
      <c r="G37" s="204">
        <v>1388</v>
      </c>
      <c r="H37" s="205">
        <v>9212</v>
      </c>
      <c r="I37" s="13">
        <v>3</v>
      </c>
      <c r="J37" s="153">
        <v>842</v>
      </c>
      <c r="K37" s="35">
        <v>10.1</v>
      </c>
    </row>
    <row r="38" spans="1:11" x14ac:dyDescent="0.3">
      <c r="A38" s="36" t="s">
        <v>69</v>
      </c>
      <c r="B38" s="204">
        <v>23</v>
      </c>
      <c r="C38" s="204">
        <v>175</v>
      </c>
      <c r="D38" s="204">
        <v>1101</v>
      </c>
      <c r="E38" s="13">
        <v>0.4</v>
      </c>
      <c r="F38" s="204">
        <v>24</v>
      </c>
      <c r="G38" s="204">
        <v>174</v>
      </c>
      <c r="H38" s="205">
        <v>1175</v>
      </c>
      <c r="I38" s="13">
        <v>0.4</v>
      </c>
      <c r="J38" s="153">
        <v>74</v>
      </c>
      <c r="K38" s="35">
        <v>6.7</v>
      </c>
    </row>
    <row r="39" spans="1:11" x14ac:dyDescent="0.3">
      <c r="A39" s="36" t="s">
        <v>70</v>
      </c>
      <c r="B39" s="204">
        <v>1</v>
      </c>
      <c r="C39" s="204">
        <v>4</v>
      </c>
      <c r="D39" s="204">
        <v>4</v>
      </c>
      <c r="E39" s="13">
        <v>0</v>
      </c>
      <c r="F39" s="204">
        <v>1</v>
      </c>
      <c r="G39" s="204">
        <v>5</v>
      </c>
      <c r="H39" s="205">
        <v>4</v>
      </c>
      <c r="I39" s="13">
        <v>0</v>
      </c>
      <c r="J39" s="153">
        <v>0</v>
      </c>
      <c r="K39" s="35">
        <v>0</v>
      </c>
    </row>
    <row r="40" spans="1:11" x14ac:dyDescent="0.3">
      <c r="A40" s="36" t="s">
        <v>71</v>
      </c>
      <c r="B40" s="204">
        <v>51</v>
      </c>
      <c r="C40" s="204">
        <v>781</v>
      </c>
      <c r="D40" s="204">
        <v>4247</v>
      </c>
      <c r="E40" s="13">
        <v>1.5</v>
      </c>
      <c r="F40" s="204">
        <v>48</v>
      </c>
      <c r="G40" s="204">
        <v>754</v>
      </c>
      <c r="H40" s="205">
        <v>4232</v>
      </c>
      <c r="I40" s="13">
        <v>1.4</v>
      </c>
      <c r="J40" s="153" t="s">
        <v>384</v>
      </c>
      <c r="K40" s="35" t="s">
        <v>448</v>
      </c>
    </row>
    <row r="41" spans="1:11" x14ac:dyDescent="0.3">
      <c r="A41" s="124" t="s">
        <v>72</v>
      </c>
      <c r="B41" s="204">
        <v>1337</v>
      </c>
      <c r="C41" s="204">
        <v>76052</v>
      </c>
      <c r="D41" s="204">
        <v>286782</v>
      </c>
      <c r="E41" s="95">
        <v>100</v>
      </c>
      <c r="F41" s="204">
        <v>1397</v>
      </c>
      <c r="G41" s="204">
        <v>71804</v>
      </c>
      <c r="H41" s="205">
        <v>305731</v>
      </c>
      <c r="I41" s="95">
        <v>100</v>
      </c>
      <c r="J41" s="153">
        <v>18949</v>
      </c>
      <c r="K41" s="123">
        <v>6.6</v>
      </c>
    </row>
    <row r="44" spans="1:11" x14ac:dyDescent="0.3">
      <c r="B44" s="90"/>
      <c r="C44" s="90"/>
      <c r="D44" s="90"/>
      <c r="E44" s="90"/>
      <c r="F44" s="90"/>
      <c r="G44" s="90"/>
      <c r="H44" s="90"/>
      <c r="I44" s="90"/>
      <c r="J44" s="90"/>
      <c r="K44" s="90"/>
    </row>
    <row r="45" spans="1:11" x14ac:dyDescent="0.3">
      <c r="B45" s="90"/>
      <c r="C45" s="90"/>
      <c r="D45" s="90"/>
      <c r="E45" s="90"/>
      <c r="F45" s="90"/>
      <c r="G45" s="90"/>
      <c r="H45" s="90"/>
      <c r="I45" s="90"/>
      <c r="J45" s="90"/>
      <c r="K45" s="90"/>
    </row>
    <row r="46" spans="1:11" x14ac:dyDescent="0.3">
      <c r="B46" s="90"/>
      <c r="C46" s="90"/>
      <c r="D46" s="90"/>
      <c r="E46" s="90"/>
      <c r="F46" s="90"/>
      <c r="G46" s="90"/>
      <c r="H46" s="90"/>
      <c r="I46" s="90"/>
      <c r="J46" s="90"/>
      <c r="K46" s="90"/>
    </row>
    <row r="47" spans="1:11" x14ac:dyDescent="0.3">
      <c r="B47" s="90"/>
      <c r="C47" s="90"/>
      <c r="D47" s="90"/>
      <c r="E47" s="90"/>
      <c r="F47" s="90"/>
      <c r="G47" s="90"/>
      <c r="H47" s="90"/>
      <c r="I47" s="90"/>
      <c r="J47" s="90"/>
      <c r="K47" s="90"/>
    </row>
    <row r="48" spans="1:11" x14ac:dyDescent="0.3">
      <c r="B48" s="90"/>
      <c r="C48" s="90"/>
      <c r="D48" s="90"/>
      <c r="E48" s="90"/>
      <c r="F48" s="90"/>
      <c r="G48" s="90"/>
      <c r="H48" s="90"/>
      <c r="I48" s="90"/>
      <c r="J48" s="90"/>
      <c r="K48" s="90"/>
    </row>
    <row r="49" spans="2:11" x14ac:dyDescent="0.3">
      <c r="B49" s="90"/>
      <c r="C49" s="90"/>
      <c r="D49" s="90"/>
      <c r="E49" s="90"/>
      <c r="F49" s="90"/>
      <c r="G49" s="90"/>
      <c r="H49" s="90"/>
      <c r="I49" s="90"/>
      <c r="J49" s="90"/>
      <c r="K49" s="90"/>
    </row>
    <row r="50" spans="2:11" x14ac:dyDescent="0.3">
      <c r="B50" s="90"/>
      <c r="C50" s="90"/>
      <c r="D50" s="90"/>
      <c r="E50" s="90"/>
      <c r="F50" s="90"/>
      <c r="G50" s="90"/>
      <c r="H50" s="90"/>
      <c r="I50" s="90"/>
      <c r="J50" s="90"/>
      <c r="K50" s="90"/>
    </row>
    <row r="51" spans="2:11" x14ac:dyDescent="0.3">
      <c r="B51" s="90"/>
      <c r="C51" s="90"/>
      <c r="D51" s="90"/>
      <c r="E51" s="90"/>
      <c r="F51" s="90"/>
      <c r="G51" s="90"/>
      <c r="H51" s="90"/>
      <c r="I51" s="90"/>
      <c r="J51" s="90"/>
      <c r="K51" s="90"/>
    </row>
    <row r="52" spans="2:11" x14ac:dyDescent="0.3">
      <c r="B52" s="90"/>
      <c r="C52" s="90"/>
      <c r="D52" s="90"/>
      <c r="E52" s="90"/>
      <c r="F52" s="90"/>
      <c r="G52" s="90"/>
      <c r="H52" s="90"/>
      <c r="I52" s="90"/>
      <c r="J52" s="90"/>
      <c r="K52" s="90"/>
    </row>
    <row r="53" spans="2:11" x14ac:dyDescent="0.3">
      <c r="B53" s="90"/>
      <c r="C53" s="90"/>
      <c r="D53" s="90"/>
      <c r="E53" s="90"/>
      <c r="F53" s="90"/>
      <c r="G53" s="90"/>
      <c r="H53" s="90"/>
      <c r="I53" s="90"/>
      <c r="J53" s="90"/>
      <c r="K53" s="90"/>
    </row>
    <row r="54" spans="2:11" x14ac:dyDescent="0.3">
      <c r="B54" s="90"/>
      <c r="C54" s="90"/>
      <c r="D54" s="90"/>
      <c r="E54" s="90"/>
      <c r="F54" s="90"/>
      <c r="G54" s="90"/>
      <c r="H54" s="90"/>
      <c r="I54" s="90"/>
      <c r="J54" s="90"/>
      <c r="K54" s="90"/>
    </row>
    <row r="55" spans="2:11" x14ac:dyDescent="0.3">
      <c r="B55" s="90"/>
      <c r="C55" s="90"/>
      <c r="D55" s="90"/>
      <c r="E55" s="90"/>
      <c r="F55" s="90"/>
      <c r="G55" s="90"/>
      <c r="H55" s="90"/>
      <c r="I55" s="90"/>
      <c r="J55" s="90"/>
      <c r="K55" s="90"/>
    </row>
    <row r="56" spans="2:11" x14ac:dyDescent="0.3">
      <c r="B56" s="90"/>
      <c r="C56" s="90"/>
      <c r="D56" s="90"/>
      <c r="E56" s="90"/>
      <c r="F56" s="90"/>
      <c r="G56" s="90"/>
      <c r="H56" s="90"/>
      <c r="I56" s="90"/>
      <c r="J56" s="90"/>
      <c r="K56" s="90"/>
    </row>
    <row r="57" spans="2:11" x14ac:dyDescent="0.3">
      <c r="B57" s="90"/>
      <c r="C57" s="90"/>
      <c r="D57" s="90"/>
      <c r="E57" s="90"/>
      <c r="F57" s="90"/>
      <c r="G57" s="90"/>
      <c r="H57" s="90"/>
      <c r="I57" s="90"/>
      <c r="J57" s="90"/>
      <c r="K57" s="90"/>
    </row>
    <row r="58" spans="2:11" x14ac:dyDescent="0.3">
      <c r="B58" s="90"/>
      <c r="C58" s="90"/>
      <c r="D58" s="90"/>
      <c r="E58" s="90"/>
      <c r="F58" s="90"/>
      <c r="G58" s="90"/>
      <c r="H58" s="90"/>
      <c r="I58" s="90"/>
      <c r="J58" s="90"/>
      <c r="K58" s="90"/>
    </row>
    <row r="59" spans="2:11" x14ac:dyDescent="0.3">
      <c r="B59" s="90"/>
      <c r="C59" s="90"/>
      <c r="D59" s="90"/>
      <c r="E59" s="90"/>
      <c r="F59" s="90"/>
      <c r="G59" s="90"/>
      <c r="H59" s="90"/>
      <c r="I59" s="90"/>
      <c r="J59" s="90"/>
      <c r="K59" s="90"/>
    </row>
    <row r="60" spans="2:1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</row>
    <row r="61" spans="2:11" x14ac:dyDescent="0.3">
      <c r="B61" s="90"/>
      <c r="C61" s="90"/>
      <c r="D61" s="90"/>
      <c r="E61" s="90"/>
      <c r="F61" s="90"/>
      <c r="G61" s="90"/>
      <c r="H61" s="90"/>
      <c r="I61" s="90"/>
      <c r="J61" s="90"/>
      <c r="K61" s="90"/>
    </row>
    <row r="62" spans="2:11" x14ac:dyDescent="0.3">
      <c r="B62" s="90"/>
      <c r="C62" s="90"/>
      <c r="D62" s="90"/>
      <c r="E62" s="90"/>
      <c r="F62" s="90"/>
      <c r="G62" s="90"/>
      <c r="H62" s="90"/>
      <c r="I62" s="90"/>
      <c r="J62" s="90"/>
      <c r="K62" s="90"/>
    </row>
    <row r="63" spans="2:11" x14ac:dyDescent="0.3">
      <c r="B63" s="90"/>
      <c r="C63" s="90"/>
      <c r="D63" s="90"/>
      <c r="E63" s="90"/>
      <c r="F63" s="90"/>
      <c r="G63" s="90"/>
      <c r="H63" s="90"/>
      <c r="I63" s="90"/>
      <c r="J63" s="90"/>
      <c r="K63" s="90"/>
    </row>
    <row r="64" spans="2:11" x14ac:dyDescent="0.3">
      <c r="B64" s="90"/>
      <c r="C64" s="90"/>
      <c r="D64" s="90"/>
      <c r="E64" s="90"/>
      <c r="F64" s="90"/>
      <c r="G64" s="90"/>
      <c r="H64" s="90"/>
      <c r="I64" s="90"/>
      <c r="J64" s="90"/>
      <c r="K64" s="90"/>
    </row>
    <row r="65" spans="2:11" x14ac:dyDescent="0.3">
      <c r="B65" s="90"/>
      <c r="C65" s="90"/>
      <c r="D65" s="90"/>
      <c r="E65" s="90"/>
      <c r="F65" s="90"/>
      <c r="G65" s="90"/>
      <c r="H65" s="90"/>
      <c r="I65" s="90"/>
      <c r="J65" s="90"/>
      <c r="K65" s="90"/>
    </row>
    <row r="66" spans="2:11" x14ac:dyDescent="0.3">
      <c r="B66" s="90"/>
      <c r="C66" s="90"/>
      <c r="D66" s="90"/>
      <c r="E66" s="90"/>
      <c r="F66" s="90"/>
      <c r="G66" s="90"/>
      <c r="H66" s="90"/>
      <c r="I66" s="90"/>
      <c r="J66" s="90"/>
      <c r="K66" s="90"/>
    </row>
    <row r="67" spans="2:11" x14ac:dyDescent="0.3">
      <c r="B67" s="90"/>
      <c r="C67" s="90"/>
      <c r="D67" s="90"/>
      <c r="E67" s="90"/>
      <c r="F67" s="90"/>
      <c r="G67" s="90"/>
      <c r="H67" s="90"/>
      <c r="I67" s="90"/>
      <c r="J67" s="90"/>
      <c r="K67" s="90"/>
    </row>
    <row r="68" spans="2:11" x14ac:dyDescent="0.3">
      <c r="B68" s="90"/>
      <c r="C68" s="90"/>
      <c r="D68" s="90"/>
      <c r="E68" s="90"/>
      <c r="F68" s="90"/>
      <c r="G68" s="90"/>
      <c r="H68" s="90"/>
      <c r="I68" s="90"/>
      <c r="J68" s="90"/>
      <c r="K68" s="90"/>
    </row>
    <row r="69" spans="2:11" x14ac:dyDescent="0.3">
      <c r="B69" s="90"/>
      <c r="C69" s="90"/>
      <c r="D69" s="90"/>
      <c r="E69" s="90"/>
      <c r="F69" s="90"/>
      <c r="G69" s="90"/>
      <c r="H69" s="90"/>
      <c r="I69" s="90"/>
      <c r="J69" s="90"/>
      <c r="K69" s="90"/>
    </row>
    <row r="70" spans="2:11" x14ac:dyDescent="0.3">
      <c r="B70" s="90"/>
      <c r="C70" s="90"/>
      <c r="D70" s="90"/>
      <c r="E70" s="90"/>
      <c r="F70" s="90"/>
      <c r="G70" s="90"/>
      <c r="H70" s="90"/>
      <c r="I70" s="90"/>
      <c r="J70" s="90"/>
      <c r="K70" s="90"/>
    </row>
    <row r="71" spans="2:11" x14ac:dyDescent="0.3">
      <c r="B71" s="90"/>
      <c r="C71" s="90"/>
      <c r="D71" s="90"/>
      <c r="E71" s="90"/>
      <c r="F71" s="90"/>
      <c r="G71" s="90"/>
      <c r="H71" s="90"/>
      <c r="I71" s="90"/>
      <c r="J71" s="90"/>
      <c r="K71" s="90"/>
    </row>
    <row r="72" spans="2:11" x14ac:dyDescent="0.3">
      <c r="B72" s="90"/>
      <c r="C72" s="90"/>
      <c r="D72" s="90"/>
      <c r="E72" s="90"/>
      <c r="F72" s="90"/>
      <c r="G72" s="90"/>
      <c r="H72" s="90"/>
      <c r="I72" s="90"/>
      <c r="J72" s="90"/>
      <c r="K72" s="90"/>
    </row>
    <row r="73" spans="2:11" x14ac:dyDescent="0.3">
      <c r="B73" s="90"/>
      <c r="C73" s="90"/>
      <c r="D73" s="90"/>
      <c r="E73" s="90"/>
      <c r="F73" s="90"/>
      <c r="G73" s="90"/>
      <c r="H73" s="90"/>
      <c r="I73" s="90"/>
      <c r="J73" s="90"/>
      <c r="K73" s="90"/>
    </row>
    <row r="74" spans="2:11" x14ac:dyDescent="0.3">
      <c r="B74" s="90"/>
      <c r="C74" s="90"/>
      <c r="D74" s="90"/>
      <c r="E74" s="90"/>
      <c r="F74" s="90"/>
      <c r="G74" s="90"/>
      <c r="H74" s="90"/>
      <c r="I74" s="90"/>
      <c r="J74" s="90"/>
      <c r="K74" s="90"/>
    </row>
    <row r="75" spans="2:11" x14ac:dyDescent="0.3">
      <c r="B75" s="90"/>
      <c r="C75" s="90"/>
      <c r="D75" s="90"/>
      <c r="E75" s="90"/>
      <c r="F75" s="90"/>
      <c r="G75" s="90"/>
      <c r="H75" s="90"/>
      <c r="I75" s="90"/>
      <c r="J75" s="90"/>
      <c r="K75" s="90"/>
    </row>
    <row r="76" spans="2:11" x14ac:dyDescent="0.3">
      <c r="B76" s="90"/>
      <c r="C76" s="90"/>
      <c r="D76" s="90"/>
      <c r="E76" s="90"/>
      <c r="F76" s="90"/>
      <c r="G76" s="90"/>
      <c r="H76" s="90"/>
      <c r="I76" s="90"/>
      <c r="J76" s="90"/>
      <c r="K76" s="90"/>
    </row>
    <row r="77" spans="2:11" x14ac:dyDescent="0.3">
      <c r="B77" s="90"/>
      <c r="C77" s="90"/>
      <c r="D77" s="90"/>
      <c r="E77" s="90"/>
      <c r="F77" s="90"/>
      <c r="G77" s="90"/>
      <c r="H77" s="90"/>
      <c r="I77" s="90"/>
      <c r="J77" s="90"/>
      <c r="K77" s="90"/>
    </row>
    <row r="78" spans="2:11" x14ac:dyDescent="0.3">
      <c r="B78" s="90"/>
      <c r="C78" s="90"/>
      <c r="D78" s="90"/>
      <c r="E78" s="90"/>
      <c r="F78" s="90"/>
      <c r="G78" s="90"/>
      <c r="H78" s="90"/>
      <c r="I78" s="90"/>
      <c r="J78" s="90"/>
      <c r="K78" s="90"/>
    </row>
    <row r="79" spans="2:11" x14ac:dyDescent="0.3">
      <c r="B79" s="90"/>
      <c r="C79" s="90"/>
      <c r="D79" s="90"/>
      <c r="E79" s="90"/>
      <c r="F79" s="90"/>
      <c r="G79" s="90"/>
      <c r="H79" s="90"/>
      <c r="I79" s="90"/>
      <c r="J79" s="90"/>
      <c r="K79" s="90"/>
    </row>
  </sheetData>
  <autoFilter ref="A6:K41" xr:uid="{00000000-0001-0000-0200-000000000000}"/>
  <mergeCells count="12">
    <mergeCell ref="J5:J6"/>
    <mergeCell ref="K5:K6"/>
    <mergeCell ref="A4:A6"/>
    <mergeCell ref="B4:E4"/>
    <mergeCell ref="F4:I4"/>
    <mergeCell ref="J4:K4"/>
    <mergeCell ref="B5:B6"/>
    <mergeCell ref="D5:D6"/>
    <mergeCell ref="E5:E6"/>
    <mergeCell ref="F5:F6"/>
    <mergeCell ref="H5:H6"/>
    <mergeCell ref="I5:I6"/>
  </mergeCells>
  <phoneticPr fontId="1" type="noConversion"/>
  <hyperlinks>
    <hyperlink ref="F1" location="목차!A1" display="목차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4.9989318521683403E-2"/>
  </sheetPr>
  <dimension ref="A1:M36"/>
  <sheetViews>
    <sheetView zoomScale="85" zoomScaleNormal="85" workbookViewId="0">
      <selection activeCell="B6" sqref="B6:M14"/>
    </sheetView>
  </sheetViews>
  <sheetFormatPr defaultRowHeight="16.5" x14ac:dyDescent="0.3"/>
  <cols>
    <col min="1" max="1" width="17" customWidth="1"/>
  </cols>
  <sheetData>
    <row r="1" spans="1:13" ht="17.25" x14ac:dyDescent="0.3">
      <c r="A1" s="7" t="s">
        <v>451</v>
      </c>
      <c r="B1" s="6"/>
      <c r="C1" s="6"/>
      <c r="D1" s="6"/>
      <c r="E1" s="2"/>
      <c r="G1" s="72" t="s">
        <v>367</v>
      </c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 t="s">
        <v>87</v>
      </c>
    </row>
    <row r="4" spans="1:13" ht="17.25" thickBot="1" x14ac:dyDescent="0.35">
      <c r="A4" s="313" t="s">
        <v>0</v>
      </c>
      <c r="B4" s="318" t="s">
        <v>8</v>
      </c>
      <c r="C4" s="320"/>
      <c r="D4" s="318" t="s">
        <v>9</v>
      </c>
      <c r="E4" s="320"/>
      <c r="F4" s="318" t="s">
        <v>10</v>
      </c>
      <c r="G4" s="320"/>
      <c r="H4" s="318" t="s">
        <v>369</v>
      </c>
      <c r="I4" s="320"/>
      <c r="J4" s="318" t="s">
        <v>402</v>
      </c>
      <c r="K4" s="320"/>
      <c r="L4" s="318" t="s">
        <v>76</v>
      </c>
      <c r="M4" s="319"/>
    </row>
    <row r="5" spans="1:13" ht="17.25" thickTop="1" x14ac:dyDescent="0.3">
      <c r="A5" s="313"/>
      <c r="B5" s="112" t="s">
        <v>77</v>
      </c>
      <c r="C5" s="112" t="s">
        <v>36</v>
      </c>
      <c r="D5" s="112" t="s">
        <v>449</v>
      </c>
      <c r="E5" s="112" t="s">
        <v>36</v>
      </c>
      <c r="F5" s="112" t="s">
        <v>449</v>
      </c>
      <c r="G5" s="112" t="s">
        <v>36</v>
      </c>
      <c r="H5" s="112" t="s">
        <v>450</v>
      </c>
      <c r="I5" s="112" t="s">
        <v>36</v>
      </c>
      <c r="J5" s="53" t="s">
        <v>74</v>
      </c>
      <c r="K5" s="53" t="s">
        <v>36</v>
      </c>
      <c r="L5" s="53" t="s">
        <v>37</v>
      </c>
      <c r="M5" s="55" t="s">
        <v>38</v>
      </c>
    </row>
    <row r="6" spans="1:13" x14ac:dyDescent="0.3">
      <c r="A6" s="26" t="s">
        <v>78</v>
      </c>
      <c r="B6" s="119">
        <v>10527</v>
      </c>
      <c r="C6" s="110">
        <v>5.0999999999999996</v>
      </c>
      <c r="D6" s="119">
        <v>11323</v>
      </c>
      <c r="E6" s="110">
        <v>4.7</v>
      </c>
      <c r="F6" s="119">
        <v>12313</v>
      </c>
      <c r="G6" s="110">
        <v>4.5999999999999996</v>
      </c>
      <c r="H6" s="119">
        <v>13024</v>
      </c>
      <c r="I6" s="110">
        <v>4.5</v>
      </c>
      <c r="J6" s="152">
        <v>14404</v>
      </c>
      <c r="K6" s="132">
        <v>4.7</v>
      </c>
      <c r="L6" s="152">
        <v>1380</v>
      </c>
      <c r="M6" s="76">
        <v>10.6</v>
      </c>
    </row>
    <row r="7" spans="1:13" x14ac:dyDescent="0.3">
      <c r="A7" s="36" t="s">
        <v>79</v>
      </c>
      <c r="B7" s="96">
        <v>82597</v>
      </c>
      <c r="C7" s="95">
        <v>40</v>
      </c>
      <c r="D7" s="96">
        <v>90289</v>
      </c>
      <c r="E7" s="95">
        <v>37.799999999999997</v>
      </c>
      <c r="F7" s="96">
        <v>96058</v>
      </c>
      <c r="G7" s="95">
        <v>36.1</v>
      </c>
      <c r="H7" s="96">
        <v>103737</v>
      </c>
      <c r="I7" s="95">
        <v>36.200000000000003</v>
      </c>
      <c r="J7" s="153">
        <v>110861</v>
      </c>
      <c r="K7" s="133">
        <v>36.299999999999997</v>
      </c>
      <c r="L7" s="153">
        <v>7124</v>
      </c>
      <c r="M7" s="77">
        <v>6.9</v>
      </c>
    </row>
    <row r="8" spans="1:13" x14ac:dyDescent="0.3">
      <c r="A8" s="36" t="s">
        <v>80</v>
      </c>
      <c r="B8" s="96">
        <v>50278</v>
      </c>
      <c r="C8" s="95">
        <v>24.4</v>
      </c>
      <c r="D8" s="96">
        <v>57508</v>
      </c>
      <c r="E8" s="95">
        <v>24.1</v>
      </c>
      <c r="F8" s="96">
        <v>63317</v>
      </c>
      <c r="G8" s="95">
        <v>23.8</v>
      </c>
      <c r="H8" s="96">
        <v>69738</v>
      </c>
      <c r="I8" s="95">
        <v>24.3</v>
      </c>
      <c r="J8" s="153">
        <v>74033</v>
      </c>
      <c r="K8" s="133">
        <v>24.2</v>
      </c>
      <c r="L8" s="153">
        <v>4295</v>
      </c>
      <c r="M8" s="77">
        <v>6.2</v>
      </c>
    </row>
    <row r="9" spans="1:13" x14ac:dyDescent="0.3">
      <c r="A9" s="36" t="s">
        <v>81</v>
      </c>
      <c r="B9" s="96">
        <v>3735</v>
      </c>
      <c r="C9" s="95">
        <v>1.8</v>
      </c>
      <c r="D9" s="96">
        <v>3820</v>
      </c>
      <c r="E9" s="95">
        <v>1.6</v>
      </c>
      <c r="F9" s="96">
        <v>4327</v>
      </c>
      <c r="G9" s="95">
        <v>1.6</v>
      </c>
      <c r="H9" s="96">
        <v>5889</v>
      </c>
      <c r="I9" s="95">
        <v>2.1</v>
      </c>
      <c r="J9" s="153">
        <v>8121</v>
      </c>
      <c r="K9" s="133">
        <v>2.7</v>
      </c>
      <c r="L9" s="153">
        <v>2232</v>
      </c>
      <c r="M9" s="77">
        <v>37.9</v>
      </c>
    </row>
    <row r="10" spans="1:13" x14ac:dyDescent="0.3">
      <c r="A10" s="36" t="s">
        <v>82</v>
      </c>
      <c r="B10" s="96">
        <v>14165</v>
      </c>
      <c r="C10" s="95">
        <v>6.9</v>
      </c>
      <c r="D10" s="96">
        <v>18212</v>
      </c>
      <c r="E10" s="95">
        <v>7.6</v>
      </c>
      <c r="F10" s="96">
        <v>16166</v>
      </c>
      <c r="G10" s="95">
        <v>6.1</v>
      </c>
      <c r="H10" s="96">
        <v>18716</v>
      </c>
      <c r="I10" s="95">
        <v>6.5</v>
      </c>
      <c r="J10" s="153">
        <v>18545</v>
      </c>
      <c r="K10" s="133">
        <v>6.1</v>
      </c>
      <c r="L10" s="153" t="s">
        <v>781</v>
      </c>
      <c r="M10" s="35" t="s">
        <v>386</v>
      </c>
    </row>
    <row r="11" spans="1:13" x14ac:dyDescent="0.3">
      <c r="A11" s="36" t="s">
        <v>83</v>
      </c>
      <c r="B11" s="96">
        <v>30910</v>
      </c>
      <c r="C11" s="95">
        <v>15</v>
      </c>
      <c r="D11" s="96">
        <v>39753</v>
      </c>
      <c r="E11" s="95">
        <v>16.600000000000001</v>
      </c>
      <c r="F11" s="96">
        <v>49721</v>
      </c>
      <c r="G11" s="95">
        <v>18.7</v>
      </c>
      <c r="H11" s="96">
        <v>54924</v>
      </c>
      <c r="I11" s="95">
        <v>19.2</v>
      </c>
      <c r="J11" s="153">
        <v>58379</v>
      </c>
      <c r="K11" s="133">
        <v>19.100000000000001</v>
      </c>
      <c r="L11" s="153">
        <v>3455</v>
      </c>
      <c r="M11" s="77">
        <v>6.3</v>
      </c>
    </row>
    <row r="12" spans="1:13" x14ac:dyDescent="0.3">
      <c r="A12" s="36" t="s">
        <v>84</v>
      </c>
      <c r="B12" s="96">
        <v>1829</v>
      </c>
      <c r="C12" s="95">
        <v>0.9</v>
      </c>
      <c r="D12" s="96">
        <v>1914</v>
      </c>
      <c r="E12" s="95">
        <v>0.8</v>
      </c>
      <c r="F12" s="96">
        <v>2634</v>
      </c>
      <c r="G12" s="95">
        <v>1</v>
      </c>
      <c r="H12" s="96">
        <v>626</v>
      </c>
      <c r="I12" s="95">
        <v>0.2</v>
      </c>
      <c r="J12" s="153">
        <v>755</v>
      </c>
      <c r="K12" s="133">
        <v>0.2</v>
      </c>
      <c r="L12" s="153">
        <v>129</v>
      </c>
      <c r="M12" s="77">
        <v>20.6</v>
      </c>
    </row>
    <row r="13" spans="1:13" x14ac:dyDescent="0.3">
      <c r="A13" s="36" t="s">
        <v>85</v>
      </c>
      <c r="B13" s="96">
        <v>12212</v>
      </c>
      <c r="C13" s="95">
        <v>5.9</v>
      </c>
      <c r="D13" s="96">
        <v>15986</v>
      </c>
      <c r="E13" s="95">
        <v>6.7</v>
      </c>
      <c r="F13" s="96">
        <v>21254</v>
      </c>
      <c r="G13" s="95">
        <v>8</v>
      </c>
      <c r="H13" s="96">
        <v>20128</v>
      </c>
      <c r="I13" s="95">
        <v>7</v>
      </c>
      <c r="J13" s="153">
        <v>20635</v>
      </c>
      <c r="K13" s="133">
        <v>6.7</v>
      </c>
      <c r="L13" s="153">
        <v>507</v>
      </c>
      <c r="M13" s="77">
        <v>2.5</v>
      </c>
    </row>
    <row r="14" spans="1:13" x14ac:dyDescent="0.3">
      <c r="A14" s="41" t="s">
        <v>86</v>
      </c>
      <c r="B14" s="98">
        <v>206254</v>
      </c>
      <c r="C14" s="97">
        <v>100</v>
      </c>
      <c r="D14" s="98">
        <v>238803</v>
      </c>
      <c r="E14" s="97">
        <v>100</v>
      </c>
      <c r="F14" s="98">
        <v>265791</v>
      </c>
      <c r="G14" s="97">
        <v>100</v>
      </c>
      <c r="H14" s="98">
        <v>286782</v>
      </c>
      <c r="I14" s="97">
        <v>100</v>
      </c>
      <c r="J14" s="154">
        <v>305731</v>
      </c>
      <c r="K14" s="134">
        <v>100</v>
      </c>
      <c r="L14" s="154">
        <v>18949</v>
      </c>
      <c r="M14" s="78">
        <v>6.6</v>
      </c>
    </row>
    <row r="16" spans="1:13" x14ac:dyDescent="0.3">
      <c r="A16" t="s">
        <v>94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 spans="1:13" x14ac:dyDescent="0.3">
      <c r="A17" t="s">
        <v>95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1:13" x14ac:dyDescent="0.3">
      <c r="A18" t="s">
        <v>96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1:13" x14ac:dyDescent="0.3">
      <c r="A19" t="s">
        <v>97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1:13" x14ac:dyDescent="0.3"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x14ac:dyDescent="0.3"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 x14ac:dyDescent="0.3"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7" spans="1:13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</row>
    <row r="28" spans="1:13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</row>
    <row r="29" spans="1:13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</row>
    <row r="30" spans="1:13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</row>
    <row r="31" spans="1:13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</row>
    <row r="32" spans="1:13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</row>
    <row r="33" spans="2:13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</row>
    <row r="34" spans="2:13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2:13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2:13" x14ac:dyDescent="0.3">
      <c r="B36" s="86"/>
    </row>
  </sheetData>
  <mergeCells count="7">
    <mergeCell ref="L4:M4"/>
    <mergeCell ref="A4:A5"/>
    <mergeCell ref="H4:I4"/>
    <mergeCell ref="J4:K4"/>
    <mergeCell ref="F4:G4"/>
    <mergeCell ref="D4:E4"/>
    <mergeCell ref="B4:C4"/>
  </mergeCells>
  <phoneticPr fontId="1" type="noConversion"/>
  <hyperlinks>
    <hyperlink ref="G1" location="목차!A1" display="목차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4.9989318521683403E-2"/>
  </sheetPr>
  <dimension ref="A1:R43"/>
  <sheetViews>
    <sheetView zoomScale="85" zoomScaleNormal="85" workbookViewId="0">
      <selection activeCell="B8" sqref="B8:R16"/>
    </sheetView>
  </sheetViews>
  <sheetFormatPr defaultRowHeight="16.5" x14ac:dyDescent="0.3"/>
  <cols>
    <col min="1" max="1" width="20.75" customWidth="1"/>
  </cols>
  <sheetData>
    <row r="1" spans="1:18" ht="17.25" x14ac:dyDescent="0.3">
      <c r="A1" s="7" t="s">
        <v>407</v>
      </c>
      <c r="B1" s="4"/>
      <c r="C1" s="4"/>
      <c r="D1" s="4"/>
      <c r="E1" s="4"/>
      <c r="F1" s="8"/>
      <c r="G1" s="72" t="s">
        <v>367</v>
      </c>
    </row>
    <row r="3" spans="1:18" x14ac:dyDescent="0.3">
      <c r="R3" s="5" t="s">
        <v>93</v>
      </c>
    </row>
    <row r="4" spans="1:18" ht="17.25" thickBot="1" x14ac:dyDescent="0.35">
      <c r="A4" s="313" t="s">
        <v>0</v>
      </c>
      <c r="B4" s="318" t="s">
        <v>373</v>
      </c>
      <c r="C4" s="319"/>
      <c r="D4" s="320"/>
      <c r="E4" s="318" t="s">
        <v>374</v>
      </c>
      <c r="F4" s="319"/>
      <c r="G4" s="320"/>
      <c r="H4" s="318" t="s">
        <v>370</v>
      </c>
      <c r="I4" s="319"/>
      <c r="J4" s="320"/>
      <c r="K4" s="318" t="s">
        <v>369</v>
      </c>
      <c r="L4" s="319"/>
      <c r="M4" s="320"/>
      <c r="N4" s="318" t="s">
        <v>402</v>
      </c>
      <c r="O4" s="319"/>
      <c r="P4" s="320"/>
      <c r="Q4" s="318" t="s">
        <v>32</v>
      </c>
      <c r="R4" s="319"/>
    </row>
    <row r="5" spans="1:18" ht="17.25" thickTop="1" x14ac:dyDescent="0.3">
      <c r="A5" s="313"/>
      <c r="B5" s="112" t="s">
        <v>35</v>
      </c>
      <c r="C5" s="112" t="s">
        <v>3</v>
      </c>
      <c r="D5" s="112" t="s">
        <v>89</v>
      </c>
      <c r="E5" s="112" t="s">
        <v>35</v>
      </c>
      <c r="F5" s="112" t="s">
        <v>3</v>
      </c>
      <c r="G5" s="112" t="s">
        <v>89</v>
      </c>
      <c r="H5" s="112" t="s">
        <v>35</v>
      </c>
      <c r="I5" s="112" t="s">
        <v>3</v>
      </c>
      <c r="J5" s="112" t="s">
        <v>89</v>
      </c>
      <c r="K5" s="314" t="s">
        <v>35</v>
      </c>
      <c r="L5" s="112" t="s">
        <v>3</v>
      </c>
      <c r="M5" s="112" t="s">
        <v>89</v>
      </c>
      <c r="N5" s="314" t="s">
        <v>35</v>
      </c>
      <c r="O5" s="53" t="s">
        <v>3</v>
      </c>
      <c r="P5" s="53" t="s">
        <v>89</v>
      </c>
      <c r="Q5" s="314" t="s">
        <v>37</v>
      </c>
      <c r="R5" s="316" t="s">
        <v>38</v>
      </c>
    </row>
    <row r="6" spans="1:18" x14ac:dyDescent="0.3">
      <c r="A6" s="313"/>
      <c r="B6" s="113"/>
      <c r="C6" s="113" t="s">
        <v>88</v>
      </c>
      <c r="D6" s="113" t="s">
        <v>88</v>
      </c>
      <c r="E6" s="113"/>
      <c r="F6" s="113" t="s">
        <v>88</v>
      </c>
      <c r="G6" s="113" t="s">
        <v>88</v>
      </c>
      <c r="H6" s="113"/>
      <c r="I6" s="113" t="s">
        <v>88</v>
      </c>
      <c r="J6" s="113" t="s">
        <v>88</v>
      </c>
      <c r="K6" s="315"/>
      <c r="L6" s="113" t="s">
        <v>88</v>
      </c>
      <c r="M6" s="113" t="s">
        <v>88</v>
      </c>
      <c r="N6" s="315"/>
      <c r="O6" s="54" t="s">
        <v>88</v>
      </c>
      <c r="P6" s="54" t="s">
        <v>88</v>
      </c>
      <c r="Q6" s="315"/>
      <c r="R6" s="317"/>
    </row>
    <row r="7" spans="1:18" x14ac:dyDescent="0.3">
      <c r="A7" s="313"/>
      <c r="B7" s="113"/>
      <c r="C7" s="56"/>
      <c r="D7" s="56"/>
      <c r="E7" s="113"/>
      <c r="F7" s="56"/>
      <c r="G7" s="56"/>
      <c r="H7" s="113"/>
      <c r="I7" s="56"/>
      <c r="J7" s="113"/>
      <c r="K7" s="315"/>
      <c r="L7" s="56"/>
      <c r="M7" s="113" t="s">
        <v>452</v>
      </c>
      <c r="N7" s="315"/>
      <c r="O7" s="56"/>
      <c r="P7" s="54" t="s">
        <v>91</v>
      </c>
      <c r="Q7" s="315"/>
      <c r="R7" s="317"/>
    </row>
    <row r="8" spans="1:18" x14ac:dyDescent="0.3">
      <c r="A8" s="25" t="s">
        <v>78</v>
      </c>
      <c r="B8" s="57">
        <v>4043</v>
      </c>
      <c r="C8" s="57">
        <v>10527</v>
      </c>
      <c r="D8" s="116">
        <v>2.6</v>
      </c>
      <c r="E8" s="57">
        <v>4105</v>
      </c>
      <c r="F8" s="57">
        <v>11323</v>
      </c>
      <c r="G8" s="116">
        <v>2.8</v>
      </c>
      <c r="H8" s="57">
        <v>4116</v>
      </c>
      <c r="I8" s="57">
        <v>12313</v>
      </c>
      <c r="J8" s="116">
        <v>3</v>
      </c>
      <c r="K8" s="57">
        <v>4164</v>
      </c>
      <c r="L8" s="57">
        <v>13024</v>
      </c>
      <c r="M8" s="116">
        <v>3.1</v>
      </c>
      <c r="N8" s="57">
        <v>2257</v>
      </c>
      <c r="O8" s="57">
        <v>14404</v>
      </c>
      <c r="P8" s="135">
        <v>6.4</v>
      </c>
      <c r="Q8" s="135">
        <v>3.3</v>
      </c>
      <c r="R8" s="136">
        <v>106.5</v>
      </c>
    </row>
    <row r="9" spans="1:18" x14ac:dyDescent="0.3">
      <c r="A9" s="36" t="s">
        <v>79</v>
      </c>
      <c r="B9" s="96">
        <v>7657</v>
      </c>
      <c r="C9" s="96">
        <v>82597</v>
      </c>
      <c r="D9" s="95">
        <v>10.8</v>
      </c>
      <c r="E9" s="96">
        <v>7933</v>
      </c>
      <c r="F9" s="96">
        <v>90289</v>
      </c>
      <c r="G9" s="95">
        <v>11.4</v>
      </c>
      <c r="H9" s="96">
        <v>7983</v>
      </c>
      <c r="I9" s="96">
        <v>96058</v>
      </c>
      <c r="J9" s="95">
        <v>12</v>
      </c>
      <c r="K9" s="96">
        <v>7689</v>
      </c>
      <c r="L9" s="96">
        <v>103737</v>
      </c>
      <c r="M9" s="95">
        <v>13.5</v>
      </c>
      <c r="N9" s="14">
        <v>7503</v>
      </c>
      <c r="O9" s="14">
        <v>110861</v>
      </c>
      <c r="P9" s="137">
        <v>14.8</v>
      </c>
      <c r="Q9" s="137">
        <v>1.3</v>
      </c>
      <c r="R9" s="138">
        <v>9.6</v>
      </c>
    </row>
    <row r="10" spans="1:18" x14ac:dyDescent="0.3">
      <c r="A10" s="36" t="s">
        <v>80</v>
      </c>
      <c r="B10" s="96">
        <v>39653</v>
      </c>
      <c r="C10" s="96">
        <v>50278</v>
      </c>
      <c r="D10" s="95">
        <v>1.3</v>
      </c>
      <c r="E10" s="96">
        <v>40171</v>
      </c>
      <c r="F10" s="96">
        <v>57508</v>
      </c>
      <c r="G10" s="95">
        <v>1.4</v>
      </c>
      <c r="H10" s="96">
        <v>39281</v>
      </c>
      <c r="I10" s="96">
        <v>63317</v>
      </c>
      <c r="J10" s="95">
        <v>1.6</v>
      </c>
      <c r="K10" s="96">
        <v>38581</v>
      </c>
      <c r="L10" s="96">
        <v>69738</v>
      </c>
      <c r="M10" s="95">
        <v>1.8</v>
      </c>
      <c r="N10" s="14">
        <v>36685</v>
      </c>
      <c r="O10" s="14">
        <v>74033</v>
      </c>
      <c r="P10" s="137">
        <v>2</v>
      </c>
      <c r="Q10" s="137">
        <v>0.2</v>
      </c>
      <c r="R10" s="138">
        <v>11.1</v>
      </c>
    </row>
    <row r="11" spans="1:18" x14ac:dyDescent="0.3">
      <c r="A11" s="36" t="s">
        <v>81</v>
      </c>
      <c r="B11" s="95">
        <v>320</v>
      </c>
      <c r="C11" s="96">
        <v>3735</v>
      </c>
      <c r="D11" s="95">
        <v>11.7</v>
      </c>
      <c r="E11" s="95">
        <v>338</v>
      </c>
      <c r="F11" s="96">
        <v>3820</v>
      </c>
      <c r="G11" s="95">
        <v>11.3</v>
      </c>
      <c r="H11" s="95">
        <v>369</v>
      </c>
      <c r="I11" s="96">
        <v>4327</v>
      </c>
      <c r="J11" s="95">
        <v>11.7</v>
      </c>
      <c r="K11" s="95">
        <v>464</v>
      </c>
      <c r="L11" s="96">
        <v>5889</v>
      </c>
      <c r="M11" s="95">
        <v>12.7</v>
      </c>
      <c r="N11" s="13">
        <v>494</v>
      </c>
      <c r="O11" s="14">
        <v>8121</v>
      </c>
      <c r="P11" s="137">
        <v>16.399999999999999</v>
      </c>
      <c r="Q11" s="137">
        <v>3.7</v>
      </c>
      <c r="R11" s="138">
        <v>29.1</v>
      </c>
    </row>
    <row r="12" spans="1:18" x14ac:dyDescent="0.3">
      <c r="A12" s="36" t="s">
        <v>82</v>
      </c>
      <c r="B12" s="95">
        <v>769</v>
      </c>
      <c r="C12" s="96">
        <v>14165</v>
      </c>
      <c r="D12" s="95">
        <v>18.399999999999999</v>
      </c>
      <c r="E12" s="95">
        <v>967</v>
      </c>
      <c r="F12" s="96">
        <v>18212</v>
      </c>
      <c r="G12" s="95">
        <v>18.8</v>
      </c>
      <c r="H12" s="95">
        <v>1101</v>
      </c>
      <c r="I12" s="96">
        <v>16166</v>
      </c>
      <c r="J12" s="95">
        <v>14.7</v>
      </c>
      <c r="K12" s="96">
        <v>1271</v>
      </c>
      <c r="L12" s="96">
        <v>18716</v>
      </c>
      <c r="M12" s="95">
        <v>14.7</v>
      </c>
      <c r="N12" s="14">
        <v>1326</v>
      </c>
      <c r="O12" s="14">
        <v>18545</v>
      </c>
      <c r="P12" s="137">
        <v>14</v>
      </c>
      <c r="Q12" s="137" t="s">
        <v>782</v>
      </c>
      <c r="R12" s="138" t="s">
        <v>441</v>
      </c>
    </row>
    <row r="13" spans="1:18" x14ac:dyDescent="0.3">
      <c r="A13" s="36" t="s">
        <v>83</v>
      </c>
      <c r="B13" s="96">
        <v>15115</v>
      </c>
      <c r="C13" s="96">
        <v>30910</v>
      </c>
      <c r="D13" s="95">
        <v>2</v>
      </c>
      <c r="E13" s="96">
        <v>17060</v>
      </c>
      <c r="F13" s="96">
        <v>39753</v>
      </c>
      <c r="G13" s="95">
        <v>2.2999999999999998</v>
      </c>
      <c r="H13" s="96">
        <v>18097</v>
      </c>
      <c r="I13" s="96">
        <v>49721</v>
      </c>
      <c r="J13" s="95">
        <v>2.7</v>
      </c>
      <c r="K13" s="96">
        <v>20101</v>
      </c>
      <c r="L13" s="96">
        <v>54924</v>
      </c>
      <c r="M13" s="95">
        <v>2.7</v>
      </c>
      <c r="N13" s="14">
        <v>20764</v>
      </c>
      <c r="O13" s="14">
        <v>58379</v>
      </c>
      <c r="P13" s="137">
        <v>2.8</v>
      </c>
      <c r="Q13" s="137">
        <v>0.1</v>
      </c>
      <c r="R13" s="138">
        <v>3.7</v>
      </c>
    </row>
    <row r="14" spans="1:18" x14ac:dyDescent="0.3">
      <c r="A14" s="36" t="s">
        <v>84</v>
      </c>
      <c r="B14" s="95">
        <v>83</v>
      </c>
      <c r="C14" s="96">
        <v>1829</v>
      </c>
      <c r="D14" s="95">
        <v>22</v>
      </c>
      <c r="E14" s="95">
        <v>81</v>
      </c>
      <c r="F14" s="96">
        <v>1914</v>
      </c>
      <c r="G14" s="95">
        <v>23.6</v>
      </c>
      <c r="H14" s="95">
        <v>82</v>
      </c>
      <c r="I14" s="96">
        <v>2634</v>
      </c>
      <c r="J14" s="95">
        <v>32.1</v>
      </c>
      <c r="K14" s="95">
        <v>100</v>
      </c>
      <c r="L14" s="96">
        <v>626</v>
      </c>
      <c r="M14" s="95">
        <v>6.3</v>
      </c>
      <c r="N14" s="13">
        <v>66</v>
      </c>
      <c r="O14" s="14">
        <v>755</v>
      </c>
      <c r="P14" s="137">
        <v>11.4</v>
      </c>
      <c r="Q14" s="137">
        <v>5.0999999999999996</v>
      </c>
      <c r="R14" s="138">
        <v>81</v>
      </c>
    </row>
    <row r="15" spans="1:18" x14ac:dyDescent="0.3">
      <c r="A15" s="36" t="s">
        <v>85</v>
      </c>
      <c r="B15" s="96">
        <v>2687</v>
      </c>
      <c r="C15" s="96">
        <v>12212</v>
      </c>
      <c r="D15" s="95">
        <v>4.5</v>
      </c>
      <c r="E15" s="96">
        <v>2846</v>
      </c>
      <c r="F15" s="96">
        <v>15986</v>
      </c>
      <c r="G15" s="95">
        <v>5.6</v>
      </c>
      <c r="H15" s="96">
        <v>3716</v>
      </c>
      <c r="I15" s="96">
        <v>21254</v>
      </c>
      <c r="J15" s="95">
        <v>5.7</v>
      </c>
      <c r="K15" s="96">
        <v>3682</v>
      </c>
      <c r="L15" s="96">
        <v>20128</v>
      </c>
      <c r="M15" s="95">
        <v>5.5</v>
      </c>
      <c r="N15" s="14">
        <v>2709</v>
      </c>
      <c r="O15" s="14">
        <v>20635</v>
      </c>
      <c r="P15" s="137">
        <v>7.6</v>
      </c>
      <c r="Q15" s="137">
        <v>2.1</v>
      </c>
      <c r="R15" s="138">
        <v>38.200000000000003</v>
      </c>
    </row>
    <row r="16" spans="1:18" x14ac:dyDescent="0.3">
      <c r="A16" s="41" t="s">
        <v>86</v>
      </c>
      <c r="B16" s="98">
        <v>70327</v>
      </c>
      <c r="C16" s="98">
        <v>206254</v>
      </c>
      <c r="D16" s="97">
        <v>2.9</v>
      </c>
      <c r="E16" s="98">
        <v>73501</v>
      </c>
      <c r="F16" s="98">
        <v>238803</v>
      </c>
      <c r="G16" s="97">
        <v>3.2</v>
      </c>
      <c r="H16" s="98">
        <v>74745</v>
      </c>
      <c r="I16" s="98">
        <v>265791</v>
      </c>
      <c r="J16" s="97">
        <v>3.6</v>
      </c>
      <c r="K16" s="98">
        <v>76052</v>
      </c>
      <c r="L16" s="98">
        <v>286782</v>
      </c>
      <c r="M16" s="97">
        <v>3.8</v>
      </c>
      <c r="N16" s="31">
        <v>71804</v>
      </c>
      <c r="O16" s="31">
        <v>305731</v>
      </c>
      <c r="P16" s="139">
        <v>4.3</v>
      </c>
      <c r="Q16" s="139">
        <v>0.5</v>
      </c>
      <c r="R16" s="140">
        <v>13.2</v>
      </c>
    </row>
    <row r="18" spans="1:18" x14ac:dyDescent="0.3">
      <c r="A18" t="s">
        <v>94</v>
      </c>
    </row>
    <row r="19" spans="1:18" x14ac:dyDescent="0.3">
      <c r="A19" t="s">
        <v>95</v>
      </c>
    </row>
    <row r="20" spans="1:18" x14ac:dyDescent="0.3">
      <c r="A20" t="s">
        <v>96</v>
      </c>
    </row>
    <row r="21" spans="1:18" x14ac:dyDescent="0.3">
      <c r="A21" t="s">
        <v>97</v>
      </c>
    </row>
    <row r="23" spans="1:18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</row>
    <row r="24" spans="1:18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</row>
    <row r="25" spans="1:18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</row>
    <row r="26" spans="1:18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1:18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</row>
    <row r="28" spans="1:18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</row>
    <row r="29" spans="1:18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</row>
    <row r="30" spans="1:18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</row>
    <row r="31" spans="1:18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</row>
    <row r="34" spans="2:18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</row>
    <row r="35" spans="2:18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</row>
    <row r="36" spans="2:18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</row>
    <row r="37" spans="2:18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</row>
    <row r="38" spans="2:18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</row>
    <row r="39" spans="2:18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</row>
    <row r="40" spans="2:18" x14ac:dyDescent="0.3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</row>
    <row r="41" spans="2:18" x14ac:dyDescent="0.3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</row>
    <row r="42" spans="2:18" x14ac:dyDescent="0.3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</row>
    <row r="43" spans="2:18" x14ac:dyDescent="0.3">
      <c r="B43" s="86"/>
    </row>
  </sheetData>
  <mergeCells count="11">
    <mergeCell ref="A4:A7"/>
    <mergeCell ref="K4:M4"/>
    <mergeCell ref="Q4:R4"/>
    <mergeCell ref="K5:K7"/>
    <mergeCell ref="N5:N7"/>
    <mergeCell ref="Q5:Q7"/>
    <mergeCell ref="R5:R7"/>
    <mergeCell ref="N4:P4"/>
    <mergeCell ref="H4:J4"/>
    <mergeCell ref="E4:G4"/>
    <mergeCell ref="B4:D4"/>
  </mergeCells>
  <phoneticPr fontId="1" type="noConversion"/>
  <hyperlinks>
    <hyperlink ref="G1" location="목차!A1" display="목차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1:Z19"/>
  <sheetViews>
    <sheetView topLeftCell="G1" zoomScale="85" zoomScaleNormal="85" workbookViewId="0">
      <selection activeCell="B7" sqref="B7:Z10"/>
    </sheetView>
  </sheetViews>
  <sheetFormatPr defaultRowHeight="16.5" x14ac:dyDescent="0.3"/>
  <cols>
    <col min="1" max="1" width="20.375" customWidth="1"/>
  </cols>
  <sheetData>
    <row r="1" spans="1:26" ht="17.25" x14ac:dyDescent="0.3">
      <c r="A1" s="7" t="s">
        <v>408</v>
      </c>
      <c r="B1" s="4"/>
      <c r="C1" s="4"/>
      <c r="D1" s="4"/>
      <c r="E1" s="4"/>
      <c r="F1" s="4"/>
      <c r="G1" s="4"/>
      <c r="I1" s="72" t="s">
        <v>367</v>
      </c>
    </row>
    <row r="3" spans="1:26" x14ac:dyDescent="0.3">
      <c r="Z3" s="5" t="s">
        <v>92</v>
      </c>
    </row>
    <row r="4" spans="1:26" ht="17.25" thickBot="1" x14ac:dyDescent="0.35">
      <c r="A4" s="313" t="s">
        <v>0</v>
      </c>
      <c r="B4" s="318" t="s">
        <v>373</v>
      </c>
      <c r="C4" s="319"/>
      <c r="D4" s="319"/>
      <c r="E4" s="319"/>
      <c r="F4" s="320"/>
      <c r="G4" s="318" t="s">
        <v>374</v>
      </c>
      <c r="H4" s="319"/>
      <c r="I4" s="319"/>
      <c r="J4" s="319"/>
      <c r="K4" s="320"/>
      <c r="L4" s="318" t="s">
        <v>370</v>
      </c>
      <c r="M4" s="319"/>
      <c r="N4" s="319"/>
      <c r="O4" s="319"/>
      <c r="P4" s="320"/>
      <c r="Q4" s="318" t="s">
        <v>369</v>
      </c>
      <c r="R4" s="319"/>
      <c r="S4" s="319"/>
      <c r="T4" s="319"/>
      <c r="U4" s="319"/>
      <c r="V4" s="318" t="s">
        <v>402</v>
      </c>
      <c r="W4" s="319"/>
      <c r="X4" s="319"/>
      <c r="Y4" s="319"/>
      <c r="Z4" s="319"/>
    </row>
    <row r="5" spans="1:26" ht="17.25" thickTop="1" x14ac:dyDescent="0.3">
      <c r="A5" s="313"/>
      <c r="B5" s="314" t="s">
        <v>35</v>
      </c>
      <c r="C5" s="277" t="s">
        <v>36</v>
      </c>
      <c r="D5" s="314" t="s">
        <v>77</v>
      </c>
      <c r="E5" s="277" t="s">
        <v>36</v>
      </c>
      <c r="F5" s="279" t="s">
        <v>89</v>
      </c>
      <c r="G5" s="314" t="s">
        <v>35</v>
      </c>
      <c r="H5" s="277" t="s">
        <v>36</v>
      </c>
      <c r="I5" s="314" t="s">
        <v>77</v>
      </c>
      <c r="J5" s="277" t="s">
        <v>36</v>
      </c>
      <c r="K5" s="279" t="s">
        <v>89</v>
      </c>
      <c r="L5" s="314" t="s">
        <v>35</v>
      </c>
      <c r="M5" s="277" t="s">
        <v>36</v>
      </c>
      <c r="N5" s="314" t="s">
        <v>77</v>
      </c>
      <c r="O5" s="277" t="s">
        <v>36</v>
      </c>
      <c r="P5" s="279" t="s">
        <v>89</v>
      </c>
      <c r="Q5" s="314" t="s">
        <v>35</v>
      </c>
      <c r="R5" s="112" t="s">
        <v>36</v>
      </c>
      <c r="S5" s="314" t="s">
        <v>77</v>
      </c>
      <c r="T5" s="112" t="s">
        <v>36</v>
      </c>
      <c r="U5" s="114" t="s">
        <v>89</v>
      </c>
      <c r="V5" s="314" t="s">
        <v>35</v>
      </c>
      <c r="W5" s="53" t="s">
        <v>36</v>
      </c>
      <c r="X5" s="314" t="s">
        <v>77</v>
      </c>
      <c r="Y5" s="53" t="s">
        <v>36</v>
      </c>
      <c r="Z5" s="55" t="s">
        <v>89</v>
      </c>
    </row>
    <row r="6" spans="1:26" x14ac:dyDescent="0.3">
      <c r="A6" s="313"/>
      <c r="B6" s="315"/>
      <c r="C6" s="278" t="s">
        <v>101</v>
      </c>
      <c r="D6" s="315"/>
      <c r="E6" s="278" t="s">
        <v>102</v>
      </c>
      <c r="F6" s="280" t="s">
        <v>88</v>
      </c>
      <c r="G6" s="315"/>
      <c r="H6" s="278" t="s">
        <v>101</v>
      </c>
      <c r="I6" s="315"/>
      <c r="J6" s="278" t="s">
        <v>102</v>
      </c>
      <c r="K6" s="280" t="s">
        <v>88</v>
      </c>
      <c r="L6" s="315"/>
      <c r="M6" s="278" t="s">
        <v>101</v>
      </c>
      <c r="N6" s="315"/>
      <c r="O6" s="278" t="s">
        <v>102</v>
      </c>
      <c r="P6" s="280" t="s">
        <v>88</v>
      </c>
      <c r="Q6" s="315"/>
      <c r="R6" s="113" t="s">
        <v>101</v>
      </c>
      <c r="S6" s="315"/>
      <c r="T6" s="113" t="s">
        <v>102</v>
      </c>
      <c r="U6" s="115" t="s">
        <v>88</v>
      </c>
      <c r="V6" s="315"/>
      <c r="W6" s="54" t="s">
        <v>101</v>
      </c>
      <c r="X6" s="315"/>
      <c r="Y6" s="54" t="s">
        <v>102</v>
      </c>
      <c r="Z6" s="58" t="s">
        <v>88</v>
      </c>
    </row>
    <row r="7" spans="1:26" x14ac:dyDescent="0.3">
      <c r="A7" s="26" t="s">
        <v>98</v>
      </c>
      <c r="B7" s="119">
        <v>4024</v>
      </c>
      <c r="C7" s="110">
        <v>52.6</v>
      </c>
      <c r="D7" s="119">
        <v>39633</v>
      </c>
      <c r="E7" s="110">
        <v>48</v>
      </c>
      <c r="F7" s="110">
        <v>9.8000000000000007</v>
      </c>
      <c r="G7" s="119">
        <v>4197</v>
      </c>
      <c r="H7" s="110">
        <v>52.9</v>
      </c>
      <c r="I7" s="119">
        <v>42212</v>
      </c>
      <c r="J7" s="110">
        <v>46.8</v>
      </c>
      <c r="K7" s="110">
        <v>10.1</v>
      </c>
      <c r="L7" s="119">
        <v>4413</v>
      </c>
      <c r="M7" s="110">
        <v>55.3</v>
      </c>
      <c r="N7" s="119">
        <v>44891</v>
      </c>
      <c r="O7" s="110">
        <v>46.7</v>
      </c>
      <c r="P7" s="110">
        <v>10.199999999999999</v>
      </c>
      <c r="Q7" s="119">
        <v>4290</v>
      </c>
      <c r="R7" s="110">
        <v>55.8</v>
      </c>
      <c r="S7" s="119">
        <v>49219</v>
      </c>
      <c r="T7" s="110">
        <v>47.4</v>
      </c>
      <c r="U7" s="117">
        <v>11.5</v>
      </c>
      <c r="V7" s="12">
        <v>4031</v>
      </c>
      <c r="W7" s="28">
        <v>53.7</v>
      </c>
      <c r="X7" s="12">
        <v>52149</v>
      </c>
      <c r="Y7" s="28">
        <v>47</v>
      </c>
      <c r="Z7" s="37">
        <v>12.9</v>
      </c>
    </row>
    <row r="8" spans="1:26" x14ac:dyDescent="0.3">
      <c r="A8" s="36" t="s">
        <v>99</v>
      </c>
      <c r="B8" s="96">
        <v>2293</v>
      </c>
      <c r="C8" s="95">
        <v>29.9</v>
      </c>
      <c r="D8" s="96">
        <v>36862</v>
      </c>
      <c r="E8" s="95">
        <v>44.6</v>
      </c>
      <c r="F8" s="95">
        <v>16.100000000000001</v>
      </c>
      <c r="G8" s="96">
        <v>2504</v>
      </c>
      <c r="H8" s="95">
        <v>31.6</v>
      </c>
      <c r="I8" s="96">
        <v>42425</v>
      </c>
      <c r="J8" s="95">
        <v>47</v>
      </c>
      <c r="K8" s="95">
        <v>16.899999999999999</v>
      </c>
      <c r="L8" s="96">
        <v>2391</v>
      </c>
      <c r="M8" s="95">
        <v>30</v>
      </c>
      <c r="N8" s="96">
        <v>45321</v>
      </c>
      <c r="O8" s="95">
        <v>47.2</v>
      </c>
      <c r="P8" s="95">
        <v>19</v>
      </c>
      <c r="Q8" s="96">
        <v>2229</v>
      </c>
      <c r="R8" s="95">
        <v>29</v>
      </c>
      <c r="S8" s="96">
        <v>48441</v>
      </c>
      <c r="T8" s="95">
        <v>46.7</v>
      </c>
      <c r="U8" s="123">
        <v>21.7</v>
      </c>
      <c r="V8" s="14">
        <v>2385</v>
      </c>
      <c r="W8" s="13">
        <v>31.8</v>
      </c>
      <c r="X8" s="14">
        <v>52720</v>
      </c>
      <c r="Y8" s="13">
        <v>47.6</v>
      </c>
      <c r="Z8" s="35">
        <v>22.1</v>
      </c>
    </row>
    <row r="9" spans="1:26" x14ac:dyDescent="0.3">
      <c r="A9" s="36" t="s">
        <v>100</v>
      </c>
      <c r="B9" s="96">
        <v>1340</v>
      </c>
      <c r="C9" s="95">
        <v>17.5</v>
      </c>
      <c r="D9" s="96">
        <v>6102</v>
      </c>
      <c r="E9" s="95">
        <v>7.4</v>
      </c>
      <c r="F9" s="95">
        <v>4.5999999999999996</v>
      </c>
      <c r="G9" s="96">
        <v>1232</v>
      </c>
      <c r="H9" s="95">
        <v>15.5</v>
      </c>
      <c r="I9" s="96">
        <v>5651</v>
      </c>
      <c r="J9" s="95">
        <v>6.3</v>
      </c>
      <c r="K9" s="95">
        <v>4.5999999999999996</v>
      </c>
      <c r="L9" s="96">
        <v>1179</v>
      </c>
      <c r="M9" s="95">
        <v>14.8</v>
      </c>
      <c r="N9" s="96">
        <v>5847</v>
      </c>
      <c r="O9" s="95">
        <v>6.1</v>
      </c>
      <c r="P9" s="95">
        <v>5</v>
      </c>
      <c r="Q9" s="96">
        <v>1170</v>
      </c>
      <c r="R9" s="95">
        <v>15.2</v>
      </c>
      <c r="S9" s="96">
        <v>6076</v>
      </c>
      <c r="T9" s="95">
        <v>5.9</v>
      </c>
      <c r="U9" s="123">
        <v>5.2</v>
      </c>
      <c r="V9" s="14">
        <v>1087</v>
      </c>
      <c r="W9" s="13">
        <v>14.5</v>
      </c>
      <c r="X9" s="14">
        <v>5991</v>
      </c>
      <c r="Y9" s="13">
        <v>5.4</v>
      </c>
      <c r="Z9" s="35">
        <v>5.5</v>
      </c>
    </row>
    <row r="10" spans="1:26" x14ac:dyDescent="0.3">
      <c r="A10" s="41" t="s">
        <v>79</v>
      </c>
      <c r="B10" s="98">
        <v>7657</v>
      </c>
      <c r="C10" s="97">
        <v>100</v>
      </c>
      <c r="D10" s="98">
        <v>82597</v>
      </c>
      <c r="E10" s="97">
        <v>100</v>
      </c>
      <c r="F10" s="97">
        <v>10.8</v>
      </c>
      <c r="G10" s="98">
        <v>7933</v>
      </c>
      <c r="H10" s="97">
        <v>100</v>
      </c>
      <c r="I10" s="98">
        <v>90289</v>
      </c>
      <c r="J10" s="97">
        <v>100</v>
      </c>
      <c r="K10" s="97">
        <v>11.4</v>
      </c>
      <c r="L10" s="98">
        <v>7983</v>
      </c>
      <c r="M10" s="97">
        <v>100</v>
      </c>
      <c r="N10" s="98">
        <v>96058</v>
      </c>
      <c r="O10" s="97">
        <v>100</v>
      </c>
      <c r="P10" s="97">
        <v>12</v>
      </c>
      <c r="Q10" s="98">
        <v>7689</v>
      </c>
      <c r="R10" s="97">
        <v>100</v>
      </c>
      <c r="S10" s="98">
        <v>103737</v>
      </c>
      <c r="T10" s="97">
        <v>100</v>
      </c>
      <c r="U10" s="125">
        <v>13.5</v>
      </c>
      <c r="V10" s="31">
        <v>7503</v>
      </c>
      <c r="W10" s="29">
        <v>100</v>
      </c>
      <c r="X10" s="31">
        <v>110861</v>
      </c>
      <c r="Y10" s="29">
        <v>100</v>
      </c>
      <c r="Z10" s="42">
        <v>14.8</v>
      </c>
    </row>
    <row r="12" spans="1:26" x14ac:dyDescent="0.3">
      <c r="A12" t="s">
        <v>104</v>
      </c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x14ac:dyDescent="0.3">
      <c r="A13" s="74" t="s">
        <v>393</v>
      </c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x14ac:dyDescent="0.3">
      <c r="A14" s="75" t="s">
        <v>394</v>
      </c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6" spans="1:26" x14ac:dyDescent="0.3"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1"/>
      <c r="M16" s="91"/>
      <c r="N16" s="91"/>
      <c r="O16" s="91"/>
      <c r="P16" s="91"/>
      <c r="Q16" s="91"/>
    </row>
    <row r="17" spans="2:17" x14ac:dyDescent="0.3"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1"/>
      <c r="M17" s="91"/>
      <c r="N17" s="91"/>
      <c r="O17" s="91"/>
      <c r="P17" s="91"/>
      <c r="Q17" s="91"/>
    </row>
    <row r="18" spans="2:17" x14ac:dyDescent="0.3"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1"/>
      <c r="M18" s="91"/>
      <c r="N18" s="91"/>
      <c r="O18" s="91"/>
      <c r="P18" s="91"/>
      <c r="Q18" s="91"/>
    </row>
    <row r="19" spans="2:17" x14ac:dyDescent="0.3"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91"/>
      <c r="N19" s="91"/>
      <c r="O19" s="91"/>
    </row>
  </sheetData>
  <mergeCells count="16">
    <mergeCell ref="L5:L6"/>
    <mergeCell ref="N5:N6"/>
    <mergeCell ref="X5:X6"/>
    <mergeCell ref="A4:A6"/>
    <mergeCell ref="Q4:U4"/>
    <mergeCell ref="V4:Z4"/>
    <mergeCell ref="Q5:Q6"/>
    <mergeCell ref="S5:S6"/>
    <mergeCell ref="V5:V6"/>
    <mergeCell ref="L4:P4"/>
    <mergeCell ref="G4:K4"/>
    <mergeCell ref="B4:F4"/>
    <mergeCell ref="B5:B6"/>
    <mergeCell ref="D5:D6"/>
    <mergeCell ref="G5:G6"/>
    <mergeCell ref="I5:I6"/>
  </mergeCells>
  <phoneticPr fontId="1" type="noConversion"/>
  <hyperlinks>
    <hyperlink ref="I1" location="목차!A1" display="목차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4.9989318521683403E-2"/>
  </sheetPr>
  <dimension ref="A1:I41"/>
  <sheetViews>
    <sheetView zoomScaleNormal="100" workbookViewId="0">
      <selection activeCell="D6" sqref="D6:I21"/>
    </sheetView>
  </sheetViews>
  <sheetFormatPr defaultRowHeight="16.5" x14ac:dyDescent="0.3"/>
  <cols>
    <col min="2" max="2" width="12.75" customWidth="1"/>
    <col min="3" max="3" width="15.25" customWidth="1"/>
  </cols>
  <sheetData>
    <row r="1" spans="1:9" ht="17.25" x14ac:dyDescent="0.3">
      <c r="A1" s="7" t="s">
        <v>436</v>
      </c>
      <c r="B1" s="4"/>
      <c r="C1" s="4"/>
      <c r="D1" s="4"/>
      <c r="E1" s="4"/>
      <c r="F1" s="2"/>
      <c r="G1" s="2"/>
      <c r="I1" s="72" t="s">
        <v>367</v>
      </c>
    </row>
    <row r="3" spans="1:9" x14ac:dyDescent="0.3">
      <c r="I3" s="5" t="s">
        <v>87</v>
      </c>
    </row>
    <row r="4" spans="1:9" ht="17.25" thickBot="1" x14ac:dyDescent="0.35">
      <c r="A4" s="312" t="s">
        <v>0</v>
      </c>
      <c r="B4" s="312"/>
      <c r="C4" s="313"/>
      <c r="D4" s="318" t="s">
        <v>370</v>
      </c>
      <c r="E4" s="320"/>
      <c r="F4" s="318" t="s">
        <v>369</v>
      </c>
      <c r="G4" s="319"/>
      <c r="H4" s="318" t="s">
        <v>402</v>
      </c>
      <c r="I4" s="319"/>
    </row>
    <row r="5" spans="1:9" ht="17.25" thickTop="1" x14ac:dyDescent="0.3">
      <c r="A5" s="312"/>
      <c r="B5" s="312"/>
      <c r="C5" s="313"/>
      <c r="D5" s="112" t="s">
        <v>77</v>
      </c>
      <c r="E5" s="112" t="s">
        <v>36</v>
      </c>
      <c r="F5" s="112" t="s">
        <v>77</v>
      </c>
      <c r="G5" s="114" t="s">
        <v>36</v>
      </c>
      <c r="H5" s="53" t="s">
        <v>77</v>
      </c>
      <c r="I5" s="55" t="s">
        <v>36</v>
      </c>
    </row>
    <row r="6" spans="1:9" x14ac:dyDescent="0.3">
      <c r="A6" s="305" t="s">
        <v>105</v>
      </c>
      <c r="B6" s="323" t="s">
        <v>106</v>
      </c>
      <c r="C6" s="28" t="s">
        <v>107</v>
      </c>
      <c r="D6" s="119">
        <v>25005</v>
      </c>
      <c r="E6" s="110">
        <v>46.4</v>
      </c>
      <c r="F6" s="119">
        <v>27573</v>
      </c>
      <c r="G6" s="117">
        <v>48.1</v>
      </c>
      <c r="H6" s="12">
        <v>29571</v>
      </c>
      <c r="I6" s="37">
        <v>49.7</v>
      </c>
    </row>
    <row r="7" spans="1:9" x14ac:dyDescent="0.3">
      <c r="A7" s="305"/>
      <c r="B7" s="323"/>
      <c r="C7" s="13" t="s">
        <v>108</v>
      </c>
      <c r="D7" s="96">
        <v>5269</v>
      </c>
      <c r="E7" s="95">
        <v>9.8000000000000007</v>
      </c>
      <c r="F7" s="96">
        <v>5829</v>
      </c>
      <c r="G7" s="123">
        <v>10.199999999999999</v>
      </c>
      <c r="H7" s="14">
        <v>7689</v>
      </c>
      <c r="I7" s="35">
        <v>12.9</v>
      </c>
    </row>
    <row r="8" spans="1:9" x14ac:dyDescent="0.3">
      <c r="A8" s="305"/>
      <c r="B8" s="323"/>
      <c r="C8" s="13" t="s">
        <v>109</v>
      </c>
      <c r="D8" s="96">
        <v>23621</v>
      </c>
      <c r="E8" s="95">
        <v>43.8</v>
      </c>
      <c r="F8" s="96">
        <v>23878</v>
      </c>
      <c r="G8" s="123">
        <v>41.7</v>
      </c>
      <c r="H8" s="14">
        <v>22180</v>
      </c>
      <c r="I8" s="35">
        <v>37.299999999999997</v>
      </c>
    </row>
    <row r="9" spans="1:9" x14ac:dyDescent="0.3">
      <c r="A9" s="305"/>
      <c r="B9" s="323"/>
      <c r="C9" s="13" t="s">
        <v>110</v>
      </c>
      <c r="D9" s="96">
        <v>53896</v>
      </c>
      <c r="E9" s="95">
        <v>100</v>
      </c>
      <c r="F9" s="96">
        <v>57280</v>
      </c>
      <c r="G9" s="123">
        <v>100</v>
      </c>
      <c r="H9" s="14">
        <v>59440</v>
      </c>
      <c r="I9" s="35">
        <v>100</v>
      </c>
    </row>
    <row r="10" spans="1:9" x14ac:dyDescent="0.3">
      <c r="A10" s="305"/>
      <c r="B10" s="308"/>
      <c r="C10" s="13" t="s">
        <v>85</v>
      </c>
      <c r="D10" s="96">
        <v>16407</v>
      </c>
      <c r="E10" s="95"/>
      <c r="F10" s="96">
        <v>20137</v>
      </c>
      <c r="G10" s="123"/>
      <c r="H10" s="14">
        <v>24525</v>
      </c>
      <c r="I10" s="35"/>
    </row>
    <row r="11" spans="1:9" x14ac:dyDescent="0.3">
      <c r="A11" s="305"/>
      <c r="B11" s="307" t="s">
        <v>111</v>
      </c>
      <c r="C11" s="13" t="s">
        <v>107</v>
      </c>
      <c r="D11" s="96">
        <v>6258</v>
      </c>
      <c r="E11" s="95">
        <v>10.199999999999999</v>
      </c>
      <c r="F11" s="96">
        <v>6761</v>
      </c>
      <c r="G11" s="123">
        <v>10.4</v>
      </c>
      <c r="H11" s="14">
        <v>7549</v>
      </c>
      <c r="I11" s="35">
        <v>11.2</v>
      </c>
    </row>
    <row r="12" spans="1:9" x14ac:dyDescent="0.3">
      <c r="A12" s="305"/>
      <c r="B12" s="323"/>
      <c r="C12" s="13" t="s">
        <v>108</v>
      </c>
      <c r="D12" s="96">
        <v>18930</v>
      </c>
      <c r="E12" s="95">
        <v>30.8</v>
      </c>
      <c r="F12" s="96">
        <v>19277</v>
      </c>
      <c r="G12" s="123">
        <v>29.7</v>
      </c>
      <c r="H12" s="255">
        <v>17390</v>
      </c>
      <c r="I12" s="254">
        <v>25.8</v>
      </c>
    </row>
    <row r="13" spans="1:9" x14ac:dyDescent="0.3">
      <c r="A13" s="305"/>
      <c r="B13" s="323"/>
      <c r="C13" s="13" t="s">
        <v>109</v>
      </c>
      <c r="D13" s="96">
        <v>36329</v>
      </c>
      <c r="E13" s="95">
        <v>59.1</v>
      </c>
      <c r="F13" s="96">
        <v>38871</v>
      </c>
      <c r="G13" s="123">
        <v>59.9</v>
      </c>
      <c r="H13" s="255">
        <v>42567</v>
      </c>
      <c r="I13" s="254">
        <v>63.1</v>
      </c>
    </row>
    <row r="14" spans="1:9" x14ac:dyDescent="0.3">
      <c r="A14" s="305"/>
      <c r="B14" s="323"/>
      <c r="C14" s="13" t="s">
        <v>110</v>
      </c>
      <c r="D14" s="96">
        <v>61517</v>
      </c>
      <c r="E14" s="95">
        <v>100</v>
      </c>
      <c r="F14" s="96">
        <v>64910</v>
      </c>
      <c r="G14" s="123">
        <v>100</v>
      </c>
      <c r="H14" s="255">
        <v>67507</v>
      </c>
      <c r="I14" s="254">
        <v>100</v>
      </c>
    </row>
    <row r="15" spans="1:9" x14ac:dyDescent="0.3">
      <c r="A15" s="306"/>
      <c r="B15" s="308"/>
      <c r="C15" s="13" t="s">
        <v>85</v>
      </c>
      <c r="D15" s="96">
        <v>6340</v>
      </c>
      <c r="E15" s="95"/>
      <c r="F15" s="96">
        <v>7274</v>
      </c>
      <c r="G15" s="123"/>
      <c r="H15" s="255">
        <v>8532</v>
      </c>
      <c r="I15" s="254"/>
    </row>
    <row r="16" spans="1:9" ht="16.5" customHeight="1" x14ac:dyDescent="0.3">
      <c r="A16" s="324" t="s">
        <v>112</v>
      </c>
      <c r="B16" s="304"/>
      <c r="C16" s="13" t="s">
        <v>107</v>
      </c>
      <c r="D16" s="96">
        <v>21805</v>
      </c>
      <c r="E16" s="95">
        <v>28</v>
      </c>
      <c r="F16" s="96">
        <v>23690</v>
      </c>
      <c r="G16" s="123">
        <v>27.8</v>
      </c>
      <c r="H16" s="255">
        <v>20594</v>
      </c>
      <c r="I16" s="254">
        <v>22.9</v>
      </c>
    </row>
    <row r="17" spans="1:9" x14ac:dyDescent="0.3">
      <c r="A17" s="325"/>
      <c r="B17" s="305"/>
      <c r="C17" s="13" t="s">
        <v>108</v>
      </c>
      <c r="D17" s="96">
        <v>21420</v>
      </c>
      <c r="E17" s="95">
        <v>27.5</v>
      </c>
      <c r="F17" s="96">
        <v>27232</v>
      </c>
      <c r="G17" s="123">
        <v>32</v>
      </c>
      <c r="H17" s="255">
        <v>33874</v>
      </c>
      <c r="I17" s="254">
        <v>37.6</v>
      </c>
    </row>
    <row r="18" spans="1:9" x14ac:dyDescent="0.3">
      <c r="A18" s="325"/>
      <c r="B18" s="305"/>
      <c r="C18" s="13" t="s">
        <v>109</v>
      </c>
      <c r="D18" s="96">
        <v>34615</v>
      </c>
      <c r="E18" s="95">
        <v>44.5</v>
      </c>
      <c r="F18" s="96">
        <v>34282</v>
      </c>
      <c r="G18" s="123">
        <v>40.200000000000003</v>
      </c>
      <c r="H18" s="255">
        <v>35641</v>
      </c>
      <c r="I18" s="254">
        <v>39.6</v>
      </c>
    </row>
    <row r="19" spans="1:9" x14ac:dyDescent="0.3">
      <c r="A19" s="325"/>
      <c r="B19" s="305"/>
      <c r="C19" s="13" t="s">
        <v>110</v>
      </c>
      <c r="D19" s="96">
        <v>77841</v>
      </c>
      <c r="E19" s="95">
        <v>100</v>
      </c>
      <c r="F19" s="96">
        <v>85204</v>
      </c>
      <c r="G19" s="123">
        <v>100</v>
      </c>
      <c r="H19" s="255">
        <v>90109</v>
      </c>
      <c r="I19" s="254">
        <v>100</v>
      </c>
    </row>
    <row r="20" spans="1:9" x14ac:dyDescent="0.3">
      <c r="A20" s="326"/>
      <c r="B20" s="306"/>
      <c r="C20" s="13" t="s">
        <v>85</v>
      </c>
      <c r="D20" s="96">
        <v>49790</v>
      </c>
      <c r="E20" s="95"/>
      <c r="F20" s="96">
        <v>51977</v>
      </c>
      <c r="G20" s="123"/>
      <c r="H20" s="14">
        <v>55618</v>
      </c>
      <c r="I20" s="35"/>
    </row>
    <row r="21" spans="1:9" x14ac:dyDescent="0.3">
      <c r="A21" s="321" t="s">
        <v>86</v>
      </c>
      <c r="B21" s="321"/>
      <c r="C21" s="322"/>
      <c r="D21" s="98">
        <v>265791</v>
      </c>
      <c r="E21" s="97"/>
      <c r="F21" s="98">
        <v>286782</v>
      </c>
      <c r="G21" s="125"/>
      <c r="H21" s="31">
        <v>305731</v>
      </c>
      <c r="I21" s="42"/>
    </row>
    <row r="23" spans="1:9" x14ac:dyDescent="0.3">
      <c r="A23" t="s">
        <v>113</v>
      </c>
    </row>
    <row r="24" spans="1:9" x14ac:dyDescent="0.3">
      <c r="A24" t="s">
        <v>114</v>
      </c>
    </row>
    <row r="26" spans="1:9" x14ac:dyDescent="0.3">
      <c r="D26" s="90"/>
      <c r="E26" s="90"/>
      <c r="F26" s="90"/>
      <c r="G26" s="90"/>
      <c r="H26" s="90"/>
      <c r="I26" s="90"/>
    </row>
    <row r="27" spans="1:9" x14ac:dyDescent="0.3">
      <c r="D27" s="90"/>
      <c r="E27" s="90"/>
      <c r="F27" s="90"/>
      <c r="G27" s="90"/>
      <c r="H27" s="90"/>
      <c r="I27" s="90"/>
    </row>
    <row r="28" spans="1:9" x14ac:dyDescent="0.3">
      <c r="D28" s="90"/>
      <c r="E28" s="90"/>
      <c r="F28" s="90"/>
      <c r="G28" s="90"/>
      <c r="H28" s="90"/>
      <c r="I28" s="90"/>
    </row>
    <row r="29" spans="1:9" x14ac:dyDescent="0.3">
      <c r="D29" s="90"/>
      <c r="E29" s="90"/>
      <c r="F29" s="90"/>
      <c r="G29" s="90"/>
      <c r="H29" s="90"/>
      <c r="I29" s="90"/>
    </row>
    <row r="30" spans="1:9" x14ac:dyDescent="0.3">
      <c r="D30" s="90"/>
      <c r="E30" s="90"/>
      <c r="F30" s="90"/>
      <c r="G30" s="90"/>
      <c r="H30" s="90"/>
      <c r="I30" s="90"/>
    </row>
    <row r="31" spans="1:9" x14ac:dyDescent="0.3">
      <c r="D31" s="90"/>
      <c r="E31" s="90"/>
      <c r="F31" s="90"/>
      <c r="G31" s="90"/>
      <c r="H31" s="90"/>
      <c r="I31" s="90"/>
    </row>
    <row r="32" spans="1:9" x14ac:dyDescent="0.3">
      <c r="D32" s="90"/>
      <c r="E32" s="90"/>
      <c r="F32" s="90"/>
      <c r="G32" s="90"/>
      <c r="H32" s="90"/>
      <c r="I32" s="90"/>
    </row>
    <row r="33" spans="4:9" x14ac:dyDescent="0.3">
      <c r="D33" s="90"/>
      <c r="E33" s="90"/>
      <c r="F33" s="90"/>
      <c r="G33" s="90"/>
      <c r="H33" s="90"/>
      <c r="I33" s="90"/>
    </row>
    <row r="34" spans="4:9" x14ac:dyDescent="0.3">
      <c r="D34" s="90"/>
      <c r="E34" s="90"/>
      <c r="F34" s="90"/>
      <c r="G34" s="90"/>
      <c r="H34" s="90"/>
      <c r="I34" s="90"/>
    </row>
    <row r="35" spans="4:9" x14ac:dyDescent="0.3">
      <c r="D35" s="90"/>
      <c r="E35" s="90"/>
      <c r="F35" s="90"/>
      <c r="G35" s="90"/>
      <c r="H35" s="90"/>
      <c r="I35" s="90"/>
    </row>
    <row r="36" spans="4:9" x14ac:dyDescent="0.3">
      <c r="D36" s="90"/>
      <c r="E36" s="90"/>
      <c r="F36" s="90"/>
      <c r="G36" s="90"/>
      <c r="H36" s="90"/>
      <c r="I36" s="90"/>
    </row>
    <row r="37" spans="4:9" x14ac:dyDescent="0.3">
      <c r="D37" s="90"/>
      <c r="E37" s="90"/>
      <c r="F37" s="90"/>
      <c r="G37" s="90"/>
      <c r="H37" s="90"/>
      <c r="I37" s="90"/>
    </row>
    <row r="38" spans="4:9" x14ac:dyDescent="0.3">
      <c r="D38" s="90"/>
      <c r="E38" s="90"/>
      <c r="F38" s="90"/>
      <c r="G38" s="90"/>
      <c r="H38" s="90"/>
      <c r="I38" s="90"/>
    </row>
    <row r="39" spans="4:9" x14ac:dyDescent="0.3">
      <c r="D39" s="90"/>
      <c r="E39" s="90"/>
      <c r="F39" s="90"/>
      <c r="G39" s="90"/>
      <c r="H39" s="90"/>
      <c r="I39" s="90"/>
    </row>
    <row r="40" spans="4:9" x14ac:dyDescent="0.3">
      <c r="D40" s="90"/>
      <c r="E40" s="90"/>
      <c r="F40" s="90"/>
      <c r="G40" s="90"/>
      <c r="H40" s="90"/>
      <c r="I40" s="90"/>
    </row>
    <row r="41" spans="4:9" x14ac:dyDescent="0.3">
      <c r="D41" s="90"/>
      <c r="E41" s="90"/>
      <c r="F41" s="90"/>
      <c r="G41" s="90"/>
      <c r="H41" s="90"/>
      <c r="I41" s="90"/>
    </row>
  </sheetData>
  <mergeCells count="9">
    <mergeCell ref="A21:C21"/>
    <mergeCell ref="A4:C5"/>
    <mergeCell ref="F4:G4"/>
    <mergeCell ref="H4:I4"/>
    <mergeCell ref="A6:A15"/>
    <mergeCell ref="B6:B10"/>
    <mergeCell ref="B11:B15"/>
    <mergeCell ref="A16:B20"/>
    <mergeCell ref="D4:E4"/>
  </mergeCells>
  <phoneticPr fontId="1" type="noConversion"/>
  <hyperlinks>
    <hyperlink ref="I1" location="목차!A1" display="목차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N52"/>
  <sheetViews>
    <sheetView zoomScale="85" zoomScaleNormal="85" workbookViewId="0">
      <selection activeCell="A29" sqref="A29"/>
    </sheetView>
  </sheetViews>
  <sheetFormatPr defaultRowHeight="16.5" x14ac:dyDescent="0.3"/>
  <cols>
    <col min="2" max="2" width="14.375" customWidth="1"/>
    <col min="3" max="3" width="9.875" bestFit="1" customWidth="1"/>
    <col min="4" max="4" width="9.125" bestFit="1" customWidth="1"/>
    <col min="5" max="5" width="9.875" bestFit="1" customWidth="1"/>
    <col min="6" max="6" width="9.125" bestFit="1" customWidth="1"/>
    <col min="7" max="7" width="9.875" bestFit="1" customWidth="1"/>
    <col min="8" max="8" width="9.125" bestFit="1" customWidth="1"/>
    <col min="9" max="9" width="9.875" bestFit="1" customWidth="1"/>
    <col min="10" max="10" width="9.125" bestFit="1" customWidth="1"/>
    <col min="11" max="11" width="9.875" bestFit="1" customWidth="1"/>
    <col min="12" max="14" width="9.125" bestFit="1" customWidth="1"/>
  </cols>
  <sheetData>
    <row r="1" spans="1:14" ht="17.25" x14ac:dyDescent="0.3">
      <c r="A1" s="10" t="s">
        <v>410</v>
      </c>
      <c r="B1" s="10"/>
      <c r="C1" s="10"/>
      <c r="D1" s="10"/>
      <c r="F1" s="72" t="s">
        <v>367</v>
      </c>
    </row>
    <row r="3" spans="1:14" x14ac:dyDescent="0.3">
      <c r="N3" s="5" t="s">
        <v>87</v>
      </c>
    </row>
    <row r="4" spans="1:14" ht="18" customHeight="1" thickBot="1" x14ac:dyDescent="0.35">
      <c r="A4" s="312" t="s">
        <v>0</v>
      </c>
      <c r="B4" s="313"/>
      <c r="C4" s="318" t="s">
        <v>8</v>
      </c>
      <c r="D4" s="320"/>
      <c r="E4" s="318" t="s">
        <v>9</v>
      </c>
      <c r="F4" s="320"/>
      <c r="G4" s="318" t="s">
        <v>10</v>
      </c>
      <c r="H4" s="320"/>
      <c r="I4" s="318" t="s">
        <v>369</v>
      </c>
      <c r="J4" s="320"/>
      <c r="K4" s="318" t="s">
        <v>402</v>
      </c>
      <c r="L4" s="320"/>
      <c r="M4" s="318" t="s">
        <v>76</v>
      </c>
      <c r="N4" s="319"/>
    </row>
    <row r="5" spans="1:14" ht="17.25" thickTop="1" x14ac:dyDescent="0.3">
      <c r="A5" s="312"/>
      <c r="B5" s="313"/>
      <c r="C5" s="120" t="s">
        <v>77</v>
      </c>
      <c r="D5" s="120" t="s">
        <v>36</v>
      </c>
      <c r="E5" s="120" t="s">
        <v>77</v>
      </c>
      <c r="F5" s="120" t="s">
        <v>36</v>
      </c>
      <c r="G5" s="120" t="s">
        <v>73</v>
      </c>
      <c r="H5" s="120" t="s">
        <v>36</v>
      </c>
      <c r="I5" s="120" t="s">
        <v>74</v>
      </c>
      <c r="J5" s="120" t="s">
        <v>36</v>
      </c>
      <c r="K5" s="59" t="s">
        <v>74</v>
      </c>
      <c r="L5" s="59" t="s">
        <v>36</v>
      </c>
      <c r="M5" s="59" t="s">
        <v>37</v>
      </c>
      <c r="N5" s="60" t="s">
        <v>38</v>
      </c>
    </row>
    <row r="6" spans="1:14" ht="18" customHeight="1" x14ac:dyDescent="0.3">
      <c r="A6" s="305" t="s">
        <v>115</v>
      </c>
      <c r="B6" s="28" t="s">
        <v>116</v>
      </c>
      <c r="C6" s="119">
        <v>38571</v>
      </c>
      <c r="D6" s="110">
        <v>18.899999999999999</v>
      </c>
      <c r="E6" s="119">
        <v>41715</v>
      </c>
      <c r="F6" s="110">
        <v>18.399999999999999</v>
      </c>
      <c r="G6" s="119">
        <v>48767</v>
      </c>
      <c r="H6" s="110">
        <v>20.100000000000001</v>
      </c>
      <c r="I6" s="119">
        <v>51223</v>
      </c>
      <c r="J6" s="110">
        <v>19.7</v>
      </c>
      <c r="K6" s="12">
        <v>56024</v>
      </c>
      <c r="L6" s="28">
        <v>18.7</v>
      </c>
      <c r="M6" s="12">
        <v>4801</v>
      </c>
      <c r="N6" s="37">
        <v>9.4</v>
      </c>
    </row>
    <row r="7" spans="1:14" ht="18" customHeight="1" x14ac:dyDescent="0.3">
      <c r="A7" s="305"/>
      <c r="B7" s="13" t="s">
        <v>117</v>
      </c>
      <c r="C7" s="96">
        <v>4016</v>
      </c>
      <c r="D7" s="95">
        <v>2</v>
      </c>
      <c r="E7" s="96">
        <v>4787</v>
      </c>
      <c r="F7" s="95">
        <v>2.1</v>
      </c>
      <c r="G7" s="96">
        <v>5243</v>
      </c>
      <c r="H7" s="95">
        <v>2.2000000000000002</v>
      </c>
      <c r="I7" s="96">
        <v>5410</v>
      </c>
      <c r="J7" s="95">
        <v>2.1</v>
      </c>
      <c r="K7" s="14">
        <v>6937</v>
      </c>
      <c r="L7" s="13">
        <v>2.2999999999999998</v>
      </c>
      <c r="M7" s="13">
        <v>1527</v>
      </c>
      <c r="N7" s="35">
        <v>28.2</v>
      </c>
    </row>
    <row r="8" spans="1:14" ht="18" customHeight="1" x14ac:dyDescent="0.3">
      <c r="A8" s="305"/>
      <c r="B8" s="13" t="s">
        <v>118</v>
      </c>
      <c r="C8" s="96">
        <v>24139</v>
      </c>
      <c r="D8" s="95">
        <v>11.8</v>
      </c>
      <c r="E8" s="96">
        <v>25611</v>
      </c>
      <c r="F8" s="95">
        <v>11.3</v>
      </c>
      <c r="G8" s="96">
        <v>28082</v>
      </c>
      <c r="H8" s="95">
        <v>11.6</v>
      </c>
      <c r="I8" s="96">
        <v>30038</v>
      </c>
      <c r="J8" s="95">
        <v>11.6</v>
      </c>
      <c r="K8" s="14">
        <v>41064</v>
      </c>
      <c r="L8" s="13">
        <v>13.7</v>
      </c>
      <c r="M8" s="14">
        <v>11026</v>
      </c>
      <c r="N8" s="35">
        <v>36.700000000000003</v>
      </c>
    </row>
    <row r="9" spans="1:14" ht="18" customHeight="1" x14ac:dyDescent="0.3">
      <c r="A9" s="306"/>
      <c r="B9" s="13" t="s">
        <v>110</v>
      </c>
      <c r="C9" s="96">
        <v>66726</v>
      </c>
      <c r="D9" s="95">
        <v>32.6</v>
      </c>
      <c r="E9" s="96">
        <v>72113</v>
      </c>
      <c r="F9" s="95">
        <v>31.7</v>
      </c>
      <c r="G9" s="96">
        <v>82092</v>
      </c>
      <c r="H9" s="95">
        <v>33.9</v>
      </c>
      <c r="I9" s="96">
        <v>86671</v>
      </c>
      <c r="J9" s="95">
        <v>33.4</v>
      </c>
      <c r="K9" s="14">
        <v>104025</v>
      </c>
      <c r="L9" s="13">
        <v>34.700000000000003</v>
      </c>
      <c r="M9" s="14">
        <v>17354</v>
      </c>
      <c r="N9" s="35">
        <v>20</v>
      </c>
    </row>
    <row r="10" spans="1:14" ht="18" customHeight="1" x14ac:dyDescent="0.3">
      <c r="A10" s="304" t="s">
        <v>119</v>
      </c>
      <c r="B10" s="13" t="s">
        <v>120</v>
      </c>
      <c r="C10" s="96">
        <v>58439</v>
      </c>
      <c r="D10" s="95">
        <v>28.6</v>
      </c>
      <c r="E10" s="96">
        <v>65132</v>
      </c>
      <c r="F10" s="95">
        <v>28.7</v>
      </c>
      <c r="G10" s="96">
        <v>68208</v>
      </c>
      <c r="H10" s="95">
        <v>28.2</v>
      </c>
      <c r="I10" s="96">
        <v>74698</v>
      </c>
      <c r="J10" s="95">
        <v>28.8</v>
      </c>
      <c r="K10" s="14">
        <v>83050</v>
      </c>
      <c r="L10" s="13">
        <v>27.7</v>
      </c>
      <c r="M10" s="14">
        <v>8352</v>
      </c>
      <c r="N10" s="35">
        <v>11.2</v>
      </c>
    </row>
    <row r="11" spans="1:14" ht="18" customHeight="1" x14ac:dyDescent="0.3">
      <c r="A11" s="305"/>
      <c r="B11" s="13" t="s">
        <v>121</v>
      </c>
      <c r="C11" s="96">
        <v>9120</v>
      </c>
      <c r="D11" s="95">
        <v>4.5</v>
      </c>
      <c r="E11" s="96">
        <v>9626</v>
      </c>
      <c r="F11" s="95">
        <v>4.2</v>
      </c>
      <c r="G11" s="96">
        <v>10002</v>
      </c>
      <c r="H11" s="95">
        <v>4.0999999999999996</v>
      </c>
      <c r="I11" s="96">
        <v>11355</v>
      </c>
      <c r="J11" s="95">
        <v>4.4000000000000004</v>
      </c>
      <c r="K11" s="14">
        <v>13312</v>
      </c>
      <c r="L11" s="13">
        <v>4.4000000000000004</v>
      </c>
      <c r="M11" s="13">
        <v>1957</v>
      </c>
      <c r="N11" s="35">
        <v>17.2</v>
      </c>
    </row>
    <row r="12" spans="1:14" ht="18" customHeight="1" x14ac:dyDescent="0.3">
      <c r="A12" s="305"/>
      <c r="B12" s="13" t="s">
        <v>122</v>
      </c>
      <c r="C12" s="96">
        <v>6301</v>
      </c>
      <c r="D12" s="95">
        <v>3.1</v>
      </c>
      <c r="E12" s="96">
        <v>6842</v>
      </c>
      <c r="F12" s="95">
        <v>3</v>
      </c>
      <c r="G12" s="96">
        <v>7168</v>
      </c>
      <c r="H12" s="95">
        <v>3</v>
      </c>
      <c r="I12" s="96">
        <v>7376</v>
      </c>
      <c r="J12" s="95">
        <v>2.8</v>
      </c>
      <c r="K12" s="14">
        <v>8689</v>
      </c>
      <c r="L12" s="13">
        <v>2.9</v>
      </c>
      <c r="M12" s="13">
        <v>1313</v>
      </c>
      <c r="N12" s="35">
        <v>17.8</v>
      </c>
    </row>
    <row r="13" spans="1:14" ht="18" customHeight="1" x14ac:dyDescent="0.3">
      <c r="A13" s="305"/>
      <c r="B13" s="13" t="s">
        <v>123</v>
      </c>
      <c r="C13" s="96">
        <v>4827</v>
      </c>
      <c r="D13" s="95">
        <v>2.4</v>
      </c>
      <c r="E13" s="96">
        <v>5607</v>
      </c>
      <c r="F13" s="95">
        <v>2.5</v>
      </c>
      <c r="G13" s="96">
        <v>5708</v>
      </c>
      <c r="H13" s="95">
        <v>2.4</v>
      </c>
      <c r="I13" s="96">
        <v>5678</v>
      </c>
      <c r="J13" s="95">
        <v>2.2000000000000002</v>
      </c>
      <c r="K13" s="14">
        <v>6396</v>
      </c>
      <c r="L13" s="13">
        <v>2.1</v>
      </c>
      <c r="M13" s="13">
        <v>718</v>
      </c>
      <c r="N13" s="35">
        <v>12.6</v>
      </c>
    </row>
    <row r="14" spans="1:14" ht="18" customHeight="1" x14ac:dyDescent="0.3">
      <c r="A14" s="305"/>
      <c r="B14" s="13" t="s">
        <v>124</v>
      </c>
      <c r="C14" s="96">
        <v>3112</v>
      </c>
      <c r="D14" s="95">
        <v>1.5</v>
      </c>
      <c r="E14" s="96">
        <v>3234</v>
      </c>
      <c r="F14" s="95">
        <v>1.4</v>
      </c>
      <c r="G14" s="96">
        <v>3651</v>
      </c>
      <c r="H14" s="95">
        <v>1.5</v>
      </c>
      <c r="I14" s="96">
        <v>3810</v>
      </c>
      <c r="J14" s="95">
        <v>1.5</v>
      </c>
      <c r="K14" s="14">
        <v>4784</v>
      </c>
      <c r="L14" s="13">
        <v>1.6</v>
      </c>
      <c r="M14" s="13">
        <v>974</v>
      </c>
      <c r="N14" s="35">
        <v>25.6</v>
      </c>
    </row>
    <row r="15" spans="1:14" ht="18" customHeight="1" x14ac:dyDescent="0.3">
      <c r="A15" s="305"/>
      <c r="B15" s="13" t="s">
        <v>125</v>
      </c>
      <c r="C15" s="96">
        <v>2996</v>
      </c>
      <c r="D15" s="95">
        <v>1.5</v>
      </c>
      <c r="E15" s="96">
        <v>3156</v>
      </c>
      <c r="F15" s="95">
        <v>1.4</v>
      </c>
      <c r="G15" s="96">
        <v>3601</v>
      </c>
      <c r="H15" s="95">
        <v>1.5</v>
      </c>
      <c r="I15" s="96">
        <v>4217</v>
      </c>
      <c r="J15" s="95">
        <v>1.6</v>
      </c>
      <c r="K15" s="14">
        <v>4534</v>
      </c>
      <c r="L15" s="13">
        <v>1.5</v>
      </c>
      <c r="M15" s="13">
        <v>317</v>
      </c>
      <c r="N15" s="35">
        <v>7.5</v>
      </c>
    </row>
    <row r="16" spans="1:14" ht="18" customHeight="1" x14ac:dyDescent="0.3">
      <c r="A16" s="305"/>
      <c r="B16" s="13" t="s">
        <v>126</v>
      </c>
      <c r="C16" s="96">
        <v>6101</v>
      </c>
      <c r="D16" s="95">
        <v>3</v>
      </c>
      <c r="E16" s="96">
        <v>7239</v>
      </c>
      <c r="F16" s="95">
        <v>3.2</v>
      </c>
      <c r="G16" s="96">
        <v>7656</v>
      </c>
      <c r="H16" s="95">
        <v>3.2</v>
      </c>
      <c r="I16" s="96">
        <v>8121</v>
      </c>
      <c r="J16" s="95">
        <v>3.1</v>
      </c>
      <c r="K16" s="14">
        <v>9134</v>
      </c>
      <c r="L16" s="13">
        <v>3</v>
      </c>
      <c r="M16" s="13">
        <v>1013</v>
      </c>
      <c r="N16" s="35">
        <v>12.5</v>
      </c>
    </row>
    <row r="17" spans="1:14" ht="18" customHeight="1" x14ac:dyDescent="0.3">
      <c r="A17" s="305"/>
      <c r="B17" s="13" t="s">
        <v>127</v>
      </c>
      <c r="C17" s="96">
        <v>5289</v>
      </c>
      <c r="D17" s="95">
        <v>2.6</v>
      </c>
      <c r="E17" s="96">
        <v>5903</v>
      </c>
      <c r="F17" s="95">
        <v>2.6</v>
      </c>
      <c r="G17" s="96">
        <v>6455</v>
      </c>
      <c r="H17" s="95">
        <v>2.7</v>
      </c>
      <c r="I17" s="96">
        <v>7333</v>
      </c>
      <c r="J17" s="95">
        <v>2.8</v>
      </c>
      <c r="K17" s="14">
        <v>10284</v>
      </c>
      <c r="L17" s="13">
        <v>3.4</v>
      </c>
      <c r="M17" s="13">
        <v>2951</v>
      </c>
      <c r="N17" s="35">
        <v>40.200000000000003</v>
      </c>
    </row>
    <row r="18" spans="1:14" ht="18" customHeight="1" x14ac:dyDescent="0.3">
      <c r="A18" s="305"/>
      <c r="B18" s="13" t="s">
        <v>128</v>
      </c>
      <c r="C18" s="96">
        <v>7526</v>
      </c>
      <c r="D18" s="95">
        <v>3.7</v>
      </c>
      <c r="E18" s="96">
        <v>8808</v>
      </c>
      <c r="F18" s="95">
        <v>3.9</v>
      </c>
      <c r="G18" s="96">
        <v>9296</v>
      </c>
      <c r="H18" s="95">
        <v>3.8</v>
      </c>
      <c r="I18" s="96">
        <v>9759</v>
      </c>
      <c r="J18" s="95">
        <v>3.8</v>
      </c>
      <c r="K18" s="14">
        <v>11475</v>
      </c>
      <c r="L18" s="13">
        <v>3.8</v>
      </c>
      <c r="M18" s="13">
        <v>1716</v>
      </c>
      <c r="N18" s="35">
        <v>17.600000000000001</v>
      </c>
    </row>
    <row r="19" spans="1:14" ht="18" customHeight="1" x14ac:dyDescent="0.3">
      <c r="A19" s="305"/>
      <c r="B19" s="13" t="s">
        <v>129</v>
      </c>
      <c r="C19" s="96">
        <v>3199</v>
      </c>
      <c r="D19" s="95">
        <v>1.6</v>
      </c>
      <c r="E19" s="96">
        <v>3671</v>
      </c>
      <c r="F19" s="95">
        <v>1.6</v>
      </c>
      <c r="G19" s="96">
        <v>3654</v>
      </c>
      <c r="H19" s="95">
        <v>1.5</v>
      </c>
      <c r="I19" s="96">
        <v>4108</v>
      </c>
      <c r="J19" s="95">
        <v>1.6</v>
      </c>
      <c r="K19" s="14">
        <v>4270</v>
      </c>
      <c r="L19" s="13">
        <v>1.4</v>
      </c>
      <c r="M19" s="13">
        <v>162</v>
      </c>
      <c r="N19" s="35">
        <v>3.9</v>
      </c>
    </row>
    <row r="20" spans="1:14" ht="18" customHeight="1" x14ac:dyDescent="0.3">
      <c r="A20" s="305"/>
      <c r="B20" s="13" t="s">
        <v>130</v>
      </c>
      <c r="C20" s="96">
        <v>6272</v>
      </c>
      <c r="D20" s="95">
        <v>3.1</v>
      </c>
      <c r="E20" s="96">
        <v>6882</v>
      </c>
      <c r="F20" s="95">
        <v>3</v>
      </c>
      <c r="G20" s="96">
        <v>7271</v>
      </c>
      <c r="H20" s="95">
        <v>3</v>
      </c>
      <c r="I20" s="96">
        <v>8127</v>
      </c>
      <c r="J20" s="95">
        <v>3.1</v>
      </c>
      <c r="K20" s="14">
        <v>10075</v>
      </c>
      <c r="L20" s="13">
        <v>3.4</v>
      </c>
      <c r="M20" s="13">
        <v>1948</v>
      </c>
      <c r="N20" s="35">
        <v>24</v>
      </c>
    </row>
    <row r="21" spans="1:14" ht="18" customHeight="1" x14ac:dyDescent="0.3">
      <c r="A21" s="305"/>
      <c r="B21" s="13" t="s">
        <v>131</v>
      </c>
      <c r="C21" s="96">
        <v>18365</v>
      </c>
      <c r="D21" s="95">
        <v>9</v>
      </c>
      <c r="E21" s="96">
        <v>22156</v>
      </c>
      <c r="F21" s="95">
        <v>9.6999999999999993</v>
      </c>
      <c r="G21" s="96">
        <v>19628</v>
      </c>
      <c r="H21" s="95">
        <v>8.1</v>
      </c>
      <c r="I21" s="96">
        <v>20362</v>
      </c>
      <c r="J21" s="95">
        <v>7.8</v>
      </c>
      <c r="K21" s="14">
        <v>20598</v>
      </c>
      <c r="L21" s="13">
        <v>6.9</v>
      </c>
      <c r="M21" s="13">
        <v>236</v>
      </c>
      <c r="N21" s="35">
        <v>1.2</v>
      </c>
    </row>
    <row r="22" spans="1:14" ht="18" customHeight="1" x14ac:dyDescent="0.3">
      <c r="A22" s="305"/>
      <c r="B22" s="275" t="s">
        <v>132</v>
      </c>
      <c r="C22" s="327">
        <v>1487</v>
      </c>
      <c r="D22" s="307">
        <v>0.7</v>
      </c>
      <c r="E22" s="327">
        <v>1714</v>
      </c>
      <c r="F22" s="307">
        <v>0.8</v>
      </c>
      <c r="G22" s="327">
        <v>1858</v>
      </c>
      <c r="H22" s="307">
        <v>0.8</v>
      </c>
      <c r="I22" s="327">
        <v>1884</v>
      </c>
      <c r="J22" s="307">
        <v>0.7</v>
      </c>
      <c r="K22" s="307">
        <v>2108</v>
      </c>
      <c r="L22" s="307">
        <v>0.7</v>
      </c>
      <c r="M22" s="307">
        <v>224</v>
      </c>
      <c r="N22" s="307">
        <v>11.9</v>
      </c>
    </row>
    <row r="23" spans="1:14" ht="18" customHeight="1" x14ac:dyDescent="0.3">
      <c r="A23" s="305"/>
      <c r="B23" s="276" t="s">
        <v>133</v>
      </c>
      <c r="C23" s="328"/>
      <c r="D23" s="308"/>
      <c r="E23" s="328"/>
      <c r="F23" s="308"/>
      <c r="G23" s="328"/>
      <c r="H23" s="308"/>
      <c r="I23" s="328"/>
      <c r="J23" s="308"/>
      <c r="K23" s="308"/>
      <c r="L23" s="308"/>
      <c r="M23" s="308"/>
      <c r="N23" s="308"/>
    </row>
    <row r="24" spans="1:14" ht="18" customHeight="1" x14ac:dyDescent="0.3">
      <c r="A24" s="305"/>
      <c r="B24" s="27" t="s">
        <v>134</v>
      </c>
      <c r="C24" s="327">
        <v>4837</v>
      </c>
      <c r="D24" s="307">
        <v>2.4</v>
      </c>
      <c r="E24" s="327">
        <v>5159</v>
      </c>
      <c r="F24" s="307">
        <v>2.2999999999999998</v>
      </c>
      <c r="G24" s="327">
        <v>5877</v>
      </c>
      <c r="H24" s="307">
        <v>2.4</v>
      </c>
      <c r="I24" s="327">
        <v>6218</v>
      </c>
      <c r="J24" s="307">
        <v>2.4</v>
      </c>
      <c r="K24" s="307">
        <v>6830</v>
      </c>
      <c r="L24" s="307">
        <v>2.2999999999999998</v>
      </c>
      <c r="M24" s="307">
        <v>612</v>
      </c>
      <c r="N24" s="307">
        <v>9.8000000000000007</v>
      </c>
    </row>
    <row r="25" spans="1:14" ht="18" customHeight="1" x14ac:dyDescent="0.3">
      <c r="A25" s="305"/>
      <c r="B25" s="28" t="s">
        <v>135</v>
      </c>
      <c r="C25" s="328"/>
      <c r="D25" s="308"/>
      <c r="E25" s="328"/>
      <c r="F25" s="308"/>
      <c r="G25" s="328"/>
      <c r="H25" s="308"/>
      <c r="I25" s="328"/>
      <c r="J25" s="308"/>
      <c r="K25" s="308"/>
      <c r="L25" s="308"/>
      <c r="M25" s="308"/>
      <c r="N25" s="308"/>
    </row>
    <row r="26" spans="1:14" ht="18" customHeight="1" x14ac:dyDescent="0.3">
      <c r="A26" s="306"/>
      <c r="B26" s="13" t="s">
        <v>110</v>
      </c>
      <c r="C26" s="96">
        <v>137871</v>
      </c>
      <c r="D26" s="95">
        <v>67.400000000000006</v>
      </c>
      <c r="E26" s="96">
        <v>155129</v>
      </c>
      <c r="F26" s="95">
        <v>68.3</v>
      </c>
      <c r="G26" s="96">
        <v>160033</v>
      </c>
      <c r="H26" s="95">
        <v>66.099999999999994</v>
      </c>
      <c r="I26" s="96">
        <v>173046</v>
      </c>
      <c r="J26" s="95">
        <v>66.599999999999994</v>
      </c>
      <c r="K26" s="14">
        <v>195540</v>
      </c>
      <c r="L26" s="13">
        <v>65.3</v>
      </c>
      <c r="M26" s="14">
        <v>22494</v>
      </c>
      <c r="N26" s="35">
        <v>13</v>
      </c>
    </row>
    <row r="27" spans="1:14" x14ac:dyDescent="0.3">
      <c r="A27" s="321" t="s">
        <v>86</v>
      </c>
      <c r="B27" s="322"/>
      <c r="C27" s="98">
        <v>204597</v>
      </c>
      <c r="D27" s="97">
        <v>100</v>
      </c>
      <c r="E27" s="98">
        <v>227242</v>
      </c>
      <c r="F27" s="97">
        <v>100</v>
      </c>
      <c r="G27" s="98">
        <v>242125</v>
      </c>
      <c r="H27" s="97">
        <v>100</v>
      </c>
      <c r="I27" s="98">
        <v>259717</v>
      </c>
      <c r="J27" s="97">
        <v>100</v>
      </c>
      <c r="K27" s="31">
        <v>299565</v>
      </c>
      <c r="L27" s="29">
        <v>100</v>
      </c>
      <c r="M27" s="31">
        <v>39848</v>
      </c>
      <c r="N27" s="42">
        <v>15.3</v>
      </c>
    </row>
    <row r="29" spans="1:14" x14ac:dyDescent="0.3">
      <c r="A29" t="s">
        <v>783</v>
      </c>
    </row>
    <row r="30" spans="1:14" x14ac:dyDescent="0.3">
      <c r="A30" t="s">
        <v>136</v>
      </c>
    </row>
    <row r="31" spans="1:14" x14ac:dyDescent="0.3">
      <c r="A31" t="s">
        <v>137</v>
      </c>
    </row>
    <row r="32" spans="1:14" x14ac:dyDescent="0.3">
      <c r="A32" t="s">
        <v>138</v>
      </c>
    </row>
    <row r="34" spans="3:14" x14ac:dyDescent="0.3"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3:14" x14ac:dyDescent="0.3"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3:14" x14ac:dyDescent="0.3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</row>
    <row r="37" spans="3:14" x14ac:dyDescent="0.3"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</row>
    <row r="38" spans="3:14" x14ac:dyDescent="0.3"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3:14" x14ac:dyDescent="0.3"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</row>
    <row r="40" spans="3:14" x14ac:dyDescent="0.3"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 spans="3:14" x14ac:dyDescent="0.3"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3:14" x14ac:dyDescent="0.3"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 spans="3:14" x14ac:dyDescent="0.3"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</row>
    <row r="44" spans="3:14" x14ac:dyDescent="0.3"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</row>
    <row r="45" spans="3:14" x14ac:dyDescent="0.3"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3:14" x14ac:dyDescent="0.3"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</row>
    <row r="47" spans="3:14" x14ac:dyDescent="0.3"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</row>
    <row r="48" spans="3:14" x14ac:dyDescent="0.3"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</row>
    <row r="49" spans="3:14" x14ac:dyDescent="0.3"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</row>
    <row r="50" spans="3:14" x14ac:dyDescent="0.3"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</row>
    <row r="51" spans="3:14" x14ac:dyDescent="0.3"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</row>
    <row r="52" spans="3:14" x14ac:dyDescent="0.3"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</row>
  </sheetData>
  <mergeCells count="34">
    <mergeCell ref="L24:L25"/>
    <mergeCell ref="M4:N4"/>
    <mergeCell ref="K4:L4"/>
    <mergeCell ref="K22:K23"/>
    <mergeCell ref="L22:L23"/>
    <mergeCell ref="M22:M23"/>
    <mergeCell ref="N22:N23"/>
    <mergeCell ref="N24:N25"/>
    <mergeCell ref="M24:M25"/>
    <mergeCell ref="A10:A26"/>
    <mergeCell ref="I22:I23"/>
    <mergeCell ref="A4:B5"/>
    <mergeCell ref="I4:J4"/>
    <mergeCell ref="J22:J23"/>
    <mergeCell ref="G4:H4"/>
    <mergeCell ref="C4:D4"/>
    <mergeCell ref="G24:G25"/>
    <mergeCell ref="H24:H25"/>
    <mergeCell ref="A27:B27"/>
    <mergeCell ref="I24:I25"/>
    <mergeCell ref="J24:J25"/>
    <mergeCell ref="K24:K25"/>
    <mergeCell ref="E4:F4"/>
    <mergeCell ref="C22:C23"/>
    <mergeCell ref="D22:D23"/>
    <mergeCell ref="E22:E23"/>
    <mergeCell ref="F22:F23"/>
    <mergeCell ref="G22:G23"/>
    <mergeCell ref="H22:H23"/>
    <mergeCell ref="C24:C25"/>
    <mergeCell ref="D24:D25"/>
    <mergeCell ref="E24:E25"/>
    <mergeCell ref="F24:F25"/>
    <mergeCell ref="A6:A9"/>
  </mergeCells>
  <phoneticPr fontId="1" type="noConversion"/>
  <hyperlinks>
    <hyperlink ref="F1" location="목차!A1" display="목차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4.9989318521683403E-2"/>
  </sheetPr>
  <dimension ref="A1:M47"/>
  <sheetViews>
    <sheetView zoomScale="70" zoomScaleNormal="70" workbookViewId="0">
      <selection activeCell="S21" sqref="S21"/>
    </sheetView>
  </sheetViews>
  <sheetFormatPr defaultRowHeight="16.5" x14ac:dyDescent="0.3"/>
  <cols>
    <col min="1" max="1" width="19.375" customWidth="1"/>
  </cols>
  <sheetData>
    <row r="1" spans="1:13" ht="17.25" x14ac:dyDescent="0.3">
      <c r="A1" s="7" t="s">
        <v>411</v>
      </c>
      <c r="B1" s="4"/>
      <c r="C1" s="4"/>
      <c r="D1" s="4"/>
      <c r="E1" s="4"/>
      <c r="F1" s="4"/>
      <c r="G1" s="4"/>
      <c r="I1" s="72" t="s">
        <v>367</v>
      </c>
    </row>
    <row r="3" spans="1:13" x14ac:dyDescent="0.3">
      <c r="M3" s="5" t="s">
        <v>87</v>
      </c>
    </row>
    <row r="4" spans="1:13" ht="17.25" thickBot="1" x14ac:dyDescent="0.35">
      <c r="A4" s="313" t="s">
        <v>139</v>
      </c>
      <c r="B4" s="318" t="s">
        <v>373</v>
      </c>
      <c r="C4" s="320"/>
      <c r="D4" s="318" t="s">
        <v>374</v>
      </c>
      <c r="E4" s="320"/>
      <c r="F4" s="318" t="s">
        <v>370</v>
      </c>
      <c r="G4" s="320"/>
      <c r="H4" s="318" t="s">
        <v>369</v>
      </c>
      <c r="I4" s="320"/>
      <c r="J4" s="318" t="s">
        <v>402</v>
      </c>
      <c r="K4" s="320"/>
      <c r="L4" s="318" t="s">
        <v>32</v>
      </c>
      <c r="M4" s="319"/>
    </row>
    <row r="5" spans="1:13" ht="17.25" thickTop="1" x14ac:dyDescent="0.3">
      <c r="A5" s="313"/>
      <c r="B5" s="120" t="s">
        <v>77</v>
      </c>
      <c r="C5" s="120" t="s">
        <v>36</v>
      </c>
      <c r="D5" s="120" t="s">
        <v>77</v>
      </c>
      <c r="E5" s="120" t="s">
        <v>36</v>
      </c>
      <c r="F5" s="120" t="s">
        <v>73</v>
      </c>
      <c r="G5" s="120" t="s">
        <v>36</v>
      </c>
      <c r="H5" s="120" t="s">
        <v>74</v>
      </c>
      <c r="I5" s="120" t="s">
        <v>36</v>
      </c>
      <c r="J5" s="59" t="s">
        <v>74</v>
      </c>
      <c r="K5" s="59" t="s">
        <v>36</v>
      </c>
      <c r="L5" s="59" t="s">
        <v>37</v>
      </c>
      <c r="M5" s="60" t="s">
        <v>38</v>
      </c>
    </row>
    <row r="6" spans="1:13" x14ac:dyDescent="0.3">
      <c r="A6" s="158" t="s">
        <v>140</v>
      </c>
      <c r="B6" s="160">
        <v>915</v>
      </c>
      <c r="C6" s="160">
        <v>0.5</v>
      </c>
      <c r="D6" s="160">
        <v>1072</v>
      </c>
      <c r="E6" s="160">
        <v>0.5</v>
      </c>
      <c r="F6" s="163">
        <v>1229</v>
      </c>
      <c r="G6" s="160">
        <v>0.5</v>
      </c>
      <c r="H6" s="163">
        <v>1256</v>
      </c>
      <c r="I6" s="160">
        <v>0.5</v>
      </c>
      <c r="J6" s="163">
        <v>1337</v>
      </c>
      <c r="K6" s="160">
        <v>0.5</v>
      </c>
      <c r="L6" s="160">
        <v>81</v>
      </c>
      <c r="M6" s="117">
        <v>6.4</v>
      </c>
    </row>
    <row r="7" spans="1:13" x14ac:dyDescent="0.3">
      <c r="A7" s="124" t="s">
        <v>141</v>
      </c>
      <c r="B7" s="96">
        <v>5719</v>
      </c>
      <c r="C7" s="95">
        <v>3</v>
      </c>
      <c r="D7" s="96">
        <v>6723</v>
      </c>
      <c r="E7" s="95">
        <v>3</v>
      </c>
      <c r="F7" s="96">
        <v>5341</v>
      </c>
      <c r="G7" s="95">
        <v>2.1</v>
      </c>
      <c r="H7" s="96">
        <v>5567</v>
      </c>
      <c r="I7" s="95">
        <v>2</v>
      </c>
      <c r="J7" s="96">
        <v>6628</v>
      </c>
      <c r="K7" s="95">
        <v>2.2999999999999998</v>
      </c>
      <c r="L7" s="95">
        <v>1061</v>
      </c>
      <c r="M7" s="123">
        <v>19.100000000000001</v>
      </c>
    </row>
    <row r="8" spans="1:13" x14ac:dyDescent="0.3">
      <c r="A8" s="124" t="s">
        <v>142</v>
      </c>
      <c r="B8" s="96">
        <v>3542</v>
      </c>
      <c r="C8" s="95">
        <v>1.8</v>
      </c>
      <c r="D8" s="96">
        <v>3728</v>
      </c>
      <c r="E8" s="95">
        <v>1.7</v>
      </c>
      <c r="F8" s="96">
        <v>4257</v>
      </c>
      <c r="G8" s="95">
        <v>1.7</v>
      </c>
      <c r="H8" s="96">
        <v>4829</v>
      </c>
      <c r="I8" s="95">
        <v>1.8</v>
      </c>
      <c r="J8" s="96">
        <v>5428</v>
      </c>
      <c r="K8" s="95">
        <v>1.9</v>
      </c>
      <c r="L8" s="95">
        <v>599</v>
      </c>
      <c r="M8" s="123">
        <v>12.4</v>
      </c>
    </row>
    <row r="9" spans="1:13" x14ac:dyDescent="0.3">
      <c r="A9" s="36" t="s">
        <v>143</v>
      </c>
      <c r="B9" s="96">
        <v>5346</v>
      </c>
      <c r="C9" s="95">
        <v>2.8</v>
      </c>
      <c r="D9" s="96">
        <v>5087</v>
      </c>
      <c r="E9" s="95">
        <v>2.2999999999999998</v>
      </c>
      <c r="F9" s="96">
        <v>5810</v>
      </c>
      <c r="G9" s="95">
        <v>2.2999999999999998</v>
      </c>
      <c r="H9" s="96">
        <v>6491</v>
      </c>
      <c r="I9" s="95">
        <v>2.4</v>
      </c>
      <c r="J9" s="14">
        <v>7576</v>
      </c>
      <c r="K9" s="13">
        <v>2.6</v>
      </c>
      <c r="L9" s="95">
        <v>1085</v>
      </c>
      <c r="M9" s="35">
        <v>16.7</v>
      </c>
    </row>
    <row r="10" spans="1:13" x14ac:dyDescent="0.3">
      <c r="A10" s="124" t="s">
        <v>144</v>
      </c>
      <c r="B10" s="96">
        <v>8252</v>
      </c>
      <c r="C10" s="95">
        <v>4.3</v>
      </c>
      <c r="D10" s="96">
        <v>9300</v>
      </c>
      <c r="E10" s="95">
        <v>4.0999999999999996</v>
      </c>
      <c r="F10" s="96">
        <v>10646</v>
      </c>
      <c r="G10" s="95">
        <v>4.2</v>
      </c>
      <c r="H10" s="96">
        <v>10538</v>
      </c>
      <c r="I10" s="95">
        <v>3.9</v>
      </c>
      <c r="J10" s="96">
        <v>11120</v>
      </c>
      <c r="K10" s="95">
        <v>3.8</v>
      </c>
      <c r="L10" s="96">
        <v>582</v>
      </c>
      <c r="M10" s="123">
        <v>5.5</v>
      </c>
    </row>
    <row r="11" spans="1:13" x14ac:dyDescent="0.3">
      <c r="A11" s="157" t="s">
        <v>396</v>
      </c>
      <c r="B11" s="87">
        <v>12814</v>
      </c>
      <c r="C11" s="87">
        <v>6.7</v>
      </c>
      <c r="D11" s="87">
        <v>13743</v>
      </c>
      <c r="E11" s="87">
        <v>6.1</v>
      </c>
      <c r="F11" s="87">
        <v>15851</v>
      </c>
      <c r="G11" s="87">
        <v>6.3</v>
      </c>
      <c r="H11" s="87">
        <v>16867</v>
      </c>
      <c r="I11" s="87">
        <v>6.2</v>
      </c>
      <c r="J11" s="87">
        <v>17146</v>
      </c>
      <c r="K11" s="87">
        <v>5.9</v>
      </c>
      <c r="L11" s="87">
        <v>279</v>
      </c>
      <c r="M11" s="88">
        <v>1.7</v>
      </c>
    </row>
    <row r="12" spans="1:13" x14ac:dyDescent="0.3">
      <c r="A12" s="124" t="s">
        <v>145</v>
      </c>
      <c r="B12" s="96">
        <v>17718</v>
      </c>
      <c r="C12" s="95">
        <v>9.1999999999999993</v>
      </c>
      <c r="D12" s="96">
        <v>20994</v>
      </c>
      <c r="E12" s="95">
        <v>9.3000000000000007</v>
      </c>
      <c r="F12" s="96">
        <v>24098</v>
      </c>
      <c r="G12" s="95">
        <v>9.6</v>
      </c>
      <c r="H12" s="96">
        <v>27241</v>
      </c>
      <c r="I12" s="95">
        <v>10</v>
      </c>
      <c r="J12" s="96">
        <v>27912</v>
      </c>
      <c r="K12" s="95">
        <v>9.6</v>
      </c>
      <c r="L12" s="96">
        <v>671</v>
      </c>
      <c r="M12" s="123">
        <v>2.5</v>
      </c>
    </row>
    <row r="13" spans="1:13" x14ac:dyDescent="0.3">
      <c r="A13" s="36" t="s">
        <v>146</v>
      </c>
      <c r="B13" s="96">
        <v>33637</v>
      </c>
      <c r="C13" s="95">
        <v>17.5</v>
      </c>
      <c r="D13" s="96">
        <v>41865</v>
      </c>
      <c r="E13" s="95">
        <v>18.600000000000001</v>
      </c>
      <c r="F13" s="96">
        <v>43597</v>
      </c>
      <c r="G13" s="95">
        <v>17.399999999999999</v>
      </c>
      <c r="H13" s="96">
        <v>42564</v>
      </c>
      <c r="I13" s="95">
        <v>15.6</v>
      </c>
      <c r="J13" s="14">
        <v>46264</v>
      </c>
      <c r="K13" s="13">
        <v>15.9</v>
      </c>
      <c r="L13" s="96">
        <v>3700</v>
      </c>
      <c r="M13" s="35">
        <v>8.6999999999999993</v>
      </c>
    </row>
    <row r="14" spans="1:13" x14ac:dyDescent="0.3">
      <c r="A14" s="36" t="s">
        <v>147</v>
      </c>
      <c r="B14" s="96">
        <v>6918</v>
      </c>
      <c r="C14" s="95">
        <v>3.6</v>
      </c>
      <c r="D14" s="96">
        <v>8731</v>
      </c>
      <c r="E14" s="95">
        <v>3.9</v>
      </c>
      <c r="F14" s="96">
        <v>9970</v>
      </c>
      <c r="G14" s="95">
        <v>4</v>
      </c>
      <c r="H14" s="96">
        <v>10532</v>
      </c>
      <c r="I14" s="95">
        <v>3.9</v>
      </c>
      <c r="J14" s="14">
        <v>11956</v>
      </c>
      <c r="K14" s="13">
        <v>4.0999999999999996</v>
      </c>
      <c r="L14" s="14">
        <v>1424</v>
      </c>
      <c r="M14" s="35">
        <v>13.5</v>
      </c>
    </row>
    <row r="15" spans="1:13" x14ac:dyDescent="0.3">
      <c r="A15" s="36" t="s">
        <v>148</v>
      </c>
      <c r="B15" s="96">
        <v>4207</v>
      </c>
      <c r="C15" s="95">
        <v>2.2000000000000002</v>
      </c>
      <c r="D15" s="96">
        <v>5039</v>
      </c>
      <c r="E15" s="95">
        <v>2.2000000000000002</v>
      </c>
      <c r="F15" s="96">
        <v>5452</v>
      </c>
      <c r="G15" s="95">
        <v>2.2000000000000002</v>
      </c>
      <c r="H15" s="96">
        <v>6612</v>
      </c>
      <c r="I15" s="95">
        <v>2.4</v>
      </c>
      <c r="J15" s="14">
        <v>7632</v>
      </c>
      <c r="K15" s="13">
        <v>2.6</v>
      </c>
      <c r="L15" s="95">
        <v>1020</v>
      </c>
      <c r="M15" s="35">
        <v>15.4</v>
      </c>
    </row>
    <row r="16" spans="1:13" x14ac:dyDescent="0.3">
      <c r="A16" s="124" t="s">
        <v>152</v>
      </c>
      <c r="B16" s="96">
        <v>18431</v>
      </c>
      <c r="C16" s="95">
        <v>9.6</v>
      </c>
      <c r="D16" s="96">
        <v>22142</v>
      </c>
      <c r="E16" s="95">
        <v>9.9</v>
      </c>
      <c r="F16" s="96">
        <v>25384</v>
      </c>
      <c r="G16" s="95">
        <v>10.1</v>
      </c>
      <c r="H16" s="96">
        <v>29874</v>
      </c>
      <c r="I16" s="95">
        <v>11</v>
      </c>
      <c r="J16" s="96">
        <v>36977</v>
      </c>
      <c r="K16" s="95">
        <v>12.7</v>
      </c>
      <c r="L16" s="96">
        <v>7103</v>
      </c>
      <c r="M16" s="123">
        <v>23.8</v>
      </c>
    </row>
    <row r="17" spans="1:13" x14ac:dyDescent="0.3">
      <c r="A17" s="36" t="s">
        <v>153</v>
      </c>
      <c r="B17" s="96">
        <v>20373</v>
      </c>
      <c r="C17" s="95">
        <v>10.6</v>
      </c>
      <c r="D17" s="96">
        <v>23880</v>
      </c>
      <c r="E17" s="95">
        <v>10.6</v>
      </c>
      <c r="F17" s="96">
        <v>28074</v>
      </c>
      <c r="G17" s="95">
        <v>11.2</v>
      </c>
      <c r="H17" s="96">
        <v>29498</v>
      </c>
      <c r="I17" s="95">
        <v>10.8</v>
      </c>
      <c r="J17" s="14">
        <v>32692</v>
      </c>
      <c r="K17" s="13">
        <v>11.3</v>
      </c>
      <c r="L17" s="96">
        <v>3194</v>
      </c>
      <c r="M17" s="35">
        <v>10.8</v>
      </c>
    </row>
    <row r="18" spans="1:13" x14ac:dyDescent="0.3">
      <c r="A18" s="124" t="s">
        <v>154</v>
      </c>
      <c r="B18" s="96">
        <v>9391</v>
      </c>
      <c r="C18" s="95">
        <v>4.9000000000000004</v>
      </c>
      <c r="D18" s="96">
        <v>9880</v>
      </c>
      <c r="E18" s="95">
        <v>4.4000000000000004</v>
      </c>
      <c r="F18" s="96">
        <v>11661</v>
      </c>
      <c r="G18" s="95">
        <v>4.5999999999999996</v>
      </c>
      <c r="H18" s="96">
        <v>12942</v>
      </c>
      <c r="I18" s="95">
        <v>4.8</v>
      </c>
      <c r="J18" s="96">
        <v>12823</v>
      </c>
      <c r="K18" s="95">
        <v>4.4000000000000004</v>
      </c>
      <c r="L18" s="96" t="s">
        <v>455</v>
      </c>
      <c r="M18" s="123" t="s">
        <v>386</v>
      </c>
    </row>
    <row r="19" spans="1:13" x14ac:dyDescent="0.3">
      <c r="A19" s="124" t="s">
        <v>149</v>
      </c>
      <c r="B19" s="96">
        <v>5494</v>
      </c>
      <c r="C19" s="95">
        <v>2.9</v>
      </c>
      <c r="D19" s="96">
        <v>6401</v>
      </c>
      <c r="E19" s="95">
        <v>2.8</v>
      </c>
      <c r="F19" s="96">
        <v>7891</v>
      </c>
      <c r="G19" s="95">
        <v>3.1</v>
      </c>
      <c r="H19" s="96">
        <v>7913</v>
      </c>
      <c r="I19" s="95">
        <v>2.9</v>
      </c>
      <c r="J19" s="96">
        <v>7827</v>
      </c>
      <c r="K19" s="95">
        <v>2.7</v>
      </c>
      <c r="L19" s="96" t="s">
        <v>385</v>
      </c>
      <c r="M19" s="123" t="s">
        <v>456</v>
      </c>
    </row>
    <row r="20" spans="1:13" x14ac:dyDescent="0.3">
      <c r="A20" s="124" t="s">
        <v>150</v>
      </c>
      <c r="B20" s="96">
        <v>5100</v>
      </c>
      <c r="C20" s="95">
        <v>2.6</v>
      </c>
      <c r="D20" s="96">
        <v>6062</v>
      </c>
      <c r="E20" s="95">
        <v>2.7</v>
      </c>
      <c r="F20" s="96">
        <v>6853</v>
      </c>
      <c r="G20" s="95">
        <v>2.7</v>
      </c>
      <c r="H20" s="96">
        <v>7292</v>
      </c>
      <c r="I20" s="95">
        <v>2.7</v>
      </c>
      <c r="J20" s="96">
        <v>7818</v>
      </c>
      <c r="K20" s="95">
        <v>2.7</v>
      </c>
      <c r="L20" s="95">
        <v>526</v>
      </c>
      <c r="M20" s="123">
        <v>7.2</v>
      </c>
    </row>
    <row r="21" spans="1:13" x14ac:dyDescent="0.3">
      <c r="A21" s="36" t="s">
        <v>155</v>
      </c>
      <c r="B21" s="96">
        <v>7699</v>
      </c>
      <c r="C21" s="95">
        <v>4</v>
      </c>
      <c r="D21" s="96">
        <v>8426</v>
      </c>
      <c r="E21" s="95">
        <v>3.8</v>
      </c>
      <c r="F21" s="96">
        <v>9501</v>
      </c>
      <c r="G21" s="95">
        <v>3.8</v>
      </c>
      <c r="H21" s="96">
        <v>10690</v>
      </c>
      <c r="I21" s="95">
        <v>3.9</v>
      </c>
      <c r="J21" s="14">
        <v>11170</v>
      </c>
      <c r="K21" s="13">
        <v>3.8</v>
      </c>
      <c r="L21" s="96">
        <v>480</v>
      </c>
      <c r="M21" s="35">
        <v>4.5</v>
      </c>
    </row>
    <row r="22" spans="1:13" x14ac:dyDescent="0.3">
      <c r="A22" s="124" t="s">
        <v>151</v>
      </c>
      <c r="B22" s="96">
        <v>12158</v>
      </c>
      <c r="C22" s="95">
        <v>6.3</v>
      </c>
      <c r="D22" s="96">
        <v>16648</v>
      </c>
      <c r="E22" s="95">
        <v>7.4</v>
      </c>
      <c r="F22" s="96">
        <v>19101</v>
      </c>
      <c r="G22" s="95">
        <v>7.6</v>
      </c>
      <c r="H22" s="96">
        <v>23657</v>
      </c>
      <c r="I22" s="95">
        <v>8.6999999999999993</v>
      </c>
      <c r="J22" s="96">
        <v>22193</v>
      </c>
      <c r="K22" s="95">
        <v>7.6</v>
      </c>
      <c r="L22" s="96" t="s">
        <v>453</v>
      </c>
      <c r="M22" s="123" t="s">
        <v>457</v>
      </c>
    </row>
    <row r="23" spans="1:13" x14ac:dyDescent="0.3">
      <c r="A23" s="36" t="s">
        <v>85</v>
      </c>
      <c r="B23" s="96">
        <v>14882</v>
      </c>
      <c r="C23" s="95">
        <v>7.7</v>
      </c>
      <c r="D23" s="96">
        <v>14960</v>
      </c>
      <c r="E23" s="95">
        <v>6.7</v>
      </c>
      <c r="F23" s="96">
        <v>16555</v>
      </c>
      <c r="G23" s="95">
        <v>6.6</v>
      </c>
      <c r="H23" s="96">
        <v>17965</v>
      </c>
      <c r="I23" s="95">
        <v>6.6</v>
      </c>
      <c r="J23" s="96">
        <v>15665</v>
      </c>
      <c r="K23" s="95">
        <v>5.4</v>
      </c>
      <c r="L23" s="96" t="s">
        <v>458</v>
      </c>
      <c r="M23" s="123" t="s">
        <v>459</v>
      </c>
    </row>
    <row r="24" spans="1:13" x14ac:dyDescent="0.3">
      <c r="A24" s="161" t="s">
        <v>86</v>
      </c>
      <c r="B24" s="98">
        <v>192597</v>
      </c>
      <c r="C24" s="97">
        <v>100</v>
      </c>
      <c r="D24" s="98">
        <v>224682</v>
      </c>
      <c r="E24" s="97">
        <v>100</v>
      </c>
      <c r="F24" s="98">
        <v>251274</v>
      </c>
      <c r="G24" s="97">
        <v>100</v>
      </c>
      <c r="H24" s="98">
        <v>272329</v>
      </c>
      <c r="I24" s="97">
        <v>100</v>
      </c>
      <c r="J24" s="98">
        <v>290164</v>
      </c>
      <c r="K24" s="97">
        <v>100</v>
      </c>
      <c r="L24" s="98">
        <v>17835</v>
      </c>
      <c r="M24" s="125">
        <v>6.5</v>
      </c>
    </row>
    <row r="26" spans="1:13" x14ac:dyDescent="0.3">
      <c r="A26" s="90" t="s">
        <v>1203</v>
      </c>
    </row>
    <row r="27" spans="1:13" x14ac:dyDescent="0.3">
      <c r="A27" t="s">
        <v>1351</v>
      </c>
    </row>
    <row r="29" spans="1:13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</row>
    <row r="31" spans="1:13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</row>
    <row r="32" spans="1:13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2:13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</row>
    <row r="34" spans="2:13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2:13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2:13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</row>
    <row r="37" spans="2:13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</row>
    <row r="38" spans="2:13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2:13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</row>
    <row r="40" spans="2:13" x14ac:dyDescent="0.3"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 spans="2:13" x14ac:dyDescent="0.3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2:13" x14ac:dyDescent="0.3"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 spans="2:13" x14ac:dyDescent="0.3"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</row>
    <row r="44" spans="2:13" x14ac:dyDescent="0.3"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</row>
    <row r="45" spans="2:13" x14ac:dyDescent="0.3"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2:13" x14ac:dyDescent="0.3"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</row>
    <row r="47" spans="2:13" x14ac:dyDescent="0.3"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</row>
  </sheetData>
  <autoFilter ref="A5:M5" xr:uid="{00000000-0001-0000-0800-000000000000}"/>
  <mergeCells count="7">
    <mergeCell ref="L4:M4"/>
    <mergeCell ref="J4:K4"/>
    <mergeCell ref="A4:A5"/>
    <mergeCell ref="H4:I4"/>
    <mergeCell ref="F4:G4"/>
    <mergeCell ref="D4:E4"/>
    <mergeCell ref="B4:C4"/>
  </mergeCells>
  <phoneticPr fontId="1" type="noConversion"/>
  <hyperlinks>
    <hyperlink ref="I1" location="목차!A1" display="목차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AD50"/>
  <sheetViews>
    <sheetView zoomScale="85" zoomScaleNormal="85" workbookViewId="0">
      <selection activeCell="A30" sqref="A30"/>
    </sheetView>
  </sheetViews>
  <sheetFormatPr defaultRowHeight="16.5" x14ac:dyDescent="0.3"/>
  <cols>
    <col min="1" max="1" width="20" customWidth="1"/>
    <col min="2" max="10" width="9.375" customWidth="1"/>
    <col min="30" max="30" width="8.875" customWidth="1"/>
  </cols>
  <sheetData>
    <row r="1" spans="1:30" ht="17.25" x14ac:dyDescent="0.3">
      <c r="A1" s="7" t="s">
        <v>412</v>
      </c>
      <c r="B1" s="2"/>
      <c r="C1" s="2"/>
      <c r="D1" s="2"/>
      <c r="E1" s="2"/>
      <c r="F1" s="2"/>
      <c r="G1" s="2"/>
      <c r="H1" s="2"/>
      <c r="I1" s="9"/>
      <c r="J1" s="71" t="s">
        <v>367</v>
      </c>
    </row>
    <row r="3" spans="1:30" x14ac:dyDescent="0.3">
      <c r="AD3" s="5" t="s">
        <v>87</v>
      </c>
    </row>
    <row r="4" spans="1:30" ht="17.25" thickBot="1" x14ac:dyDescent="0.35">
      <c r="A4" s="313" t="s">
        <v>139</v>
      </c>
      <c r="B4" s="318" t="s">
        <v>373</v>
      </c>
      <c r="C4" s="319"/>
      <c r="D4" s="319"/>
      <c r="E4" s="319"/>
      <c r="F4" s="320"/>
      <c r="G4" s="318" t="s">
        <v>374</v>
      </c>
      <c r="H4" s="319"/>
      <c r="I4" s="319"/>
      <c r="J4" s="319"/>
      <c r="K4" s="320"/>
      <c r="L4" s="318" t="s">
        <v>370</v>
      </c>
      <c r="M4" s="319"/>
      <c r="N4" s="319"/>
      <c r="O4" s="319"/>
      <c r="P4" s="320"/>
      <c r="Q4" s="318" t="s">
        <v>369</v>
      </c>
      <c r="R4" s="319"/>
      <c r="S4" s="319"/>
      <c r="T4" s="319"/>
      <c r="U4" s="320"/>
      <c r="V4" s="318" t="s">
        <v>402</v>
      </c>
      <c r="W4" s="319"/>
      <c r="X4" s="319"/>
      <c r="Y4" s="319"/>
      <c r="Z4" s="320"/>
      <c r="AA4" s="332" t="s">
        <v>156</v>
      </c>
      <c r="AB4" s="313"/>
      <c r="AC4" s="332" t="s">
        <v>157</v>
      </c>
      <c r="AD4" s="333"/>
    </row>
    <row r="5" spans="1:30" ht="18" thickTop="1" thickBot="1" x14ac:dyDescent="0.35">
      <c r="A5" s="313"/>
      <c r="B5" s="330" t="s">
        <v>158</v>
      </c>
      <c r="C5" s="331"/>
      <c r="D5" s="330" t="s">
        <v>159</v>
      </c>
      <c r="E5" s="331"/>
      <c r="F5" s="61" t="s">
        <v>86</v>
      </c>
      <c r="G5" s="121" t="s">
        <v>158</v>
      </c>
      <c r="H5" s="122"/>
      <c r="I5" s="121" t="s">
        <v>159</v>
      </c>
      <c r="J5" s="122"/>
      <c r="K5" s="61" t="s">
        <v>86</v>
      </c>
      <c r="L5" s="121" t="s">
        <v>158</v>
      </c>
      <c r="M5" s="122"/>
      <c r="N5" s="121" t="s">
        <v>159</v>
      </c>
      <c r="O5" s="122"/>
      <c r="P5" s="61" t="s">
        <v>86</v>
      </c>
      <c r="Q5" s="330" t="s">
        <v>158</v>
      </c>
      <c r="R5" s="331"/>
      <c r="S5" s="330" t="s">
        <v>159</v>
      </c>
      <c r="T5" s="331"/>
      <c r="U5" s="61" t="s">
        <v>86</v>
      </c>
      <c r="V5" s="330" t="s">
        <v>158</v>
      </c>
      <c r="W5" s="331"/>
      <c r="X5" s="330" t="s">
        <v>159</v>
      </c>
      <c r="Y5" s="331"/>
      <c r="Z5" s="61" t="s">
        <v>86</v>
      </c>
      <c r="AA5" s="318" t="s">
        <v>32</v>
      </c>
      <c r="AB5" s="320"/>
      <c r="AC5" s="318" t="s">
        <v>32</v>
      </c>
      <c r="AD5" s="319"/>
    </row>
    <row r="6" spans="1:30" ht="17.25" thickTop="1" x14ac:dyDescent="0.3">
      <c r="A6" s="313"/>
      <c r="B6" s="120" t="s">
        <v>77</v>
      </c>
      <c r="C6" s="120" t="s">
        <v>36</v>
      </c>
      <c r="D6" s="120" t="s">
        <v>77</v>
      </c>
      <c r="E6" s="120" t="s">
        <v>36</v>
      </c>
      <c r="F6" s="120" t="s">
        <v>77</v>
      </c>
      <c r="G6" s="120" t="s">
        <v>77</v>
      </c>
      <c r="H6" s="120" t="s">
        <v>36</v>
      </c>
      <c r="I6" s="120" t="s">
        <v>77</v>
      </c>
      <c r="J6" s="120" t="s">
        <v>36</v>
      </c>
      <c r="K6" s="120" t="s">
        <v>77</v>
      </c>
      <c r="L6" s="120" t="s">
        <v>77</v>
      </c>
      <c r="M6" s="120" t="s">
        <v>36</v>
      </c>
      <c r="N6" s="120" t="s">
        <v>77</v>
      </c>
      <c r="O6" s="120" t="s">
        <v>36</v>
      </c>
      <c r="P6" s="120" t="s">
        <v>77</v>
      </c>
      <c r="Q6" s="150" t="s">
        <v>77</v>
      </c>
      <c r="R6" s="329" t="s">
        <v>36</v>
      </c>
      <c r="S6" s="150" t="s">
        <v>77</v>
      </c>
      <c r="T6" s="329" t="s">
        <v>36</v>
      </c>
      <c r="U6" s="329" t="s">
        <v>77</v>
      </c>
      <c r="V6" s="59" t="s">
        <v>77</v>
      </c>
      <c r="W6" s="329" t="s">
        <v>36</v>
      </c>
      <c r="X6" s="59" t="s">
        <v>77</v>
      </c>
      <c r="Y6" s="329" t="s">
        <v>36</v>
      </c>
      <c r="Z6" s="329" t="s">
        <v>77</v>
      </c>
      <c r="AA6" s="329" t="s">
        <v>162</v>
      </c>
      <c r="AB6" s="329" t="s">
        <v>38</v>
      </c>
      <c r="AC6" s="329" t="s">
        <v>163</v>
      </c>
      <c r="AD6" s="334" t="s">
        <v>38</v>
      </c>
    </row>
    <row r="7" spans="1:30" x14ac:dyDescent="0.3">
      <c r="A7" s="313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48" t="s">
        <v>452</v>
      </c>
      <c r="R7" s="311"/>
      <c r="S7" s="148" t="s">
        <v>91</v>
      </c>
      <c r="T7" s="311"/>
      <c r="U7" s="311"/>
      <c r="V7" s="22" t="s">
        <v>160</v>
      </c>
      <c r="W7" s="311"/>
      <c r="X7" s="22" t="s">
        <v>161</v>
      </c>
      <c r="Y7" s="311"/>
      <c r="Z7" s="311"/>
      <c r="AA7" s="311"/>
      <c r="AB7" s="311"/>
      <c r="AC7" s="311"/>
      <c r="AD7" s="332"/>
    </row>
    <row r="8" spans="1:30" x14ac:dyDescent="0.3">
      <c r="A8" s="158" t="s">
        <v>140</v>
      </c>
      <c r="B8" s="160">
        <v>771</v>
      </c>
      <c r="C8" s="155">
        <f t="shared" ref="C8:C26" si="0">100*B8/F8</f>
        <v>84.26229508196721</v>
      </c>
      <c r="D8" s="160">
        <v>144</v>
      </c>
      <c r="E8" s="155">
        <f t="shared" ref="E8:E26" si="1">100*D8/F8</f>
        <v>15.737704918032787</v>
      </c>
      <c r="F8" s="160">
        <v>915</v>
      </c>
      <c r="G8" s="160">
        <v>909</v>
      </c>
      <c r="H8" s="155">
        <f t="shared" ref="H8:H26" si="2">100*G8/K8</f>
        <v>84.794776119402982</v>
      </c>
      <c r="I8" s="160">
        <v>164</v>
      </c>
      <c r="J8" s="155">
        <f t="shared" ref="J8:J26" si="3">100*I8/K8</f>
        <v>15.298507462686567</v>
      </c>
      <c r="K8" s="160">
        <v>1072</v>
      </c>
      <c r="L8" s="160">
        <v>1019</v>
      </c>
      <c r="M8" s="155">
        <f t="shared" ref="M8:M26" si="4">100*L8/P8</f>
        <v>82.912937347436937</v>
      </c>
      <c r="N8" s="160">
        <v>210</v>
      </c>
      <c r="O8" s="155">
        <f t="shared" ref="O8:O26" si="5">100*N8/P8</f>
        <v>17.087062652563059</v>
      </c>
      <c r="P8" s="163">
        <v>1229</v>
      </c>
      <c r="Q8" s="163">
        <v>1026</v>
      </c>
      <c r="R8" s="155">
        <f t="shared" ref="R8:R26" si="6">100*Q8/U8</f>
        <v>81.687898089171981</v>
      </c>
      <c r="S8" s="160">
        <v>230</v>
      </c>
      <c r="T8" s="155">
        <f t="shared" ref="T8:T26" si="7">100*S8/U8</f>
        <v>18.312101910828027</v>
      </c>
      <c r="U8" s="163">
        <v>1256</v>
      </c>
      <c r="V8" s="163">
        <v>1085</v>
      </c>
      <c r="W8" s="155">
        <f t="shared" ref="W8:W26" si="8">100*V8/Z8</f>
        <v>81.15183246073299</v>
      </c>
      <c r="X8" s="160">
        <v>252</v>
      </c>
      <c r="Y8" s="155">
        <f t="shared" ref="Y8:Y26" si="9">100*X8/Z8</f>
        <v>18.848167539267017</v>
      </c>
      <c r="Z8" s="163">
        <v>1337</v>
      </c>
      <c r="AA8" s="98">
        <f t="shared" ref="AA8:AA26" si="10">V8-Q8</f>
        <v>59</v>
      </c>
      <c r="AB8" s="160">
        <v>5.8</v>
      </c>
      <c r="AC8" s="98">
        <f t="shared" ref="AC8:AC26" si="11">X8-S8</f>
        <v>22</v>
      </c>
      <c r="AD8" s="288">
        <f t="shared" ref="AD8:AD26" si="12">100*AC8/S8</f>
        <v>9.5652173913043477</v>
      </c>
    </row>
    <row r="9" spans="1:30" x14ac:dyDescent="0.3">
      <c r="A9" s="36" t="s">
        <v>141</v>
      </c>
      <c r="B9" s="96">
        <v>5082</v>
      </c>
      <c r="C9" s="155">
        <f t="shared" si="0"/>
        <v>88.861689106487148</v>
      </c>
      <c r="D9" s="95">
        <v>637</v>
      </c>
      <c r="E9" s="155">
        <f t="shared" si="1"/>
        <v>11.138310893512852</v>
      </c>
      <c r="F9" s="96">
        <v>5719</v>
      </c>
      <c r="G9" s="96">
        <v>5989</v>
      </c>
      <c r="H9" s="155">
        <f t="shared" si="2"/>
        <v>89.082254945708755</v>
      </c>
      <c r="I9" s="95">
        <v>734</v>
      </c>
      <c r="J9" s="155">
        <f t="shared" si="3"/>
        <v>10.917745054291238</v>
      </c>
      <c r="K9" s="96">
        <v>6723</v>
      </c>
      <c r="L9" s="96">
        <v>4447</v>
      </c>
      <c r="M9" s="155">
        <f t="shared" si="4"/>
        <v>83.261561505336076</v>
      </c>
      <c r="N9" s="95">
        <v>894</v>
      </c>
      <c r="O9" s="155">
        <f t="shared" si="5"/>
        <v>16.738438494663921</v>
      </c>
      <c r="P9" s="96">
        <v>5341</v>
      </c>
      <c r="Q9" s="96">
        <v>4536</v>
      </c>
      <c r="R9" s="155">
        <f t="shared" si="6"/>
        <v>81.480150889168314</v>
      </c>
      <c r="S9" s="95">
        <v>1032</v>
      </c>
      <c r="T9" s="155">
        <f t="shared" si="7"/>
        <v>18.537812107059459</v>
      </c>
      <c r="U9" s="96">
        <v>5567</v>
      </c>
      <c r="V9" s="96">
        <v>5643</v>
      </c>
      <c r="W9" s="155">
        <f t="shared" si="8"/>
        <v>85.138805069402537</v>
      </c>
      <c r="X9" s="95">
        <v>985</v>
      </c>
      <c r="Y9" s="155">
        <f t="shared" si="9"/>
        <v>14.861194930597465</v>
      </c>
      <c r="Z9" s="96">
        <v>6628</v>
      </c>
      <c r="AA9" s="98">
        <f t="shared" si="10"/>
        <v>1107</v>
      </c>
      <c r="AB9" s="95">
        <v>24.4</v>
      </c>
      <c r="AC9" s="98">
        <f t="shared" si="11"/>
        <v>-47</v>
      </c>
      <c r="AD9" s="288">
        <f t="shared" si="12"/>
        <v>-4.554263565891473</v>
      </c>
    </row>
    <row r="10" spans="1:30" x14ac:dyDescent="0.3">
      <c r="A10" s="36" t="s">
        <v>142</v>
      </c>
      <c r="B10" s="96">
        <v>2724</v>
      </c>
      <c r="C10" s="155">
        <f t="shared" si="0"/>
        <v>76.905702992659513</v>
      </c>
      <c r="D10" s="95">
        <v>818</v>
      </c>
      <c r="E10" s="155">
        <f t="shared" si="1"/>
        <v>23.094297007340487</v>
      </c>
      <c r="F10" s="96">
        <v>3542</v>
      </c>
      <c r="G10" s="96">
        <v>2861</v>
      </c>
      <c r="H10" s="155">
        <f t="shared" si="2"/>
        <v>76.743562231759654</v>
      </c>
      <c r="I10" s="95">
        <v>866</v>
      </c>
      <c r="J10" s="155">
        <f t="shared" si="3"/>
        <v>23.22961373390558</v>
      </c>
      <c r="K10" s="96">
        <v>3728</v>
      </c>
      <c r="L10" s="96">
        <v>3338</v>
      </c>
      <c r="M10" s="155">
        <f t="shared" si="4"/>
        <v>78.412027249236559</v>
      </c>
      <c r="N10" s="95">
        <v>919</v>
      </c>
      <c r="O10" s="155">
        <f t="shared" si="5"/>
        <v>21.587972750763448</v>
      </c>
      <c r="P10" s="96">
        <v>4257</v>
      </c>
      <c r="Q10" s="96">
        <v>3852</v>
      </c>
      <c r="R10" s="155">
        <f t="shared" si="6"/>
        <v>79.768067922965415</v>
      </c>
      <c r="S10" s="95">
        <v>977</v>
      </c>
      <c r="T10" s="155">
        <f t="shared" si="7"/>
        <v>20.231932077034582</v>
      </c>
      <c r="U10" s="96">
        <v>4829</v>
      </c>
      <c r="V10" s="96">
        <v>4346</v>
      </c>
      <c r="W10" s="155">
        <f t="shared" si="8"/>
        <v>80.066322770817976</v>
      </c>
      <c r="X10" s="95">
        <v>1082</v>
      </c>
      <c r="Y10" s="155">
        <f t="shared" si="9"/>
        <v>19.93367722918202</v>
      </c>
      <c r="Z10" s="96">
        <v>5428</v>
      </c>
      <c r="AA10" s="98">
        <f t="shared" si="10"/>
        <v>494</v>
      </c>
      <c r="AB10" s="95">
        <v>12.8</v>
      </c>
      <c r="AC10" s="98">
        <f t="shared" si="11"/>
        <v>105</v>
      </c>
      <c r="AD10" s="288">
        <f t="shared" si="12"/>
        <v>10.74718526100307</v>
      </c>
    </row>
    <row r="11" spans="1:30" x14ac:dyDescent="0.3">
      <c r="A11" s="36" t="s">
        <v>143</v>
      </c>
      <c r="B11" s="96">
        <v>4478</v>
      </c>
      <c r="C11" s="155">
        <f t="shared" si="0"/>
        <v>83.763561541339314</v>
      </c>
      <c r="D11" s="95">
        <v>868</v>
      </c>
      <c r="E11" s="155">
        <f t="shared" si="1"/>
        <v>16.236438458660682</v>
      </c>
      <c r="F11" s="96">
        <v>5346</v>
      </c>
      <c r="G11" s="96">
        <v>4388</v>
      </c>
      <c r="H11" s="155">
        <f t="shared" si="2"/>
        <v>86.25909180263416</v>
      </c>
      <c r="I11" s="95">
        <v>699</v>
      </c>
      <c r="J11" s="155">
        <f t="shared" si="3"/>
        <v>13.740908197365835</v>
      </c>
      <c r="K11" s="96">
        <v>5087</v>
      </c>
      <c r="L11" s="96">
        <v>4881</v>
      </c>
      <c r="M11" s="155">
        <f t="shared" si="4"/>
        <v>84.010327022375222</v>
      </c>
      <c r="N11" s="95">
        <v>929</v>
      </c>
      <c r="O11" s="155">
        <f t="shared" si="5"/>
        <v>15.989672977624785</v>
      </c>
      <c r="P11" s="96">
        <v>5810</v>
      </c>
      <c r="Q11" s="96">
        <v>5429</v>
      </c>
      <c r="R11" s="155">
        <f t="shared" si="6"/>
        <v>83.638884609459254</v>
      </c>
      <c r="S11" s="95">
        <v>1062</v>
      </c>
      <c r="T11" s="155">
        <f t="shared" si="7"/>
        <v>16.36111539054075</v>
      </c>
      <c r="U11" s="96">
        <v>6491</v>
      </c>
      <c r="V11" s="96">
        <v>6477</v>
      </c>
      <c r="W11" s="155">
        <f t="shared" si="8"/>
        <v>85.493664202745506</v>
      </c>
      <c r="X11" s="95">
        <v>1099</v>
      </c>
      <c r="Y11" s="155">
        <f t="shared" si="9"/>
        <v>14.506335797254488</v>
      </c>
      <c r="Z11" s="96">
        <v>7576</v>
      </c>
      <c r="AA11" s="98">
        <f t="shared" si="10"/>
        <v>1048</v>
      </c>
      <c r="AB11" s="95">
        <v>19.3</v>
      </c>
      <c r="AC11" s="98">
        <f t="shared" si="11"/>
        <v>37</v>
      </c>
      <c r="AD11" s="288">
        <f t="shared" si="12"/>
        <v>3.4839924670433144</v>
      </c>
    </row>
    <row r="12" spans="1:30" x14ac:dyDescent="0.3">
      <c r="A12" s="36" t="s">
        <v>144</v>
      </c>
      <c r="B12" s="96">
        <v>5991</v>
      </c>
      <c r="C12" s="155">
        <f t="shared" si="0"/>
        <v>72.600581677169174</v>
      </c>
      <c r="D12" s="96">
        <v>2261</v>
      </c>
      <c r="E12" s="155">
        <f t="shared" si="1"/>
        <v>27.399418322830829</v>
      </c>
      <c r="F12" s="96">
        <v>8252</v>
      </c>
      <c r="G12" s="96">
        <v>6769</v>
      </c>
      <c r="H12" s="155">
        <f t="shared" si="2"/>
        <v>72.784946236559136</v>
      </c>
      <c r="I12" s="96">
        <v>2531</v>
      </c>
      <c r="J12" s="155">
        <f t="shared" si="3"/>
        <v>27.21505376344086</v>
      </c>
      <c r="K12" s="96">
        <v>9300</v>
      </c>
      <c r="L12" s="96">
        <v>7641</v>
      </c>
      <c r="M12" s="155">
        <f t="shared" si="4"/>
        <v>71.773436032312603</v>
      </c>
      <c r="N12" s="96">
        <v>3005</v>
      </c>
      <c r="O12" s="155">
        <f t="shared" si="5"/>
        <v>28.226563967687394</v>
      </c>
      <c r="P12" s="96">
        <v>10646</v>
      </c>
      <c r="Q12" s="96">
        <v>7210</v>
      </c>
      <c r="R12" s="155">
        <f t="shared" si="6"/>
        <v>68.419054849117487</v>
      </c>
      <c r="S12" s="96">
        <v>3328</v>
      </c>
      <c r="T12" s="155">
        <f t="shared" si="7"/>
        <v>31.580945150882521</v>
      </c>
      <c r="U12" s="96">
        <v>10538</v>
      </c>
      <c r="V12" s="96">
        <v>7662</v>
      </c>
      <c r="W12" s="155">
        <f t="shared" si="8"/>
        <v>68.902877697841731</v>
      </c>
      <c r="X12" s="96">
        <v>3458</v>
      </c>
      <c r="Y12" s="155">
        <f t="shared" si="9"/>
        <v>31.097122302158272</v>
      </c>
      <c r="Z12" s="96">
        <v>11120</v>
      </c>
      <c r="AA12" s="98">
        <f t="shared" si="10"/>
        <v>452</v>
      </c>
      <c r="AB12" s="95">
        <v>6.3</v>
      </c>
      <c r="AC12" s="98">
        <f t="shared" si="11"/>
        <v>130</v>
      </c>
      <c r="AD12" s="288">
        <f t="shared" si="12"/>
        <v>3.90625</v>
      </c>
    </row>
    <row r="13" spans="1:30" x14ac:dyDescent="0.3">
      <c r="A13" s="157" t="s">
        <v>164</v>
      </c>
      <c r="B13" s="162">
        <v>11801</v>
      </c>
      <c r="C13" s="155">
        <f t="shared" si="0"/>
        <v>92.094584048696731</v>
      </c>
      <c r="D13" s="159">
        <v>1013</v>
      </c>
      <c r="E13" s="155">
        <f t="shared" si="1"/>
        <v>7.9054159513032625</v>
      </c>
      <c r="F13" s="162">
        <v>12814</v>
      </c>
      <c r="G13" s="162">
        <v>12704</v>
      </c>
      <c r="H13" s="155">
        <f t="shared" si="2"/>
        <v>92.439787528196177</v>
      </c>
      <c r="I13" s="162">
        <v>1039</v>
      </c>
      <c r="J13" s="155">
        <f t="shared" si="3"/>
        <v>7.5602124718038271</v>
      </c>
      <c r="K13" s="162">
        <v>13743</v>
      </c>
      <c r="L13" s="162">
        <v>14416</v>
      </c>
      <c r="M13" s="155">
        <f t="shared" si="4"/>
        <v>90.946943410510372</v>
      </c>
      <c r="N13" s="162">
        <v>1435</v>
      </c>
      <c r="O13" s="155">
        <f t="shared" si="5"/>
        <v>9.0530565894896213</v>
      </c>
      <c r="P13" s="162">
        <v>15851</v>
      </c>
      <c r="Q13" s="162">
        <v>15202</v>
      </c>
      <c r="R13" s="155">
        <f t="shared" si="6"/>
        <v>90.128653583921263</v>
      </c>
      <c r="S13" s="162">
        <v>1666</v>
      </c>
      <c r="T13" s="155">
        <f t="shared" si="7"/>
        <v>9.8772751526649678</v>
      </c>
      <c r="U13" s="162">
        <v>16867</v>
      </c>
      <c r="V13" s="162">
        <v>15392</v>
      </c>
      <c r="W13" s="155">
        <f t="shared" si="8"/>
        <v>89.770208795054245</v>
      </c>
      <c r="X13" s="162">
        <v>1755</v>
      </c>
      <c r="Y13" s="155">
        <f t="shared" si="9"/>
        <v>10.235623469030678</v>
      </c>
      <c r="Z13" s="162">
        <v>17146</v>
      </c>
      <c r="AA13" s="98">
        <f t="shared" si="10"/>
        <v>190</v>
      </c>
      <c r="AB13" s="159">
        <v>1.2</v>
      </c>
      <c r="AC13" s="98">
        <f t="shared" si="11"/>
        <v>89</v>
      </c>
      <c r="AD13" s="288">
        <f t="shared" si="12"/>
        <v>5.3421368547418968</v>
      </c>
    </row>
    <row r="14" spans="1:30" x14ac:dyDescent="0.3">
      <c r="A14" s="36" t="s">
        <v>145</v>
      </c>
      <c r="B14" s="96">
        <v>14676</v>
      </c>
      <c r="C14" s="155">
        <f t="shared" si="0"/>
        <v>82.831019302404329</v>
      </c>
      <c r="D14" s="96">
        <v>3041</v>
      </c>
      <c r="E14" s="155">
        <f t="shared" si="1"/>
        <v>17.163336719720057</v>
      </c>
      <c r="F14" s="96">
        <v>17718</v>
      </c>
      <c r="G14" s="96">
        <v>17609</v>
      </c>
      <c r="H14" s="155">
        <f t="shared" si="2"/>
        <v>83.87634562255883</v>
      </c>
      <c r="I14" s="96">
        <v>3386</v>
      </c>
      <c r="J14" s="155">
        <f t="shared" si="3"/>
        <v>16.128417643136135</v>
      </c>
      <c r="K14" s="96">
        <v>20994</v>
      </c>
      <c r="L14" s="96">
        <v>19763</v>
      </c>
      <c r="M14" s="155">
        <f t="shared" si="4"/>
        <v>82.010955265997183</v>
      </c>
      <c r="N14" s="96">
        <v>4336</v>
      </c>
      <c r="O14" s="155">
        <f t="shared" si="5"/>
        <v>17.993194455971452</v>
      </c>
      <c r="P14" s="96">
        <v>24098</v>
      </c>
      <c r="Q14" s="96">
        <v>22395</v>
      </c>
      <c r="R14" s="155">
        <f t="shared" si="6"/>
        <v>82.210638375977382</v>
      </c>
      <c r="S14" s="96">
        <v>4846</v>
      </c>
      <c r="T14" s="155">
        <f t="shared" si="7"/>
        <v>17.789361624022614</v>
      </c>
      <c r="U14" s="96">
        <v>27241</v>
      </c>
      <c r="V14" s="96">
        <v>22679</v>
      </c>
      <c r="W14" s="155">
        <f t="shared" si="8"/>
        <v>81.251791344224699</v>
      </c>
      <c r="X14" s="96">
        <v>5233</v>
      </c>
      <c r="Y14" s="155">
        <f t="shared" si="9"/>
        <v>18.748208655775294</v>
      </c>
      <c r="Z14" s="96">
        <v>27912</v>
      </c>
      <c r="AA14" s="98">
        <f t="shared" si="10"/>
        <v>284</v>
      </c>
      <c r="AB14" s="95">
        <v>1.3</v>
      </c>
      <c r="AC14" s="98">
        <f t="shared" si="11"/>
        <v>387</v>
      </c>
      <c r="AD14" s="288">
        <f t="shared" si="12"/>
        <v>7.9859678085018571</v>
      </c>
    </row>
    <row r="15" spans="1:30" x14ac:dyDescent="0.3">
      <c r="A15" s="36" t="s">
        <v>146</v>
      </c>
      <c r="B15" s="96">
        <v>30864</v>
      </c>
      <c r="C15" s="155">
        <f t="shared" si="0"/>
        <v>91.756101911585461</v>
      </c>
      <c r="D15" s="96">
        <v>2773</v>
      </c>
      <c r="E15" s="155">
        <f t="shared" si="1"/>
        <v>8.243898088414543</v>
      </c>
      <c r="F15" s="96">
        <v>33637</v>
      </c>
      <c r="G15" s="96">
        <v>38295</v>
      </c>
      <c r="H15" s="155">
        <f t="shared" si="2"/>
        <v>91.472590469365812</v>
      </c>
      <c r="I15" s="96">
        <v>3571</v>
      </c>
      <c r="J15" s="155">
        <f t="shared" si="3"/>
        <v>8.5297981607548063</v>
      </c>
      <c r="K15" s="96">
        <v>41865</v>
      </c>
      <c r="L15" s="96">
        <v>39074</v>
      </c>
      <c r="M15" s="155">
        <f t="shared" si="4"/>
        <v>89.625432942633665</v>
      </c>
      <c r="N15" s="96">
        <v>4523</v>
      </c>
      <c r="O15" s="155">
        <f t="shared" si="5"/>
        <v>10.374567057366333</v>
      </c>
      <c r="P15" s="96">
        <v>43597</v>
      </c>
      <c r="Q15" s="96">
        <v>36620</v>
      </c>
      <c r="R15" s="155">
        <f t="shared" si="6"/>
        <v>86.035147072643554</v>
      </c>
      <c r="S15" s="96">
        <v>5944</v>
      </c>
      <c r="T15" s="155">
        <f t="shared" si="7"/>
        <v>13.964852927356452</v>
      </c>
      <c r="U15" s="96">
        <v>42564</v>
      </c>
      <c r="V15" s="96">
        <v>39082</v>
      </c>
      <c r="W15" s="155">
        <f t="shared" si="8"/>
        <v>84.476050492823788</v>
      </c>
      <c r="X15" s="96">
        <v>7182</v>
      </c>
      <c r="Y15" s="155">
        <f t="shared" si="9"/>
        <v>15.523949507176207</v>
      </c>
      <c r="Z15" s="96">
        <v>46264</v>
      </c>
      <c r="AA15" s="98">
        <f t="shared" si="10"/>
        <v>2462</v>
      </c>
      <c r="AB15" s="95">
        <v>6.7</v>
      </c>
      <c r="AC15" s="98">
        <f t="shared" si="11"/>
        <v>1238</v>
      </c>
      <c r="AD15" s="288">
        <f t="shared" si="12"/>
        <v>20.827725437415882</v>
      </c>
    </row>
    <row r="16" spans="1:30" x14ac:dyDescent="0.3">
      <c r="A16" s="124" t="s">
        <v>147</v>
      </c>
      <c r="B16" s="96">
        <v>5776</v>
      </c>
      <c r="C16" s="155">
        <f t="shared" si="0"/>
        <v>83.492338826250361</v>
      </c>
      <c r="D16" s="96">
        <v>1142</v>
      </c>
      <c r="E16" s="155">
        <f t="shared" si="1"/>
        <v>16.507661173749639</v>
      </c>
      <c r="F16" s="96">
        <v>6918</v>
      </c>
      <c r="G16" s="96">
        <v>7274</v>
      </c>
      <c r="H16" s="155">
        <f t="shared" si="2"/>
        <v>83.31233535677471</v>
      </c>
      <c r="I16" s="96">
        <v>1457</v>
      </c>
      <c r="J16" s="155">
        <f t="shared" si="3"/>
        <v>16.68766464322529</v>
      </c>
      <c r="K16" s="96">
        <v>8731</v>
      </c>
      <c r="L16" s="96">
        <v>7749</v>
      </c>
      <c r="M16" s="155">
        <f t="shared" si="4"/>
        <v>77.723169508525572</v>
      </c>
      <c r="N16" s="96">
        <v>2221</v>
      </c>
      <c r="O16" s="155">
        <f t="shared" si="5"/>
        <v>22.276830491474424</v>
      </c>
      <c r="P16" s="96">
        <v>9970</v>
      </c>
      <c r="Q16" s="96">
        <v>8170</v>
      </c>
      <c r="R16" s="155">
        <f t="shared" si="6"/>
        <v>77.573110520319034</v>
      </c>
      <c r="S16" s="96">
        <v>2361</v>
      </c>
      <c r="T16" s="155">
        <f t="shared" si="7"/>
        <v>22.417394606912268</v>
      </c>
      <c r="U16" s="96">
        <v>10532</v>
      </c>
      <c r="V16" s="96">
        <v>9284</v>
      </c>
      <c r="W16" s="155">
        <f t="shared" si="8"/>
        <v>77.651388424222148</v>
      </c>
      <c r="X16" s="96">
        <v>2672</v>
      </c>
      <c r="Y16" s="155">
        <f t="shared" si="9"/>
        <v>22.348611575777852</v>
      </c>
      <c r="Z16" s="96">
        <v>11956</v>
      </c>
      <c r="AA16" s="98">
        <f t="shared" si="10"/>
        <v>1114</v>
      </c>
      <c r="AB16" s="95">
        <v>13.6</v>
      </c>
      <c r="AC16" s="98">
        <f t="shared" si="11"/>
        <v>311</v>
      </c>
      <c r="AD16" s="288">
        <f t="shared" si="12"/>
        <v>13.172384582803897</v>
      </c>
    </row>
    <row r="17" spans="1:30" x14ac:dyDescent="0.3">
      <c r="A17" s="124" t="s">
        <v>148</v>
      </c>
      <c r="B17" s="96">
        <v>3335</v>
      </c>
      <c r="C17" s="155">
        <f t="shared" si="0"/>
        <v>79.272640836700731</v>
      </c>
      <c r="D17" s="95">
        <v>873</v>
      </c>
      <c r="E17" s="155">
        <f t="shared" si="1"/>
        <v>20.751129070596626</v>
      </c>
      <c r="F17" s="96">
        <v>4207</v>
      </c>
      <c r="G17" s="96">
        <v>3576</v>
      </c>
      <c r="H17" s="155">
        <f t="shared" si="2"/>
        <v>70.966461599523711</v>
      </c>
      <c r="I17" s="95">
        <v>1463</v>
      </c>
      <c r="J17" s="155">
        <f t="shared" si="3"/>
        <v>29.033538400476285</v>
      </c>
      <c r="K17" s="96">
        <v>5039</v>
      </c>
      <c r="L17" s="96">
        <v>3957</v>
      </c>
      <c r="M17" s="155">
        <f t="shared" si="4"/>
        <v>72.57887013939839</v>
      </c>
      <c r="N17" s="96">
        <v>1495</v>
      </c>
      <c r="O17" s="155">
        <f t="shared" si="5"/>
        <v>27.421129860601614</v>
      </c>
      <c r="P17" s="96">
        <v>5452</v>
      </c>
      <c r="Q17" s="96">
        <v>4642</v>
      </c>
      <c r="R17" s="155">
        <f t="shared" si="6"/>
        <v>70.20568663036903</v>
      </c>
      <c r="S17" s="96">
        <v>1970</v>
      </c>
      <c r="T17" s="155">
        <f t="shared" si="7"/>
        <v>29.794313369630974</v>
      </c>
      <c r="U17" s="96">
        <v>6612</v>
      </c>
      <c r="V17" s="96">
        <v>5345</v>
      </c>
      <c r="W17" s="155">
        <f t="shared" si="8"/>
        <v>70.034067085953879</v>
      </c>
      <c r="X17" s="96">
        <v>2287</v>
      </c>
      <c r="Y17" s="155">
        <f t="shared" si="9"/>
        <v>29.965932914046121</v>
      </c>
      <c r="Z17" s="96">
        <v>7632</v>
      </c>
      <c r="AA17" s="98">
        <f t="shared" si="10"/>
        <v>703</v>
      </c>
      <c r="AB17" s="95">
        <v>15.1</v>
      </c>
      <c r="AC17" s="98">
        <f t="shared" si="11"/>
        <v>317</v>
      </c>
      <c r="AD17" s="288">
        <f t="shared" si="12"/>
        <v>16.091370558375633</v>
      </c>
    </row>
    <row r="18" spans="1:30" x14ac:dyDescent="0.3">
      <c r="A18" s="36" t="s">
        <v>152</v>
      </c>
      <c r="B18" s="96">
        <v>15162</v>
      </c>
      <c r="C18" s="155">
        <f t="shared" si="0"/>
        <v>82.263577668059241</v>
      </c>
      <c r="D18" s="96">
        <v>3269</v>
      </c>
      <c r="E18" s="155">
        <f t="shared" si="1"/>
        <v>17.736422331940751</v>
      </c>
      <c r="F18" s="96">
        <v>18431</v>
      </c>
      <c r="G18" s="96">
        <v>17680</v>
      </c>
      <c r="H18" s="155">
        <f t="shared" si="2"/>
        <v>79.848252190407365</v>
      </c>
      <c r="I18" s="96">
        <v>4462</v>
      </c>
      <c r="J18" s="155">
        <f t="shared" si="3"/>
        <v>20.151747809592628</v>
      </c>
      <c r="K18" s="96">
        <v>22142</v>
      </c>
      <c r="L18" s="96">
        <v>19989</v>
      </c>
      <c r="M18" s="155">
        <f t="shared" si="4"/>
        <v>78.746454459502047</v>
      </c>
      <c r="N18" s="96">
        <v>5396</v>
      </c>
      <c r="O18" s="155">
        <f t="shared" si="5"/>
        <v>21.257485029940121</v>
      </c>
      <c r="P18" s="96">
        <v>25384</v>
      </c>
      <c r="Q18" s="96">
        <v>23754</v>
      </c>
      <c r="R18" s="155">
        <f t="shared" si="6"/>
        <v>79.513958626230163</v>
      </c>
      <c r="S18" s="96">
        <v>6120</v>
      </c>
      <c r="T18" s="155">
        <f t="shared" si="7"/>
        <v>20.486041373769833</v>
      </c>
      <c r="U18" s="96">
        <v>29874</v>
      </c>
      <c r="V18" s="96">
        <v>29475</v>
      </c>
      <c r="W18" s="155">
        <f t="shared" si="8"/>
        <v>79.711712686264434</v>
      </c>
      <c r="X18" s="96">
        <v>7502</v>
      </c>
      <c r="Y18" s="155">
        <f t="shared" si="9"/>
        <v>20.288287313735566</v>
      </c>
      <c r="Z18" s="96">
        <v>36977</v>
      </c>
      <c r="AA18" s="98">
        <f t="shared" si="10"/>
        <v>5721</v>
      </c>
      <c r="AB18" s="95">
        <v>24.1</v>
      </c>
      <c r="AC18" s="98">
        <f t="shared" si="11"/>
        <v>1382</v>
      </c>
      <c r="AD18" s="288">
        <f t="shared" si="12"/>
        <v>22.58169934640523</v>
      </c>
    </row>
    <row r="19" spans="1:30" x14ac:dyDescent="0.3">
      <c r="A19" s="124" t="s">
        <v>153</v>
      </c>
      <c r="B19" s="96">
        <v>17467</v>
      </c>
      <c r="C19" s="155">
        <f t="shared" si="0"/>
        <v>85.736023167918319</v>
      </c>
      <c r="D19" s="96">
        <v>2906</v>
      </c>
      <c r="E19" s="155">
        <f t="shared" si="1"/>
        <v>14.263976832081676</v>
      </c>
      <c r="F19" s="96">
        <v>20373</v>
      </c>
      <c r="G19" s="96">
        <v>20123</v>
      </c>
      <c r="H19" s="155">
        <f t="shared" si="2"/>
        <v>84.267169179229484</v>
      </c>
      <c r="I19" s="96">
        <v>3756</v>
      </c>
      <c r="J19" s="155">
        <f t="shared" si="3"/>
        <v>15.728643216080402</v>
      </c>
      <c r="K19" s="96">
        <v>23880</v>
      </c>
      <c r="L19" s="96">
        <v>23247</v>
      </c>
      <c r="M19" s="155">
        <f t="shared" si="4"/>
        <v>82.806155161359271</v>
      </c>
      <c r="N19" s="96">
        <v>4827</v>
      </c>
      <c r="O19" s="155">
        <f t="shared" si="5"/>
        <v>17.193844838640736</v>
      </c>
      <c r="P19" s="96">
        <v>28074</v>
      </c>
      <c r="Q19" s="96">
        <v>23678</v>
      </c>
      <c r="R19" s="155">
        <f t="shared" si="6"/>
        <v>80.269848803308705</v>
      </c>
      <c r="S19" s="96">
        <v>5820</v>
      </c>
      <c r="T19" s="155">
        <f t="shared" si="7"/>
        <v>19.730151196691303</v>
      </c>
      <c r="U19" s="96">
        <v>29498</v>
      </c>
      <c r="V19" s="96">
        <v>25914</v>
      </c>
      <c r="W19" s="155">
        <f t="shared" si="8"/>
        <v>79.267098984461029</v>
      </c>
      <c r="X19" s="96">
        <v>6778</v>
      </c>
      <c r="Y19" s="155">
        <f t="shared" si="9"/>
        <v>20.732901015538971</v>
      </c>
      <c r="Z19" s="96">
        <v>32692</v>
      </c>
      <c r="AA19" s="98">
        <f t="shared" si="10"/>
        <v>2236</v>
      </c>
      <c r="AB19" s="95">
        <v>9.4</v>
      </c>
      <c r="AC19" s="98">
        <f t="shared" si="11"/>
        <v>958</v>
      </c>
      <c r="AD19" s="288">
        <f t="shared" si="12"/>
        <v>16.460481099656356</v>
      </c>
    </row>
    <row r="20" spans="1:30" x14ac:dyDescent="0.3">
      <c r="A20" s="124" t="s">
        <v>154</v>
      </c>
      <c r="B20" s="96">
        <v>7839</v>
      </c>
      <c r="C20" s="155">
        <f t="shared" si="0"/>
        <v>83.473538494303057</v>
      </c>
      <c r="D20" s="96">
        <v>1552</v>
      </c>
      <c r="E20" s="155">
        <f t="shared" si="1"/>
        <v>16.526461505696943</v>
      </c>
      <c r="F20" s="96">
        <v>9391</v>
      </c>
      <c r="G20" s="96">
        <v>7549</v>
      </c>
      <c r="H20" s="155">
        <f t="shared" si="2"/>
        <v>76.406882591093122</v>
      </c>
      <c r="I20" s="96">
        <v>2331</v>
      </c>
      <c r="J20" s="155">
        <f t="shared" si="3"/>
        <v>23.593117408906881</v>
      </c>
      <c r="K20" s="96">
        <v>9880</v>
      </c>
      <c r="L20" s="96">
        <v>8294</v>
      </c>
      <c r="M20" s="155">
        <f t="shared" si="4"/>
        <v>71.12597547380156</v>
      </c>
      <c r="N20" s="96">
        <v>3367</v>
      </c>
      <c r="O20" s="155">
        <f t="shared" si="5"/>
        <v>28.87402452619844</v>
      </c>
      <c r="P20" s="96">
        <v>11661</v>
      </c>
      <c r="Q20" s="96">
        <v>8955</v>
      </c>
      <c r="R20" s="155">
        <f t="shared" si="6"/>
        <v>69.193324061196108</v>
      </c>
      <c r="S20" s="96">
        <v>3987</v>
      </c>
      <c r="T20" s="155">
        <f t="shared" si="7"/>
        <v>30.806675938803895</v>
      </c>
      <c r="U20" s="96">
        <v>12942</v>
      </c>
      <c r="V20" s="96">
        <v>8713</v>
      </c>
      <c r="W20" s="155">
        <f t="shared" si="8"/>
        <v>67.948218045699136</v>
      </c>
      <c r="X20" s="96">
        <v>4110</v>
      </c>
      <c r="Y20" s="155">
        <f t="shared" si="9"/>
        <v>32.051781954300864</v>
      </c>
      <c r="Z20" s="96">
        <v>12823</v>
      </c>
      <c r="AA20" s="98">
        <f t="shared" si="10"/>
        <v>-242</v>
      </c>
      <c r="AB20" s="95" t="s">
        <v>474</v>
      </c>
      <c r="AC20" s="98">
        <f t="shared" si="11"/>
        <v>123</v>
      </c>
      <c r="AD20" s="288">
        <f t="shared" si="12"/>
        <v>3.0850263355906695</v>
      </c>
    </row>
    <row r="21" spans="1:30" x14ac:dyDescent="0.3">
      <c r="A21" s="36" t="s">
        <v>149</v>
      </c>
      <c r="B21" s="96">
        <v>4920</v>
      </c>
      <c r="C21" s="155">
        <f t="shared" si="0"/>
        <v>89.552238805970148</v>
      </c>
      <c r="D21" s="95">
        <v>574</v>
      </c>
      <c r="E21" s="155">
        <f t="shared" si="1"/>
        <v>10.447761194029852</v>
      </c>
      <c r="F21" s="96">
        <v>5494</v>
      </c>
      <c r="G21" s="96">
        <v>5769</v>
      </c>
      <c r="H21" s="155">
        <f t="shared" si="2"/>
        <v>90.126542727698791</v>
      </c>
      <c r="I21" s="95">
        <v>632</v>
      </c>
      <c r="J21" s="155">
        <f t="shared" si="3"/>
        <v>9.8734572723012022</v>
      </c>
      <c r="K21" s="96">
        <v>6401</v>
      </c>
      <c r="L21" s="96">
        <v>7140</v>
      </c>
      <c r="M21" s="155">
        <f t="shared" si="4"/>
        <v>90.482828538841716</v>
      </c>
      <c r="N21" s="95">
        <v>751</v>
      </c>
      <c r="O21" s="155">
        <f t="shared" si="5"/>
        <v>9.5171714611582807</v>
      </c>
      <c r="P21" s="96">
        <v>7891</v>
      </c>
      <c r="Q21" s="96">
        <v>7069</v>
      </c>
      <c r="R21" s="155">
        <f t="shared" si="6"/>
        <v>89.334007329710602</v>
      </c>
      <c r="S21" s="95">
        <v>844</v>
      </c>
      <c r="T21" s="155">
        <f t="shared" si="7"/>
        <v>10.665992670289397</v>
      </c>
      <c r="U21" s="96">
        <v>7913</v>
      </c>
      <c r="V21" s="96">
        <v>6875</v>
      </c>
      <c r="W21" s="155">
        <f t="shared" si="8"/>
        <v>87.836974575188449</v>
      </c>
      <c r="X21" s="95">
        <v>951</v>
      </c>
      <c r="Y21" s="155">
        <f t="shared" si="9"/>
        <v>12.150249137600614</v>
      </c>
      <c r="Z21" s="96">
        <v>7827</v>
      </c>
      <c r="AA21" s="98">
        <f t="shared" si="10"/>
        <v>-194</v>
      </c>
      <c r="AB21" s="95" t="s">
        <v>474</v>
      </c>
      <c r="AC21" s="98">
        <f t="shared" si="11"/>
        <v>107</v>
      </c>
      <c r="AD21" s="288">
        <f t="shared" si="12"/>
        <v>12.677725118483412</v>
      </c>
    </row>
    <row r="22" spans="1:30" x14ac:dyDescent="0.3">
      <c r="A22" s="36" t="s">
        <v>150</v>
      </c>
      <c r="B22" s="96">
        <v>4187</v>
      </c>
      <c r="C22" s="155">
        <f t="shared" si="0"/>
        <v>82.098039215686271</v>
      </c>
      <c r="D22" s="95">
        <v>912</v>
      </c>
      <c r="E22" s="155">
        <f t="shared" si="1"/>
        <v>17.882352941176471</v>
      </c>
      <c r="F22" s="96">
        <v>5100</v>
      </c>
      <c r="G22" s="96">
        <v>4831</v>
      </c>
      <c r="H22" s="155">
        <f t="shared" si="2"/>
        <v>79.693170570768729</v>
      </c>
      <c r="I22" s="95">
        <v>1231</v>
      </c>
      <c r="J22" s="155">
        <f t="shared" si="3"/>
        <v>20.306829429231279</v>
      </c>
      <c r="K22" s="96">
        <v>6062</v>
      </c>
      <c r="L22" s="96">
        <v>5419</v>
      </c>
      <c r="M22" s="155">
        <f t="shared" si="4"/>
        <v>79.074857726543115</v>
      </c>
      <c r="N22" s="96">
        <v>1434</v>
      </c>
      <c r="O22" s="155">
        <f t="shared" si="5"/>
        <v>20.925142273456881</v>
      </c>
      <c r="P22" s="96">
        <v>6853</v>
      </c>
      <c r="Q22" s="96">
        <v>5744</v>
      </c>
      <c r="R22" s="155">
        <f t="shared" si="6"/>
        <v>78.771256171146462</v>
      </c>
      <c r="S22" s="96">
        <v>1549</v>
      </c>
      <c r="T22" s="155">
        <f t="shared" si="7"/>
        <v>21.242457487657706</v>
      </c>
      <c r="U22" s="96">
        <v>7292</v>
      </c>
      <c r="V22" s="96">
        <v>5741</v>
      </c>
      <c r="W22" s="155">
        <f t="shared" si="8"/>
        <v>73.433103095420819</v>
      </c>
      <c r="X22" s="96">
        <v>2077</v>
      </c>
      <c r="Y22" s="155">
        <f t="shared" si="9"/>
        <v>26.566896904579178</v>
      </c>
      <c r="Z22" s="96">
        <v>7818</v>
      </c>
      <c r="AA22" s="98">
        <f t="shared" si="10"/>
        <v>-3</v>
      </c>
      <c r="AB22" s="95" t="s">
        <v>475</v>
      </c>
      <c r="AC22" s="98">
        <f t="shared" si="11"/>
        <v>528</v>
      </c>
      <c r="AD22" s="288">
        <f t="shared" si="12"/>
        <v>34.086507424144607</v>
      </c>
    </row>
    <row r="23" spans="1:30" x14ac:dyDescent="0.3">
      <c r="A23" s="36" t="s">
        <v>155</v>
      </c>
      <c r="B23" s="96">
        <v>6274</v>
      </c>
      <c r="C23" s="155">
        <f t="shared" si="0"/>
        <v>81.491102740615659</v>
      </c>
      <c r="D23" s="96">
        <v>1425</v>
      </c>
      <c r="E23" s="155">
        <f t="shared" si="1"/>
        <v>18.508897259384337</v>
      </c>
      <c r="F23" s="96">
        <v>7699</v>
      </c>
      <c r="G23" s="96">
        <v>6459</v>
      </c>
      <c r="H23" s="155">
        <f t="shared" si="2"/>
        <v>76.655589840968432</v>
      </c>
      <c r="I23" s="96">
        <v>1967</v>
      </c>
      <c r="J23" s="155">
        <f t="shared" si="3"/>
        <v>23.344410159031568</v>
      </c>
      <c r="K23" s="96">
        <v>8426</v>
      </c>
      <c r="L23" s="96">
        <v>6965</v>
      </c>
      <c r="M23" s="155">
        <f t="shared" si="4"/>
        <v>73.308072834438477</v>
      </c>
      <c r="N23" s="96">
        <v>2536</v>
      </c>
      <c r="O23" s="155">
        <f t="shared" si="5"/>
        <v>26.69192716556152</v>
      </c>
      <c r="P23" s="96">
        <v>9501</v>
      </c>
      <c r="Q23" s="96">
        <v>7924</v>
      </c>
      <c r="R23" s="155">
        <f t="shared" si="6"/>
        <v>74.125350795135645</v>
      </c>
      <c r="S23" s="96">
        <v>2766</v>
      </c>
      <c r="T23" s="155">
        <f t="shared" si="7"/>
        <v>25.874649204864358</v>
      </c>
      <c r="U23" s="96">
        <v>10690</v>
      </c>
      <c r="V23" s="96">
        <v>7651</v>
      </c>
      <c r="W23" s="155">
        <f t="shared" si="8"/>
        <v>68.49597135183528</v>
      </c>
      <c r="X23" s="96">
        <v>3519</v>
      </c>
      <c r="Y23" s="155">
        <f t="shared" si="9"/>
        <v>31.504028648164727</v>
      </c>
      <c r="Z23" s="96">
        <v>11170</v>
      </c>
      <c r="AA23" s="98">
        <f t="shared" si="10"/>
        <v>-273</v>
      </c>
      <c r="AB23" s="95" t="s">
        <v>454</v>
      </c>
      <c r="AC23" s="98">
        <f t="shared" si="11"/>
        <v>753</v>
      </c>
      <c r="AD23" s="288">
        <f t="shared" si="12"/>
        <v>27.223427331887201</v>
      </c>
    </row>
    <row r="24" spans="1:30" x14ac:dyDescent="0.3">
      <c r="A24" s="36" t="s">
        <v>151</v>
      </c>
      <c r="B24" s="96">
        <v>11963</v>
      </c>
      <c r="C24" s="155">
        <f t="shared" si="0"/>
        <v>98.396117782530027</v>
      </c>
      <c r="D24" s="95">
        <v>194</v>
      </c>
      <c r="E24" s="155">
        <f t="shared" si="1"/>
        <v>1.5956571804573121</v>
      </c>
      <c r="F24" s="96">
        <v>12158</v>
      </c>
      <c r="G24" s="96">
        <v>16336</v>
      </c>
      <c r="H24" s="155">
        <f t="shared" si="2"/>
        <v>98.125901009130232</v>
      </c>
      <c r="I24" s="95">
        <v>311</v>
      </c>
      <c r="J24" s="155">
        <f t="shared" si="3"/>
        <v>1.8680922633349351</v>
      </c>
      <c r="K24" s="96">
        <v>16648</v>
      </c>
      <c r="L24" s="96">
        <v>18710</v>
      </c>
      <c r="M24" s="155">
        <f t="shared" si="4"/>
        <v>97.95298675462017</v>
      </c>
      <c r="N24" s="95">
        <v>392</v>
      </c>
      <c r="O24" s="155">
        <f t="shared" si="5"/>
        <v>2.0522485733731219</v>
      </c>
      <c r="P24" s="96">
        <v>19101</v>
      </c>
      <c r="Q24" s="96">
        <v>23272</v>
      </c>
      <c r="R24" s="155">
        <f t="shared" si="6"/>
        <v>98.372574713615421</v>
      </c>
      <c r="S24" s="95">
        <v>385</v>
      </c>
      <c r="T24" s="155">
        <f t="shared" si="7"/>
        <v>1.6274252863845797</v>
      </c>
      <c r="U24" s="96">
        <v>23657</v>
      </c>
      <c r="V24" s="96">
        <v>21850</v>
      </c>
      <c r="W24" s="155">
        <f t="shared" si="8"/>
        <v>98.454467624926778</v>
      </c>
      <c r="X24" s="95">
        <v>343</v>
      </c>
      <c r="Y24" s="155">
        <f t="shared" si="9"/>
        <v>1.5455323750732213</v>
      </c>
      <c r="Z24" s="96">
        <v>22193</v>
      </c>
      <c r="AA24" s="98">
        <f t="shared" si="10"/>
        <v>-1422</v>
      </c>
      <c r="AB24" s="95" t="s">
        <v>476</v>
      </c>
      <c r="AC24" s="98">
        <f t="shared" si="11"/>
        <v>-42</v>
      </c>
      <c r="AD24" s="288">
        <f t="shared" si="12"/>
        <v>-10.909090909090908</v>
      </c>
    </row>
    <row r="25" spans="1:30" x14ac:dyDescent="0.3">
      <c r="A25" s="124" t="s">
        <v>85</v>
      </c>
      <c r="B25" s="96">
        <v>13577</v>
      </c>
      <c r="C25" s="155">
        <f t="shared" si="0"/>
        <v>91.231017336379523</v>
      </c>
      <c r="D25" s="96">
        <v>1305</v>
      </c>
      <c r="E25" s="155">
        <f t="shared" si="1"/>
        <v>8.7689826636204806</v>
      </c>
      <c r="F25" s="96">
        <v>14882</v>
      </c>
      <c r="G25" s="96">
        <v>13522</v>
      </c>
      <c r="H25" s="155">
        <f t="shared" si="2"/>
        <v>90.387700534759361</v>
      </c>
      <c r="I25" s="96">
        <v>1438</v>
      </c>
      <c r="J25" s="155">
        <f t="shared" si="3"/>
        <v>9.6122994652406408</v>
      </c>
      <c r="K25" s="96">
        <v>14960</v>
      </c>
      <c r="L25" s="96">
        <v>14970</v>
      </c>
      <c r="M25" s="155">
        <f t="shared" si="4"/>
        <v>90.425853216550891</v>
      </c>
      <c r="N25" s="96">
        <v>1585</v>
      </c>
      <c r="O25" s="155">
        <f t="shared" si="5"/>
        <v>9.574146783449109</v>
      </c>
      <c r="P25" s="96">
        <v>16555</v>
      </c>
      <c r="Q25" s="96">
        <v>15970</v>
      </c>
      <c r="R25" s="155">
        <f t="shared" si="6"/>
        <v>88.895073754522684</v>
      </c>
      <c r="S25" s="96">
        <v>1995</v>
      </c>
      <c r="T25" s="155">
        <f t="shared" si="7"/>
        <v>11.104926245477317</v>
      </c>
      <c r="U25" s="96">
        <v>17965</v>
      </c>
      <c r="V25" s="96">
        <v>13939</v>
      </c>
      <c r="W25" s="155">
        <f t="shared" si="8"/>
        <v>88.981806575167568</v>
      </c>
      <c r="X25" s="96">
        <v>1727</v>
      </c>
      <c r="Y25" s="155">
        <f t="shared" si="9"/>
        <v>11.024577082668369</v>
      </c>
      <c r="Z25" s="96">
        <v>15665</v>
      </c>
      <c r="AA25" s="98">
        <f t="shared" si="10"/>
        <v>-2031</v>
      </c>
      <c r="AB25" s="95" t="s">
        <v>477</v>
      </c>
      <c r="AC25" s="98">
        <f t="shared" si="11"/>
        <v>-268</v>
      </c>
      <c r="AD25" s="288">
        <f t="shared" si="12"/>
        <v>-13.43358395989975</v>
      </c>
    </row>
    <row r="26" spans="1:30" x14ac:dyDescent="0.3">
      <c r="A26" s="161" t="s">
        <v>86</v>
      </c>
      <c r="B26" s="98">
        <v>166888</v>
      </c>
      <c r="C26" s="156">
        <f t="shared" si="0"/>
        <v>86.651401631385738</v>
      </c>
      <c r="D26" s="98">
        <v>25709</v>
      </c>
      <c r="E26" s="156">
        <f t="shared" si="1"/>
        <v>13.348598368614256</v>
      </c>
      <c r="F26" s="98">
        <v>192597</v>
      </c>
      <c r="G26" s="98">
        <v>192644</v>
      </c>
      <c r="H26" s="156">
        <f t="shared" si="2"/>
        <v>85.740735795479836</v>
      </c>
      <c r="I26" s="98">
        <v>32038</v>
      </c>
      <c r="J26" s="156">
        <f t="shared" si="3"/>
        <v>14.259264204520166</v>
      </c>
      <c r="K26" s="98">
        <v>224682</v>
      </c>
      <c r="L26" s="98">
        <v>211019</v>
      </c>
      <c r="M26" s="155">
        <f t="shared" si="4"/>
        <v>83.979639755804428</v>
      </c>
      <c r="N26" s="98">
        <v>40255</v>
      </c>
      <c r="O26" s="156">
        <f t="shared" si="5"/>
        <v>16.020360244195579</v>
      </c>
      <c r="P26" s="98">
        <v>251274</v>
      </c>
      <c r="Q26" s="98">
        <v>225447</v>
      </c>
      <c r="R26" s="155">
        <f t="shared" si="6"/>
        <v>82.784793393285327</v>
      </c>
      <c r="S26" s="98">
        <v>46882</v>
      </c>
      <c r="T26" s="156">
        <f t="shared" si="7"/>
        <v>17.215206606714673</v>
      </c>
      <c r="U26" s="98">
        <v>272329</v>
      </c>
      <c r="V26" s="98">
        <v>237152</v>
      </c>
      <c r="W26" s="155">
        <f t="shared" si="8"/>
        <v>81.730331812354393</v>
      </c>
      <c r="X26" s="98">
        <v>53012</v>
      </c>
      <c r="Y26" s="155">
        <f t="shared" si="9"/>
        <v>18.269668187645607</v>
      </c>
      <c r="Z26" s="98">
        <v>290164</v>
      </c>
      <c r="AA26" s="98">
        <f t="shared" si="10"/>
        <v>11705</v>
      </c>
      <c r="AB26" s="97">
        <v>5.2</v>
      </c>
      <c r="AC26" s="98">
        <f t="shared" si="11"/>
        <v>6130</v>
      </c>
      <c r="AD26" s="288">
        <f t="shared" si="12"/>
        <v>13.075380743142357</v>
      </c>
    </row>
    <row r="28" spans="1:30" x14ac:dyDescent="0.3">
      <c r="A28" s="90" t="s">
        <v>1203</v>
      </c>
    </row>
    <row r="29" spans="1:30" x14ac:dyDescent="0.3">
      <c r="A29" t="s">
        <v>165</v>
      </c>
    </row>
    <row r="30" spans="1:30" x14ac:dyDescent="0.3">
      <c r="A30" t="s">
        <v>1344</v>
      </c>
    </row>
    <row r="32" spans="1:30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spans="2:30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spans="2:30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spans="2:30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spans="2:30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spans="2:30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spans="2:30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spans="2:30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spans="2:30" x14ac:dyDescent="0.3"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spans="2:30" x14ac:dyDescent="0.3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</row>
    <row r="42" spans="2:30" x14ac:dyDescent="0.3"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spans="2:30" x14ac:dyDescent="0.3"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</row>
    <row r="44" spans="2:30" x14ac:dyDescent="0.3"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spans="2:30" x14ac:dyDescent="0.3"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spans="2:30" x14ac:dyDescent="0.3"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</row>
    <row r="47" spans="2:30" x14ac:dyDescent="0.3"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</row>
    <row r="48" spans="2:30" x14ac:dyDescent="0.3"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</row>
    <row r="49" spans="2:30" x14ac:dyDescent="0.3"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</row>
    <row r="50" spans="2:30" x14ac:dyDescent="0.3"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</row>
  </sheetData>
  <autoFilter ref="A7:AD7" xr:uid="{00000000-0001-0000-0900-000000000000}"/>
  <mergeCells count="26">
    <mergeCell ref="B5:C5"/>
    <mergeCell ref="D5:E5"/>
    <mergeCell ref="B4:F4"/>
    <mergeCell ref="G4:K4"/>
    <mergeCell ref="L4:P4"/>
    <mergeCell ref="A4:A7"/>
    <mergeCell ref="Q4:U4"/>
    <mergeCell ref="Q5:R5"/>
    <mergeCell ref="S5:T5"/>
    <mergeCell ref="AC4:AD4"/>
    <mergeCell ref="AC5:AD5"/>
    <mergeCell ref="V4:Z4"/>
    <mergeCell ref="V5:W5"/>
    <mergeCell ref="X5:Y5"/>
    <mergeCell ref="U6:U7"/>
    <mergeCell ref="R6:R7"/>
    <mergeCell ref="T6:T7"/>
    <mergeCell ref="AA4:AB4"/>
    <mergeCell ref="AA5:AB5"/>
    <mergeCell ref="AD6:AD7"/>
    <mergeCell ref="W6:W7"/>
    <mergeCell ref="Y6:Y7"/>
    <mergeCell ref="Z6:Z7"/>
    <mergeCell ref="AA6:AA7"/>
    <mergeCell ref="AB6:AB7"/>
    <mergeCell ref="AC6:AC7"/>
  </mergeCells>
  <phoneticPr fontId="1" type="noConversion"/>
  <hyperlinks>
    <hyperlink ref="J1" location="목차!A1" display="목차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4.9989318521683403E-2"/>
  </sheetPr>
  <dimension ref="A1:J56"/>
  <sheetViews>
    <sheetView zoomScale="70" zoomScaleNormal="70" workbookViewId="0">
      <selection activeCell="A25" sqref="A25"/>
    </sheetView>
  </sheetViews>
  <sheetFormatPr defaultRowHeight="16.5" x14ac:dyDescent="0.3"/>
  <cols>
    <col min="1" max="1" width="44" customWidth="1"/>
  </cols>
  <sheetData>
    <row r="1" spans="1:7" ht="17.25" x14ac:dyDescent="0.3">
      <c r="A1" s="7" t="s">
        <v>473</v>
      </c>
      <c r="B1" s="2"/>
      <c r="C1" s="2"/>
      <c r="D1" s="2"/>
      <c r="E1" s="2"/>
      <c r="G1" s="72" t="s">
        <v>367</v>
      </c>
    </row>
    <row r="3" spans="1:7" x14ac:dyDescent="0.3">
      <c r="E3" s="5" t="s">
        <v>168</v>
      </c>
    </row>
    <row r="4" spans="1:7" ht="17.25" thickBot="1" x14ac:dyDescent="0.35">
      <c r="A4" s="313" t="s">
        <v>139</v>
      </c>
      <c r="B4" s="318" t="s">
        <v>402</v>
      </c>
      <c r="C4" s="319"/>
      <c r="D4" s="319"/>
      <c r="E4" s="319"/>
    </row>
    <row r="5" spans="1:7" ht="17.25" thickTop="1" x14ac:dyDescent="0.3">
      <c r="A5" s="313"/>
      <c r="B5" s="329" t="s">
        <v>35</v>
      </c>
      <c r="C5" s="329" t="s">
        <v>77</v>
      </c>
      <c r="D5" s="60" t="s">
        <v>36</v>
      </c>
      <c r="E5" s="151" t="s">
        <v>36</v>
      </c>
    </row>
    <row r="6" spans="1:7" x14ac:dyDescent="0.3">
      <c r="A6" s="313"/>
      <c r="B6" s="311"/>
      <c r="C6" s="311"/>
      <c r="D6" s="11" t="s">
        <v>777</v>
      </c>
      <c r="E6" s="149" t="s">
        <v>778</v>
      </c>
    </row>
    <row r="7" spans="1:7" x14ac:dyDescent="0.3">
      <c r="A7" s="313"/>
      <c r="B7" s="311"/>
      <c r="C7" s="311"/>
      <c r="D7" s="11" t="s">
        <v>167</v>
      </c>
      <c r="E7" s="149" t="s">
        <v>779</v>
      </c>
    </row>
    <row r="8" spans="1:7" x14ac:dyDescent="0.3">
      <c r="A8" s="26" t="s">
        <v>460</v>
      </c>
      <c r="B8" s="12">
        <v>2813</v>
      </c>
      <c r="C8" s="12">
        <v>9397</v>
      </c>
      <c r="D8" s="37">
        <v>3.2</v>
      </c>
      <c r="E8" s="288">
        <f>100*C8/$C$20</f>
        <v>13.410492065304258</v>
      </c>
    </row>
    <row r="9" spans="1:7" x14ac:dyDescent="0.3">
      <c r="A9" s="36" t="s">
        <v>461</v>
      </c>
      <c r="B9" s="13">
        <v>964</v>
      </c>
      <c r="C9" s="14">
        <v>2581</v>
      </c>
      <c r="D9" s="35">
        <v>0.9</v>
      </c>
      <c r="E9" s="288">
        <f t="shared" ref="E9:E20" si="0">100*C9/$C$20</f>
        <v>3.6833542641854091</v>
      </c>
    </row>
    <row r="10" spans="1:7" x14ac:dyDescent="0.3">
      <c r="A10" s="36" t="s">
        <v>462</v>
      </c>
      <c r="B10" s="14">
        <v>922</v>
      </c>
      <c r="C10" s="14">
        <v>3809</v>
      </c>
      <c r="D10" s="35">
        <v>1.3</v>
      </c>
      <c r="E10" s="288">
        <f t="shared" si="0"/>
        <v>5.4358374243635117</v>
      </c>
    </row>
    <row r="11" spans="1:7" x14ac:dyDescent="0.3">
      <c r="A11" s="36" t="s">
        <v>463</v>
      </c>
      <c r="B11" s="13">
        <v>288</v>
      </c>
      <c r="C11" s="14">
        <v>1700</v>
      </c>
      <c r="D11" s="35">
        <v>0.6</v>
      </c>
      <c r="E11" s="288">
        <f t="shared" si="0"/>
        <v>2.4260760360771778</v>
      </c>
    </row>
    <row r="12" spans="1:7" x14ac:dyDescent="0.3">
      <c r="A12" s="36" t="s">
        <v>464</v>
      </c>
      <c r="B12" s="14">
        <v>8344</v>
      </c>
      <c r="C12" s="14">
        <v>17427</v>
      </c>
      <c r="D12" s="35">
        <v>6</v>
      </c>
      <c r="E12" s="288">
        <f t="shared" si="0"/>
        <v>24.870133576892339</v>
      </c>
    </row>
    <row r="13" spans="1:7" x14ac:dyDescent="0.3">
      <c r="A13" s="36" t="s">
        <v>465</v>
      </c>
      <c r="B13" s="14">
        <v>680</v>
      </c>
      <c r="C13" s="14">
        <v>7914</v>
      </c>
      <c r="D13" s="35">
        <v>2.7</v>
      </c>
      <c r="E13" s="288">
        <f t="shared" si="0"/>
        <v>11.29409749971458</v>
      </c>
    </row>
    <row r="14" spans="1:7" x14ac:dyDescent="0.3">
      <c r="A14" s="36" t="s">
        <v>466</v>
      </c>
      <c r="B14" s="14">
        <v>862</v>
      </c>
      <c r="C14" s="14">
        <v>2830</v>
      </c>
      <c r="D14" s="35">
        <v>1</v>
      </c>
      <c r="E14" s="288">
        <f t="shared" si="0"/>
        <v>4.0387030482931845</v>
      </c>
    </row>
    <row r="15" spans="1:7" x14ac:dyDescent="0.3">
      <c r="A15" s="36" t="s">
        <v>467</v>
      </c>
      <c r="B15" s="14">
        <v>562</v>
      </c>
      <c r="C15" s="14">
        <v>2538</v>
      </c>
      <c r="D15" s="35">
        <v>0.9</v>
      </c>
      <c r="E15" s="288">
        <f t="shared" si="0"/>
        <v>3.6219888115081629</v>
      </c>
    </row>
    <row r="16" spans="1:7" x14ac:dyDescent="0.3">
      <c r="A16" s="36" t="s">
        <v>468</v>
      </c>
      <c r="B16" s="14">
        <v>4527</v>
      </c>
      <c r="C16" s="14">
        <v>13315</v>
      </c>
      <c r="D16" s="35">
        <v>4.5999999999999996</v>
      </c>
      <c r="E16" s="288">
        <f t="shared" si="0"/>
        <v>19.001883776686835</v>
      </c>
    </row>
    <row r="17" spans="1:10" x14ac:dyDescent="0.3">
      <c r="A17" s="36" t="s">
        <v>469</v>
      </c>
      <c r="B17" s="14">
        <v>595</v>
      </c>
      <c r="C17" s="14">
        <v>3609</v>
      </c>
      <c r="D17" s="35">
        <v>1.2</v>
      </c>
      <c r="E17" s="288">
        <f t="shared" si="0"/>
        <v>5.1504167142367852</v>
      </c>
    </row>
    <row r="18" spans="1:10" x14ac:dyDescent="0.3">
      <c r="A18" s="36" t="s">
        <v>470</v>
      </c>
      <c r="B18" s="14">
        <v>903</v>
      </c>
      <c r="C18" s="14">
        <v>2939</v>
      </c>
      <c r="D18" s="35">
        <v>1</v>
      </c>
      <c r="E18" s="288">
        <f t="shared" si="0"/>
        <v>4.1942573353122503</v>
      </c>
    </row>
    <row r="19" spans="1:10" x14ac:dyDescent="0.3">
      <c r="A19" s="36" t="s">
        <v>471</v>
      </c>
      <c r="B19" s="89">
        <v>398</v>
      </c>
      <c r="C19" s="89">
        <v>2013</v>
      </c>
      <c r="D19" s="35">
        <v>0.7</v>
      </c>
      <c r="E19" s="288">
        <f t="shared" si="0"/>
        <v>2.8727594474255054</v>
      </c>
    </row>
    <row r="20" spans="1:10" x14ac:dyDescent="0.3">
      <c r="A20" s="124" t="s">
        <v>110</v>
      </c>
      <c r="B20" s="101">
        <v>21858</v>
      </c>
      <c r="C20" s="101">
        <v>70072</v>
      </c>
      <c r="D20" s="123">
        <v>24.1</v>
      </c>
      <c r="E20" s="281">
        <f t="shared" si="0"/>
        <v>100</v>
      </c>
    </row>
    <row r="21" spans="1:10" ht="16.5" customHeight="1" x14ac:dyDescent="0.3">
      <c r="A21" s="36" t="s">
        <v>472</v>
      </c>
      <c r="B21" s="89">
        <v>42021</v>
      </c>
      <c r="C21" s="89">
        <v>220092</v>
      </c>
      <c r="D21" s="35">
        <v>75.900000000000006</v>
      </c>
    </row>
    <row r="22" spans="1:10" x14ac:dyDescent="0.3">
      <c r="A22" s="41" t="s">
        <v>86</v>
      </c>
      <c r="B22" s="31">
        <v>63879</v>
      </c>
      <c r="C22" s="31">
        <v>290164</v>
      </c>
      <c r="D22" s="42">
        <v>100</v>
      </c>
    </row>
    <row r="24" spans="1:10" x14ac:dyDescent="0.3">
      <c r="A24" s="90" t="s">
        <v>1203</v>
      </c>
    </row>
    <row r="25" spans="1:10" x14ac:dyDescent="0.3">
      <c r="A25" s="90" t="s">
        <v>1345</v>
      </c>
    </row>
    <row r="27" spans="1:10" x14ac:dyDescent="0.3">
      <c r="B27" s="90"/>
      <c r="C27" s="90"/>
      <c r="D27" s="90"/>
      <c r="E27" s="90"/>
      <c r="F27" s="90"/>
      <c r="G27" s="90"/>
      <c r="H27" s="90"/>
      <c r="I27" s="90"/>
      <c r="J27" s="90"/>
    </row>
    <row r="28" spans="1:10" x14ac:dyDescent="0.3">
      <c r="B28" s="90"/>
      <c r="C28" s="90"/>
      <c r="D28" s="90"/>
      <c r="E28" s="90"/>
      <c r="F28" s="90"/>
      <c r="G28" s="90"/>
      <c r="H28" s="90"/>
      <c r="I28" s="90"/>
      <c r="J28" s="90"/>
    </row>
    <row r="29" spans="1:10" x14ac:dyDescent="0.3">
      <c r="B29" s="90"/>
      <c r="C29" s="90"/>
      <c r="D29" s="90"/>
      <c r="E29" s="90"/>
      <c r="F29" s="90"/>
      <c r="G29" s="90"/>
      <c r="H29" s="90"/>
      <c r="I29" s="90"/>
      <c r="J29" s="90"/>
    </row>
    <row r="30" spans="1:10" x14ac:dyDescent="0.3">
      <c r="B30" s="90"/>
      <c r="C30" s="90"/>
      <c r="D30" s="90"/>
      <c r="E30" s="90"/>
      <c r="F30" s="90"/>
      <c r="G30" s="90"/>
      <c r="H30" s="90"/>
      <c r="I30" s="90"/>
      <c r="J30" s="90"/>
    </row>
    <row r="31" spans="1:10" x14ac:dyDescent="0.3">
      <c r="B31" s="90"/>
      <c r="C31" s="90"/>
      <c r="D31" s="90"/>
      <c r="E31" s="90"/>
      <c r="F31" s="90"/>
      <c r="G31" s="90"/>
      <c r="H31" s="90"/>
      <c r="I31" s="90"/>
      <c r="J31" s="90"/>
    </row>
    <row r="32" spans="1:10" x14ac:dyDescent="0.3">
      <c r="B32" s="90"/>
      <c r="C32" s="90"/>
      <c r="D32" s="90"/>
      <c r="E32" s="90"/>
      <c r="F32" s="90"/>
      <c r="G32" s="90"/>
      <c r="H32" s="90"/>
      <c r="I32" s="90"/>
      <c r="J32" s="90"/>
    </row>
    <row r="33" spans="2:10" x14ac:dyDescent="0.3">
      <c r="B33" s="90"/>
      <c r="C33" s="90"/>
      <c r="D33" s="90"/>
      <c r="E33" s="90"/>
      <c r="F33" s="90"/>
      <c r="G33" s="90"/>
      <c r="H33" s="90"/>
      <c r="I33" s="90"/>
      <c r="J33" s="90"/>
    </row>
    <row r="34" spans="2:10" x14ac:dyDescent="0.3">
      <c r="B34" s="90"/>
      <c r="C34" s="90"/>
      <c r="D34" s="90"/>
      <c r="E34" s="90"/>
      <c r="F34" s="90"/>
      <c r="G34" s="90"/>
      <c r="H34" s="90"/>
      <c r="I34" s="90"/>
      <c r="J34" s="90"/>
    </row>
    <row r="35" spans="2:10" x14ac:dyDescent="0.3">
      <c r="B35" s="90"/>
      <c r="C35" s="90"/>
      <c r="D35" s="90"/>
      <c r="E35" s="90"/>
      <c r="F35" s="90"/>
      <c r="G35" s="90"/>
      <c r="H35" s="90"/>
      <c r="I35" s="90"/>
      <c r="J35" s="90"/>
    </row>
    <row r="36" spans="2:10" x14ac:dyDescent="0.3">
      <c r="B36" s="90"/>
      <c r="C36" s="90"/>
      <c r="D36" s="90"/>
      <c r="E36" s="90"/>
      <c r="F36" s="90"/>
      <c r="G36" s="90"/>
      <c r="H36" s="90"/>
      <c r="I36" s="90"/>
      <c r="J36" s="90"/>
    </row>
    <row r="37" spans="2:10" x14ac:dyDescent="0.3">
      <c r="B37" s="90"/>
      <c r="C37" s="90"/>
      <c r="D37" s="90"/>
      <c r="E37" s="90"/>
      <c r="F37" s="90"/>
      <c r="G37" s="90"/>
      <c r="H37" s="90"/>
      <c r="I37" s="90"/>
      <c r="J37" s="90"/>
    </row>
    <row r="38" spans="2:10" x14ac:dyDescent="0.3">
      <c r="B38" s="90"/>
      <c r="C38" s="90"/>
      <c r="D38" s="90"/>
      <c r="E38" s="90"/>
      <c r="F38" s="90"/>
      <c r="G38" s="90"/>
      <c r="H38" s="90"/>
      <c r="I38" s="90"/>
      <c r="J38" s="90"/>
    </row>
    <row r="39" spans="2:10" x14ac:dyDescent="0.3">
      <c r="B39" s="90"/>
      <c r="C39" s="90"/>
      <c r="D39" s="90"/>
      <c r="E39" s="90"/>
      <c r="F39" s="90"/>
      <c r="G39" s="90"/>
      <c r="H39" s="90"/>
      <c r="I39" s="90"/>
      <c r="J39" s="90"/>
    </row>
    <row r="40" spans="2:10" x14ac:dyDescent="0.3">
      <c r="B40" s="90"/>
      <c r="C40" s="90"/>
      <c r="D40" s="90"/>
      <c r="E40" s="90"/>
      <c r="F40" s="90"/>
      <c r="G40" s="90"/>
      <c r="H40" s="90"/>
      <c r="I40" s="90"/>
      <c r="J40" s="90"/>
    </row>
    <row r="43" spans="2:10" x14ac:dyDescent="0.3">
      <c r="B43" s="86"/>
      <c r="C43" s="86"/>
      <c r="D43" s="86"/>
      <c r="E43" s="86"/>
      <c r="F43" s="86"/>
      <c r="G43" s="86"/>
      <c r="H43" s="86"/>
      <c r="I43" s="86"/>
      <c r="J43" s="86"/>
    </row>
    <row r="44" spans="2:10" x14ac:dyDescent="0.3">
      <c r="B44" s="86"/>
      <c r="C44" s="86"/>
      <c r="D44" s="86"/>
      <c r="E44" s="86"/>
      <c r="F44" s="86"/>
      <c r="G44" s="86"/>
      <c r="H44" s="86"/>
      <c r="I44" s="86"/>
      <c r="J44" s="86"/>
    </row>
    <row r="45" spans="2:10" x14ac:dyDescent="0.3">
      <c r="B45" s="86"/>
      <c r="C45" s="86"/>
      <c r="D45" s="86"/>
      <c r="E45" s="86"/>
      <c r="F45" s="86"/>
      <c r="G45" s="86"/>
      <c r="H45" s="86"/>
      <c r="I45" s="86"/>
      <c r="J45" s="86"/>
    </row>
    <row r="46" spans="2:10" x14ac:dyDescent="0.3">
      <c r="B46" s="86"/>
      <c r="C46" s="86"/>
      <c r="D46" s="86"/>
      <c r="E46" s="86"/>
      <c r="F46" s="86"/>
      <c r="G46" s="86"/>
      <c r="H46" s="86"/>
      <c r="I46" s="86"/>
      <c r="J46" s="86"/>
    </row>
    <row r="47" spans="2:10" x14ac:dyDescent="0.3">
      <c r="B47" s="86"/>
      <c r="C47" s="86"/>
      <c r="D47" s="86"/>
      <c r="E47" s="86"/>
      <c r="F47" s="86"/>
      <c r="G47" s="86"/>
      <c r="H47" s="86"/>
      <c r="I47" s="86"/>
      <c r="J47" s="86"/>
    </row>
    <row r="48" spans="2:10" x14ac:dyDescent="0.3">
      <c r="B48" s="86"/>
      <c r="C48" s="86"/>
      <c r="D48" s="86"/>
      <c r="E48" s="86"/>
      <c r="F48" s="86"/>
      <c r="G48" s="86"/>
      <c r="H48" s="86"/>
      <c r="I48" s="86"/>
      <c r="J48" s="86"/>
    </row>
    <row r="49" spans="2:10" x14ac:dyDescent="0.3">
      <c r="B49" s="86"/>
      <c r="C49" s="86"/>
      <c r="D49" s="86"/>
      <c r="E49" s="86"/>
      <c r="F49" s="86"/>
      <c r="G49" s="86"/>
      <c r="H49" s="86"/>
      <c r="I49" s="86"/>
      <c r="J49" s="86"/>
    </row>
    <row r="50" spans="2:10" x14ac:dyDescent="0.3">
      <c r="B50" s="86"/>
      <c r="C50" s="86"/>
      <c r="D50" s="86"/>
      <c r="E50" s="86"/>
      <c r="F50" s="86"/>
      <c r="G50" s="86"/>
      <c r="H50" s="86"/>
      <c r="I50" s="86"/>
      <c r="J50" s="86"/>
    </row>
    <row r="51" spans="2:10" x14ac:dyDescent="0.3">
      <c r="B51" s="86"/>
      <c r="C51" s="86"/>
      <c r="D51" s="86"/>
      <c r="E51" s="86"/>
      <c r="F51" s="86"/>
      <c r="G51" s="86"/>
      <c r="H51" s="86"/>
      <c r="I51" s="86"/>
      <c r="J51" s="86"/>
    </row>
    <row r="52" spans="2:10" x14ac:dyDescent="0.3">
      <c r="B52" s="86"/>
      <c r="C52" s="86"/>
      <c r="D52" s="86"/>
      <c r="E52" s="86"/>
      <c r="F52" s="86"/>
      <c r="G52" s="86"/>
      <c r="H52" s="86"/>
      <c r="I52" s="86"/>
      <c r="J52" s="86"/>
    </row>
    <row r="53" spans="2:10" x14ac:dyDescent="0.3">
      <c r="B53" s="86"/>
      <c r="C53" s="86"/>
      <c r="D53" s="86"/>
      <c r="E53" s="86"/>
      <c r="F53" s="86"/>
      <c r="G53" s="86"/>
      <c r="H53" s="86"/>
      <c r="I53" s="86"/>
      <c r="J53" s="86"/>
    </row>
    <row r="54" spans="2:10" x14ac:dyDescent="0.3">
      <c r="B54" s="86"/>
      <c r="C54" s="86"/>
      <c r="D54" s="86"/>
      <c r="E54" s="86"/>
      <c r="F54" s="86"/>
      <c r="G54" s="86"/>
      <c r="H54" s="86"/>
      <c r="I54" s="86"/>
      <c r="J54" s="86"/>
    </row>
    <row r="55" spans="2:10" x14ac:dyDescent="0.3">
      <c r="B55" s="86"/>
      <c r="C55" s="86"/>
      <c r="D55" s="86"/>
      <c r="E55" s="86"/>
      <c r="F55" s="86"/>
      <c r="G55" s="86"/>
      <c r="H55" s="86"/>
      <c r="I55" s="86"/>
      <c r="J55" s="86"/>
    </row>
    <row r="56" spans="2:10" x14ac:dyDescent="0.3">
      <c r="B56" s="86"/>
      <c r="C56" s="86"/>
      <c r="D56" s="86"/>
      <c r="E56" s="86"/>
      <c r="F56" s="86"/>
      <c r="G56" s="86"/>
      <c r="H56" s="86"/>
      <c r="I56" s="86"/>
      <c r="J56" s="86"/>
    </row>
  </sheetData>
  <mergeCells count="4">
    <mergeCell ref="A4:A7"/>
    <mergeCell ref="B5:B7"/>
    <mergeCell ref="C5:C7"/>
    <mergeCell ref="B4:E4"/>
  </mergeCells>
  <phoneticPr fontId="1" type="noConversion"/>
  <hyperlinks>
    <hyperlink ref="G1" location="목차!A1" display="목차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4.9989318521683403E-2"/>
  </sheetPr>
  <dimension ref="A1:T121"/>
  <sheetViews>
    <sheetView zoomScale="70" zoomScaleNormal="70" workbookViewId="0">
      <selection activeCell="O8" activeCellId="1" sqref="B8:B42 O8:O42"/>
    </sheetView>
  </sheetViews>
  <sheetFormatPr defaultRowHeight="16.5" x14ac:dyDescent="0.3"/>
  <cols>
    <col min="2" max="2" width="49.625" customWidth="1"/>
  </cols>
  <sheetData>
    <row r="1" spans="1:19" ht="17.25" x14ac:dyDescent="0.3">
      <c r="A1" s="7" t="s">
        <v>413</v>
      </c>
      <c r="B1" s="2"/>
      <c r="C1" s="2"/>
      <c r="D1" s="9"/>
      <c r="E1" s="71" t="s">
        <v>367</v>
      </c>
      <c r="F1" s="9"/>
      <c r="G1" s="9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87</v>
      </c>
    </row>
    <row r="4" spans="1:19" ht="17.25" thickBot="1" x14ac:dyDescent="0.35">
      <c r="A4" s="313" t="s">
        <v>0</v>
      </c>
      <c r="B4" s="311" t="s">
        <v>169</v>
      </c>
      <c r="C4" s="318" t="s">
        <v>373</v>
      </c>
      <c r="D4" s="319"/>
      <c r="E4" s="320"/>
      <c r="F4" s="318" t="s">
        <v>374</v>
      </c>
      <c r="G4" s="319"/>
      <c r="H4" s="320"/>
      <c r="I4" s="318" t="s">
        <v>370</v>
      </c>
      <c r="J4" s="319"/>
      <c r="K4" s="320"/>
      <c r="L4" s="318" t="s">
        <v>369</v>
      </c>
      <c r="M4" s="319"/>
      <c r="N4" s="320"/>
      <c r="O4" s="318" t="s">
        <v>402</v>
      </c>
      <c r="P4" s="319"/>
      <c r="Q4" s="320"/>
      <c r="R4" s="318" t="s">
        <v>32</v>
      </c>
      <c r="S4" s="319"/>
    </row>
    <row r="5" spans="1:19" ht="17.25" thickTop="1" x14ac:dyDescent="0.3">
      <c r="A5" s="313"/>
      <c r="B5" s="311"/>
      <c r="C5" s="120" t="s">
        <v>77</v>
      </c>
      <c r="D5" s="120" t="s">
        <v>182</v>
      </c>
      <c r="E5" s="120" t="s">
        <v>182</v>
      </c>
      <c r="F5" s="120" t="s">
        <v>77</v>
      </c>
      <c r="G5" s="120" t="s">
        <v>182</v>
      </c>
      <c r="H5" s="120" t="s">
        <v>182</v>
      </c>
      <c r="I5" s="120" t="s">
        <v>77</v>
      </c>
      <c r="J5" s="120" t="s">
        <v>182</v>
      </c>
      <c r="K5" s="120" t="s">
        <v>182</v>
      </c>
      <c r="L5" s="120" t="s">
        <v>77</v>
      </c>
      <c r="M5" s="120" t="s">
        <v>182</v>
      </c>
      <c r="N5" s="120" t="s">
        <v>182</v>
      </c>
      <c r="O5" s="59" t="s">
        <v>77</v>
      </c>
      <c r="P5" s="59" t="s">
        <v>182</v>
      </c>
      <c r="Q5" s="59" t="s">
        <v>182</v>
      </c>
      <c r="R5" s="329" t="s">
        <v>37</v>
      </c>
      <c r="S5" s="334" t="s">
        <v>38</v>
      </c>
    </row>
    <row r="6" spans="1:19" x14ac:dyDescent="0.3">
      <c r="A6" s="313"/>
      <c r="B6" s="311"/>
      <c r="C6" s="111"/>
      <c r="D6" s="111" t="s">
        <v>183</v>
      </c>
      <c r="E6" s="111" t="s">
        <v>184</v>
      </c>
      <c r="F6" s="111"/>
      <c r="G6" s="111" t="s">
        <v>183</v>
      </c>
      <c r="H6" s="111" t="s">
        <v>184</v>
      </c>
      <c r="I6" s="111" t="s">
        <v>90</v>
      </c>
      <c r="J6" s="111" t="s">
        <v>183</v>
      </c>
      <c r="K6" s="111" t="s">
        <v>184</v>
      </c>
      <c r="L6" s="111" t="s">
        <v>91</v>
      </c>
      <c r="M6" s="111" t="s">
        <v>183</v>
      </c>
      <c r="N6" s="111" t="s">
        <v>184</v>
      </c>
      <c r="O6" s="22" t="s">
        <v>91</v>
      </c>
      <c r="P6" s="22" t="s">
        <v>183</v>
      </c>
      <c r="Q6" s="22" t="s">
        <v>184</v>
      </c>
      <c r="R6" s="311"/>
      <c r="S6" s="332"/>
    </row>
    <row r="7" spans="1:19" x14ac:dyDescent="0.3">
      <c r="A7" s="313"/>
      <c r="B7" s="311"/>
      <c r="C7" s="111"/>
      <c r="D7" s="111" t="s">
        <v>185</v>
      </c>
      <c r="E7" s="111" t="s">
        <v>185</v>
      </c>
      <c r="F7" s="111"/>
      <c r="G7" s="111" t="s">
        <v>185</v>
      </c>
      <c r="H7" s="111" t="s">
        <v>185</v>
      </c>
      <c r="I7" s="62"/>
      <c r="J7" s="111" t="s">
        <v>185</v>
      </c>
      <c r="K7" s="111" t="s">
        <v>185</v>
      </c>
      <c r="L7" s="62"/>
      <c r="M7" s="111" t="s">
        <v>185</v>
      </c>
      <c r="N7" s="111" t="s">
        <v>185</v>
      </c>
      <c r="O7" s="62"/>
      <c r="P7" s="22" t="s">
        <v>185</v>
      </c>
      <c r="Q7" s="22" t="s">
        <v>185</v>
      </c>
      <c r="R7" s="311"/>
      <c r="S7" s="332"/>
    </row>
    <row r="8" spans="1:19" x14ac:dyDescent="0.3">
      <c r="A8" s="305" t="s">
        <v>203</v>
      </c>
      <c r="B8" s="28" t="s">
        <v>186</v>
      </c>
      <c r="C8" s="119">
        <v>17298</v>
      </c>
      <c r="D8" s="110">
        <v>12.4</v>
      </c>
      <c r="E8" s="110">
        <v>8.4</v>
      </c>
      <c r="F8" s="119">
        <v>19337</v>
      </c>
      <c r="G8" s="110">
        <v>12.2</v>
      </c>
      <c r="H8" s="110">
        <v>8.1</v>
      </c>
      <c r="I8" s="119">
        <v>21494</v>
      </c>
      <c r="J8" s="110">
        <v>12.4</v>
      </c>
      <c r="K8" s="110">
        <v>8.1</v>
      </c>
      <c r="L8" s="119">
        <v>22173</v>
      </c>
      <c r="M8" s="110">
        <v>11.8</v>
      </c>
      <c r="N8" s="110">
        <v>7.7</v>
      </c>
      <c r="O8" s="12">
        <v>23496</v>
      </c>
      <c r="P8" s="28">
        <v>11.6</v>
      </c>
      <c r="Q8" s="28">
        <v>7.7</v>
      </c>
      <c r="R8" s="12">
        <v>1323</v>
      </c>
      <c r="S8" s="37">
        <v>6</v>
      </c>
    </row>
    <row r="9" spans="1:19" x14ac:dyDescent="0.3">
      <c r="A9" s="305"/>
      <c r="B9" s="13" t="s">
        <v>170</v>
      </c>
      <c r="C9" s="96">
        <v>16788</v>
      </c>
      <c r="D9" s="95">
        <v>12</v>
      </c>
      <c r="E9" s="95">
        <v>8.1</v>
      </c>
      <c r="F9" s="96">
        <v>18790</v>
      </c>
      <c r="G9" s="95">
        <v>11.8</v>
      </c>
      <c r="H9" s="95">
        <v>7.9</v>
      </c>
      <c r="I9" s="96">
        <v>21665</v>
      </c>
      <c r="J9" s="95">
        <v>12.5</v>
      </c>
      <c r="K9" s="95">
        <v>8.1999999999999993</v>
      </c>
      <c r="L9" s="96">
        <v>23426</v>
      </c>
      <c r="M9" s="95">
        <v>12.5</v>
      </c>
      <c r="N9" s="95">
        <v>8.1999999999999993</v>
      </c>
      <c r="O9" s="14">
        <v>22637</v>
      </c>
      <c r="P9" s="13">
        <v>11.2</v>
      </c>
      <c r="Q9" s="13">
        <v>7.4</v>
      </c>
      <c r="R9" s="14" t="s">
        <v>478</v>
      </c>
      <c r="S9" s="35" t="s">
        <v>454</v>
      </c>
    </row>
    <row r="10" spans="1:19" x14ac:dyDescent="0.3">
      <c r="A10" s="305"/>
      <c r="B10" s="13" t="s">
        <v>166</v>
      </c>
      <c r="C10" s="96">
        <v>33254</v>
      </c>
      <c r="D10" s="95">
        <v>23.8</v>
      </c>
      <c r="E10" s="95">
        <v>16.100000000000001</v>
      </c>
      <c r="F10" s="96">
        <v>39420</v>
      </c>
      <c r="G10" s="95">
        <v>24.8</v>
      </c>
      <c r="H10" s="95">
        <v>16.5</v>
      </c>
      <c r="I10" s="96">
        <v>41229</v>
      </c>
      <c r="J10" s="95">
        <v>23.8</v>
      </c>
      <c r="K10" s="95">
        <v>15.5</v>
      </c>
      <c r="L10" s="96">
        <v>43602</v>
      </c>
      <c r="M10" s="95">
        <v>23.2</v>
      </c>
      <c r="N10" s="95">
        <v>15.2</v>
      </c>
      <c r="O10" s="14">
        <v>48476</v>
      </c>
      <c r="P10" s="13">
        <v>24</v>
      </c>
      <c r="Q10" s="13">
        <v>15.9</v>
      </c>
      <c r="R10" s="14">
        <v>4874</v>
      </c>
      <c r="S10" s="35">
        <v>11.2</v>
      </c>
    </row>
    <row r="11" spans="1:19" x14ac:dyDescent="0.3">
      <c r="A11" s="305"/>
      <c r="B11" s="13" t="s">
        <v>171</v>
      </c>
      <c r="C11" s="96">
        <v>1429</v>
      </c>
      <c r="D11" s="95">
        <v>1</v>
      </c>
      <c r="E11" s="95">
        <v>0.7</v>
      </c>
      <c r="F11" s="96">
        <v>1390</v>
      </c>
      <c r="G11" s="95">
        <v>0.9</v>
      </c>
      <c r="H11" s="95">
        <v>0.6</v>
      </c>
      <c r="I11" s="96">
        <v>1343</v>
      </c>
      <c r="J11" s="95">
        <v>0.8</v>
      </c>
      <c r="K11" s="95">
        <v>0.5</v>
      </c>
      <c r="L11" s="96">
        <v>1405</v>
      </c>
      <c r="M11" s="95">
        <v>0.7</v>
      </c>
      <c r="N11" s="95">
        <v>0.5</v>
      </c>
      <c r="O11" s="14">
        <v>1370</v>
      </c>
      <c r="P11" s="13">
        <v>0.7</v>
      </c>
      <c r="Q11" s="13">
        <v>0.4</v>
      </c>
      <c r="R11" s="13" t="s">
        <v>479</v>
      </c>
      <c r="S11" s="35" t="s">
        <v>383</v>
      </c>
    </row>
    <row r="12" spans="1:19" x14ac:dyDescent="0.3">
      <c r="A12" s="305"/>
      <c r="B12" s="13" t="s">
        <v>172</v>
      </c>
      <c r="C12" s="96">
        <v>11289</v>
      </c>
      <c r="D12" s="95">
        <v>8.1</v>
      </c>
      <c r="E12" s="95">
        <v>5.5</v>
      </c>
      <c r="F12" s="96">
        <v>12145</v>
      </c>
      <c r="G12" s="95">
        <v>7.7</v>
      </c>
      <c r="H12" s="95">
        <v>5.0999999999999996</v>
      </c>
      <c r="I12" s="96">
        <v>14179</v>
      </c>
      <c r="J12" s="95">
        <v>8.1999999999999993</v>
      </c>
      <c r="K12" s="95">
        <v>5.3</v>
      </c>
      <c r="L12" s="96">
        <v>13950</v>
      </c>
      <c r="M12" s="95">
        <v>7.4</v>
      </c>
      <c r="N12" s="95">
        <v>4.9000000000000004</v>
      </c>
      <c r="O12" s="14">
        <v>16860</v>
      </c>
      <c r="P12" s="13">
        <v>8.3000000000000007</v>
      </c>
      <c r="Q12" s="13">
        <v>5.5</v>
      </c>
      <c r="R12" s="14">
        <v>2910</v>
      </c>
      <c r="S12" s="35">
        <v>20.9</v>
      </c>
    </row>
    <row r="13" spans="1:19" x14ac:dyDescent="0.3">
      <c r="A13" s="305"/>
      <c r="B13" s="13" t="s">
        <v>173</v>
      </c>
      <c r="C13" s="96">
        <v>3792</v>
      </c>
      <c r="D13" s="95">
        <v>2.7</v>
      </c>
      <c r="E13" s="95">
        <v>1.8</v>
      </c>
      <c r="F13" s="96">
        <v>3975</v>
      </c>
      <c r="G13" s="95">
        <v>2.5</v>
      </c>
      <c r="H13" s="95">
        <v>1.7</v>
      </c>
      <c r="I13" s="96">
        <v>4267</v>
      </c>
      <c r="J13" s="95">
        <v>2.5</v>
      </c>
      <c r="K13" s="95">
        <v>1.6</v>
      </c>
      <c r="L13" s="96">
        <v>5564</v>
      </c>
      <c r="M13" s="95">
        <v>3</v>
      </c>
      <c r="N13" s="95">
        <v>1.9</v>
      </c>
      <c r="O13" s="14">
        <v>7066</v>
      </c>
      <c r="P13" s="13">
        <v>3.5</v>
      </c>
      <c r="Q13" s="13">
        <v>2.2999999999999998</v>
      </c>
      <c r="R13" s="13">
        <v>1502</v>
      </c>
      <c r="S13" s="35">
        <v>27</v>
      </c>
    </row>
    <row r="14" spans="1:19" x14ac:dyDescent="0.3">
      <c r="A14" s="305"/>
      <c r="B14" s="13" t="s">
        <v>174</v>
      </c>
      <c r="C14" s="96">
        <v>2357</v>
      </c>
      <c r="D14" s="95">
        <v>1.7</v>
      </c>
      <c r="E14" s="95">
        <v>1.1000000000000001</v>
      </c>
      <c r="F14" s="96">
        <v>2204</v>
      </c>
      <c r="G14" s="95">
        <v>1.4</v>
      </c>
      <c r="H14" s="95">
        <v>0.9</v>
      </c>
      <c r="I14" s="96">
        <v>2598</v>
      </c>
      <c r="J14" s="95">
        <v>1.5</v>
      </c>
      <c r="K14" s="95">
        <v>1</v>
      </c>
      <c r="L14" s="96">
        <v>2382</v>
      </c>
      <c r="M14" s="95">
        <v>1.3</v>
      </c>
      <c r="N14" s="95">
        <v>0.8</v>
      </c>
      <c r="O14" s="14">
        <v>3042</v>
      </c>
      <c r="P14" s="13">
        <v>1.5</v>
      </c>
      <c r="Q14" s="13">
        <v>1</v>
      </c>
      <c r="R14" s="13">
        <v>660</v>
      </c>
      <c r="S14" s="35">
        <v>27.7</v>
      </c>
    </row>
    <row r="15" spans="1:19" x14ac:dyDescent="0.3">
      <c r="A15" s="305"/>
      <c r="B15" s="13" t="s">
        <v>187</v>
      </c>
      <c r="C15" s="96">
        <v>6552</v>
      </c>
      <c r="D15" s="95">
        <v>4.7</v>
      </c>
      <c r="E15" s="95">
        <v>3.2</v>
      </c>
      <c r="F15" s="96">
        <v>8122</v>
      </c>
      <c r="G15" s="95">
        <v>5.0999999999999996</v>
      </c>
      <c r="H15" s="95">
        <v>3.4</v>
      </c>
      <c r="I15" s="96">
        <v>10259</v>
      </c>
      <c r="J15" s="95">
        <v>5.9</v>
      </c>
      <c r="K15" s="95">
        <v>3.9</v>
      </c>
      <c r="L15" s="96">
        <v>11705</v>
      </c>
      <c r="M15" s="95">
        <v>6.2</v>
      </c>
      <c r="N15" s="95">
        <v>4.0999999999999996</v>
      </c>
      <c r="O15" s="14">
        <v>11545</v>
      </c>
      <c r="P15" s="13">
        <v>5.7</v>
      </c>
      <c r="Q15" s="13">
        <v>3.8</v>
      </c>
      <c r="R15" s="14" t="s">
        <v>480</v>
      </c>
      <c r="S15" s="35" t="s">
        <v>481</v>
      </c>
    </row>
    <row r="16" spans="1:19" x14ac:dyDescent="0.3">
      <c r="A16" s="305"/>
      <c r="B16" s="13" t="s">
        <v>150</v>
      </c>
      <c r="C16" s="96">
        <v>6499</v>
      </c>
      <c r="D16" s="95">
        <v>4.7</v>
      </c>
      <c r="E16" s="95">
        <v>3.2</v>
      </c>
      <c r="F16" s="96">
        <v>7826</v>
      </c>
      <c r="G16" s="95">
        <v>4.9000000000000004</v>
      </c>
      <c r="H16" s="95">
        <v>3.3</v>
      </c>
      <c r="I16" s="96">
        <v>8999</v>
      </c>
      <c r="J16" s="95">
        <v>5.2</v>
      </c>
      <c r="K16" s="95">
        <v>3.4</v>
      </c>
      <c r="L16" s="96">
        <v>9663</v>
      </c>
      <c r="M16" s="95">
        <v>5.0999999999999996</v>
      </c>
      <c r="N16" s="95">
        <v>3.4</v>
      </c>
      <c r="O16" s="14">
        <v>9897</v>
      </c>
      <c r="P16" s="13">
        <v>4.9000000000000004</v>
      </c>
      <c r="Q16" s="13">
        <v>3.2</v>
      </c>
      <c r="R16" s="14">
        <v>234</v>
      </c>
      <c r="S16" s="35">
        <v>2.4</v>
      </c>
    </row>
    <row r="17" spans="1:20" x14ac:dyDescent="0.3">
      <c r="A17" s="305"/>
      <c r="B17" s="13" t="s">
        <v>175</v>
      </c>
      <c r="C17" s="96">
        <v>2439</v>
      </c>
      <c r="D17" s="95">
        <v>1.7</v>
      </c>
      <c r="E17" s="95">
        <v>1.2</v>
      </c>
      <c r="F17" s="96">
        <v>2981</v>
      </c>
      <c r="G17" s="95">
        <v>1.9</v>
      </c>
      <c r="H17" s="95">
        <v>1.2</v>
      </c>
      <c r="I17" s="96">
        <v>3647</v>
      </c>
      <c r="J17" s="95">
        <v>2.1</v>
      </c>
      <c r="K17" s="95">
        <v>1.4</v>
      </c>
      <c r="L17" s="96">
        <v>3837</v>
      </c>
      <c r="M17" s="95">
        <v>2</v>
      </c>
      <c r="N17" s="95">
        <v>1.3</v>
      </c>
      <c r="O17" s="14">
        <v>3849</v>
      </c>
      <c r="P17" s="13">
        <v>1.9</v>
      </c>
      <c r="Q17" s="13">
        <v>1.3</v>
      </c>
      <c r="R17" s="13">
        <v>12</v>
      </c>
      <c r="S17" s="35">
        <v>0.3</v>
      </c>
    </row>
    <row r="18" spans="1:20" x14ac:dyDescent="0.3">
      <c r="A18" s="305"/>
      <c r="B18" s="13" t="s">
        <v>188</v>
      </c>
      <c r="C18" s="96">
        <v>965</v>
      </c>
      <c r="D18" s="95">
        <v>0.7</v>
      </c>
      <c r="E18" s="95">
        <v>0.5</v>
      </c>
      <c r="F18" s="95">
        <v>1084</v>
      </c>
      <c r="G18" s="95">
        <v>0.7</v>
      </c>
      <c r="H18" s="95">
        <v>0.5</v>
      </c>
      <c r="I18" s="96">
        <v>923</v>
      </c>
      <c r="J18" s="95">
        <v>0.5</v>
      </c>
      <c r="K18" s="95">
        <v>0.3</v>
      </c>
      <c r="L18" s="95">
        <v>1100</v>
      </c>
      <c r="M18" s="95">
        <v>0.6</v>
      </c>
      <c r="N18" s="95">
        <v>0.4</v>
      </c>
      <c r="O18" s="13">
        <v>1098</v>
      </c>
      <c r="P18" s="13">
        <v>0.5</v>
      </c>
      <c r="Q18" s="13">
        <v>0.4</v>
      </c>
      <c r="R18" s="13" t="s">
        <v>482</v>
      </c>
      <c r="S18" s="35" t="s">
        <v>378</v>
      </c>
    </row>
    <row r="19" spans="1:20" x14ac:dyDescent="0.3">
      <c r="A19" s="305"/>
      <c r="B19" s="13" t="s">
        <v>176</v>
      </c>
      <c r="C19" s="96">
        <v>9651</v>
      </c>
      <c r="D19" s="95">
        <v>6.9</v>
      </c>
      <c r="E19" s="95">
        <v>4.7</v>
      </c>
      <c r="F19" s="96">
        <v>10508</v>
      </c>
      <c r="G19" s="95">
        <v>6.6</v>
      </c>
      <c r="H19" s="95">
        <v>4.4000000000000004</v>
      </c>
      <c r="I19" s="96">
        <v>11759</v>
      </c>
      <c r="J19" s="95">
        <v>6.8</v>
      </c>
      <c r="K19" s="95">
        <v>4.4000000000000004</v>
      </c>
      <c r="L19" s="96">
        <v>13036</v>
      </c>
      <c r="M19" s="95">
        <v>6.9</v>
      </c>
      <c r="N19" s="95">
        <v>4.5</v>
      </c>
      <c r="O19" s="14">
        <v>14830</v>
      </c>
      <c r="P19" s="13">
        <v>7.3</v>
      </c>
      <c r="Q19" s="13">
        <v>4.9000000000000004</v>
      </c>
      <c r="R19" s="14">
        <v>1794</v>
      </c>
      <c r="S19" s="35">
        <v>13.8</v>
      </c>
    </row>
    <row r="20" spans="1:20" x14ac:dyDescent="0.3">
      <c r="A20" s="305"/>
      <c r="B20" s="13" t="s">
        <v>177</v>
      </c>
      <c r="C20" s="96">
        <v>27281</v>
      </c>
      <c r="D20" s="95">
        <v>19.5</v>
      </c>
      <c r="E20" s="95">
        <v>13.2</v>
      </c>
      <c r="F20" s="96">
        <v>30958</v>
      </c>
      <c r="G20" s="95">
        <v>19.5</v>
      </c>
      <c r="H20" s="95">
        <v>13</v>
      </c>
      <c r="I20" s="96">
        <v>30531</v>
      </c>
      <c r="J20" s="95">
        <v>17.7</v>
      </c>
      <c r="K20" s="95">
        <v>11.5</v>
      </c>
      <c r="L20" s="96">
        <v>35809</v>
      </c>
      <c r="M20" s="95">
        <v>19.100000000000001</v>
      </c>
      <c r="N20" s="95">
        <v>12.5</v>
      </c>
      <c r="O20" s="14">
        <v>37814</v>
      </c>
      <c r="P20" s="13">
        <v>18.7</v>
      </c>
      <c r="Q20" s="13">
        <v>12.4</v>
      </c>
      <c r="R20" s="13">
        <v>2005</v>
      </c>
      <c r="S20" s="35">
        <v>5.6</v>
      </c>
    </row>
    <row r="21" spans="1:20" x14ac:dyDescent="0.3">
      <c r="A21" s="306"/>
      <c r="B21" s="13" t="s">
        <v>110</v>
      </c>
      <c r="C21" s="96">
        <v>139594</v>
      </c>
      <c r="D21" s="95">
        <v>100</v>
      </c>
      <c r="E21" s="95">
        <v>67.7</v>
      </c>
      <c r="F21" s="96">
        <v>158740</v>
      </c>
      <c r="G21" s="95">
        <v>100</v>
      </c>
      <c r="H21" s="95">
        <v>66.5</v>
      </c>
      <c r="I21" s="96">
        <v>172894</v>
      </c>
      <c r="J21" s="95">
        <v>100</v>
      </c>
      <c r="K21" s="95">
        <v>65</v>
      </c>
      <c r="L21" s="96">
        <v>187652</v>
      </c>
      <c r="M21" s="95">
        <v>100</v>
      </c>
      <c r="N21" s="95">
        <v>65.400000000000006</v>
      </c>
      <c r="O21" s="14">
        <v>201981</v>
      </c>
      <c r="P21" s="13">
        <v>100</v>
      </c>
      <c r="Q21" s="13">
        <v>66.099999999999994</v>
      </c>
      <c r="R21" s="14">
        <v>14329</v>
      </c>
      <c r="S21" s="35">
        <v>7.6</v>
      </c>
    </row>
    <row r="22" spans="1:20" x14ac:dyDescent="0.3">
      <c r="A22" s="304" t="s">
        <v>202</v>
      </c>
      <c r="B22" s="13" t="s">
        <v>189</v>
      </c>
      <c r="C22" s="96">
        <v>10446</v>
      </c>
      <c r="D22" s="95">
        <v>15.7</v>
      </c>
      <c r="E22" s="95">
        <v>5.0999999999999996</v>
      </c>
      <c r="F22" s="96">
        <v>11043</v>
      </c>
      <c r="G22" s="95">
        <v>13.8</v>
      </c>
      <c r="H22" s="95">
        <v>4.5999999999999996</v>
      </c>
      <c r="I22" s="96">
        <v>12354</v>
      </c>
      <c r="J22" s="95">
        <v>13.3</v>
      </c>
      <c r="K22" s="95">
        <v>4.5999999999999996</v>
      </c>
      <c r="L22" s="96">
        <v>12920</v>
      </c>
      <c r="M22" s="95">
        <v>13</v>
      </c>
      <c r="N22" s="95">
        <v>4.5</v>
      </c>
      <c r="O22" s="14">
        <v>13783</v>
      </c>
      <c r="P22" s="13">
        <v>13.3</v>
      </c>
      <c r="Q22" s="13">
        <v>4.5</v>
      </c>
      <c r="R22" s="14">
        <v>863</v>
      </c>
      <c r="S22" s="35">
        <v>6.7</v>
      </c>
    </row>
    <row r="23" spans="1:20" x14ac:dyDescent="0.3">
      <c r="A23" s="305"/>
      <c r="B23" s="13" t="s">
        <v>190</v>
      </c>
      <c r="C23" s="95">
        <v>593</v>
      </c>
      <c r="D23" s="95">
        <v>0.9</v>
      </c>
      <c r="E23" s="95">
        <v>0.3</v>
      </c>
      <c r="F23" s="95">
        <v>686</v>
      </c>
      <c r="G23" s="95">
        <v>0.9</v>
      </c>
      <c r="H23" s="95">
        <v>0.3</v>
      </c>
      <c r="I23" s="95">
        <v>701</v>
      </c>
      <c r="J23" s="95">
        <v>0.8</v>
      </c>
      <c r="K23" s="95">
        <v>0.3</v>
      </c>
      <c r="L23" s="95">
        <v>848</v>
      </c>
      <c r="M23" s="95">
        <v>0.9</v>
      </c>
      <c r="N23" s="95">
        <v>0.3</v>
      </c>
      <c r="O23" s="13">
        <v>855</v>
      </c>
      <c r="P23" s="13">
        <v>0.8</v>
      </c>
      <c r="Q23" s="13">
        <v>0.3</v>
      </c>
      <c r="R23" s="13">
        <v>7</v>
      </c>
      <c r="S23" s="35">
        <v>0.8</v>
      </c>
    </row>
    <row r="24" spans="1:20" x14ac:dyDescent="0.3">
      <c r="A24" s="305"/>
      <c r="B24" s="13" t="s">
        <v>191</v>
      </c>
      <c r="C24" s="96">
        <v>1106</v>
      </c>
      <c r="D24" s="95">
        <v>1.7</v>
      </c>
      <c r="E24" s="95">
        <v>0.5</v>
      </c>
      <c r="F24" s="96">
        <v>1139</v>
      </c>
      <c r="G24" s="95">
        <v>1.4</v>
      </c>
      <c r="H24" s="95">
        <v>0.5</v>
      </c>
      <c r="I24" s="96">
        <v>1273</v>
      </c>
      <c r="J24" s="95">
        <v>1.4</v>
      </c>
      <c r="K24" s="95">
        <v>0.5</v>
      </c>
      <c r="L24" s="96">
        <v>1250</v>
      </c>
      <c r="M24" s="95">
        <v>1.3</v>
      </c>
      <c r="N24" s="95">
        <v>0.4</v>
      </c>
      <c r="O24" s="14">
        <v>1263</v>
      </c>
      <c r="P24" s="13">
        <v>1.2</v>
      </c>
      <c r="Q24" s="13">
        <v>0.4</v>
      </c>
      <c r="R24" s="13">
        <v>13</v>
      </c>
      <c r="S24" s="35">
        <v>1</v>
      </c>
    </row>
    <row r="25" spans="1:20" x14ac:dyDescent="0.3">
      <c r="A25" s="305"/>
      <c r="B25" s="13" t="s">
        <v>192</v>
      </c>
      <c r="C25" s="95">
        <v>102</v>
      </c>
      <c r="D25" s="95">
        <v>0.2</v>
      </c>
      <c r="E25" s="95">
        <v>0</v>
      </c>
      <c r="F25" s="95">
        <v>152</v>
      </c>
      <c r="G25" s="95">
        <v>0.2</v>
      </c>
      <c r="H25" s="95">
        <v>0.1</v>
      </c>
      <c r="I25" s="95">
        <v>180</v>
      </c>
      <c r="J25" s="95">
        <v>0.2</v>
      </c>
      <c r="K25" s="95">
        <v>0.1</v>
      </c>
      <c r="L25" s="95">
        <v>299</v>
      </c>
      <c r="M25" s="95">
        <v>0.3</v>
      </c>
      <c r="N25" s="95">
        <v>0.1</v>
      </c>
      <c r="O25" s="13">
        <v>225</v>
      </c>
      <c r="P25" s="13">
        <v>0.2</v>
      </c>
      <c r="Q25" s="13">
        <v>0.1</v>
      </c>
      <c r="R25" s="13" t="s">
        <v>483</v>
      </c>
      <c r="S25" s="35" t="s">
        <v>484</v>
      </c>
    </row>
    <row r="26" spans="1:20" x14ac:dyDescent="0.3">
      <c r="A26" s="305"/>
      <c r="B26" s="13" t="s">
        <v>193</v>
      </c>
      <c r="C26" s="96">
        <v>3707</v>
      </c>
      <c r="D26" s="95">
        <v>5.6</v>
      </c>
      <c r="E26" s="95">
        <v>1.8</v>
      </c>
      <c r="F26" s="96">
        <v>5143</v>
      </c>
      <c r="G26" s="95">
        <v>6.4</v>
      </c>
      <c r="H26" s="95">
        <v>2.2000000000000002</v>
      </c>
      <c r="I26" s="96">
        <v>6362</v>
      </c>
      <c r="J26" s="95">
        <v>6.8</v>
      </c>
      <c r="K26" s="95">
        <v>2.4</v>
      </c>
      <c r="L26" s="96">
        <v>6727</v>
      </c>
      <c r="M26" s="95">
        <v>6.8</v>
      </c>
      <c r="N26" s="95">
        <v>2.2999999999999998</v>
      </c>
      <c r="O26" s="14">
        <v>7079</v>
      </c>
      <c r="P26" s="13">
        <v>6.8</v>
      </c>
      <c r="Q26" s="13">
        <v>2.2999999999999998</v>
      </c>
      <c r="R26" s="14">
        <v>352</v>
      </c>
      <c r="S26" s="35">
        <v>5.2</v>
      </c>
    </row>
    <row r="27" spans="1:20" x14ac:dyDescent="0.3">
      <c r="A27" s="305"/>
      <c r="B27" s="13" t="s">
        <v>194</v>
      </c>
      <c r="C27" s="96">
        <v>2358</v>
      </c>
      <c r="D27" s="95">
        <v>3.5</v>
      </c>
      <c r="E27" s="95">
        <v>1.1000000000000001</v>
      </c>
      <c r="F27" s="96">
        <v>2938</v>
      </c>
      <c r="G27" s="95">
        <v>3.7</v>
      </c>
      <c r="H27" s="95">
        <v>1.2</v>
      </c>
      <c r="I27" s="96">
        <v>3373</v>
      </c>
      <c r="J27" s="95">
        <v>3.6</v>
      </c>
      <c r="K27" s="95">
        <v>1.3</v>
      </c>
      <c r="L27" s="96">
        <v>4149</v>
      </c>
      <c r="M27" s="95">
        <v>4.2</v>
      </c>
      <c r="N27" s="95">
        <v>1.4</v>
      </c>
      <c r="O27" s="14">
        <v>4041</v>
      </c>
      <c r="P27" s="13">
        <v>3.9</v>
      </c>
      <c r="Q27" s="13">
        <v>1.3</v>
      </c>
      <c r="R27" s="13" t="s">
        <v>375</v>
      </c>
      <c r="S27" s="35" t="s">
        <v>381</v>
      </c>
    </row>
    <row r="28" spans="1:20" x14ac:dyDescent="0.3">
      <c r="A28" s="305"/>
      <c r="B28" s="13" t="s">
        <v>195</v>
      </c>
      <c r="C28" s="96">
        <v>2025</v>
      </c>
      <c r="D28" s="95">
        <v>3</v>
      </c>
      <c r="E28" s="95">
        <v>1</v>
      </c>
      <c r="F28" s="96">
        <v>2615</v>
      </c>
      <c r="G28" s="95">
        <v>3.3</v>
      </c>
      <c r="H28" s="95">
        <v>1.1000000000000001</v>
      </c>
      <c r="I28" s="96">
        <v>3094</v>
      </c>
      <c r="J28" s="95">
        <v>3.3</v>
      </c>
      <c r="K28" s="95">
        <v>1.2</v>
      </c>
      <c r="L28" s="96">
        <v>3407</v>
      </c>
      <c r="M28" s="95">
        <v>3.4</v>
      </c>
      <c r="N28" s="95">
        <v>1.2</v>
      </c>
      <c r="O28" s="14">
        <v>3737</v>
      </c>
      <c r="P28" s="13">
        <v>3.6</v>
      </c>
      <c r="Q28" s="13">
        <v>1.2</v>
      </c>
      <c r="R28" s="13">
        <v>330</v>
      </c>
      <c r="S28" s="35">
        <v>9.6999999999999993</v>
      </c>
      <c r="T28" s="86"/>
    </row>
    <row r="29" spans="1:20" x14ac:dyDescent="0.3">
      <c r="A29" s="305"/>
      <c r="B29" s="13" t="s">
        <v>196</v>
      </c>
      <c r="C29" s="96">
        <v>7716</v>
      </c>
      <c r="D29" s="95">
        <v>11.6</v>
      </c>
      <c r="E29" s="95">
        <v>3.7</v>
      </c>
      <c r="F29" s="96">
        <v>10495</v>
      </c>
      <c r="G29" s="95">
        <v>13.1</v>
      </c>
      <c r="H29" s="95">
        <v>4.4000000000000004</v>
      </c>
      <c r="I29" s="96">
        <v>11774</v>
      </c>
      <c r="J29" s="95">
        <v>12.7</v>
      </c>
      <c r="K29" s="95">
        <v>4.4000000000000004</v>
      </c>
      <c r="L29" s="96">
        <v>12154</v>
      </c>
      <c r="M29" s="95">
        <v>12.3</v>
      </c>
      <c r="N29" s="95">
        <v>4.2</v>
      </c>
      <c r="O29" s="14">
        <v>12594</v>
      </c>
      <c r="P29" s="13">
        <v>12.1</v>
      </c>
      <c r="Q29" s="13">
        <v>4.0999999999999996</v>
      </c>
      <c r="R29" s="14">
        <v>440</v>
      </c>
      <c r="S29" s="35">
        <v>3.6</v>
      </c>
    </row>
    <row r="30" spans="1:20" x14ac:dyDescent="0.3">
      <c r="A30" s="305"/>
      <c r="B30" s="27" t="s">
        <v>204</v>
      </c>
      <c r="C30" s="118">
        <v>3320</v>
      </c>
      <c r="D30" s="109">
        <v>5</v>
      </c>
      <c r="E30" s="109">
        <v>1.6</v>
      </c>
      <c r="F30" s="118">
        <v>4977</v>
      </c>
      <c r="G30" s="109">
        <v>6.2</v>
      </c>
      <c r="H30" s="109">
        <v>2.1</v>
      </c>
      <c r="I30" s="118">
        <v>6515</v>
      </c>
      <c r="J30" s="109">
        <v>7</v>
      </c>
      <c r="K30" s="109">
        <v>2.5</v>
      </c>
      <c r="L30" s="118">
        <v>6449</v>
      </c>
      <c r="M30" s="109">
        <v>6.5</v>
      </c>
      <c r="N30" s="109">
        <v>2.2000000000000002</v>
      </c>
      <c r="O30" s="16">
        <v>6172</v>
      </c>
      <c r="P30" s="27">
        <v>5.9</v>
      </c>
      <c r="Q30" s="27">
        <v>2</v>
      </c>
      <c r="R30" s="16" t="s">
        <v>485</v>
      </c>
      <c r="S30" s="38" t="s">
        <v>387</v>
      </c>
    </row>
    <row r="31" spans="1:20" x14ac:dyDescent="0.3">
      <c r="A31" s="305"/>
      <c r="B31" s="13" t="s">
        <v>197</v>
      </c>
      <c r="C31" s="96">
        <v>6311</v>
      </c>
      <c r="D31" s="95">
        <v>9.5</v>
      </c>
      <c r="E31" s="95">
        <v>3.1</v>
      </c>
      <c r="F31" s="96">
        <v>7956</v>
      </c>
      <c r="G31" s="95">
        <v>9.9</v>
      </c>
      <c r="H31" s="95">
        <v>3.3</v>
      </c>
      <c r="I31" s="96">
        <v>10305</v>
      </c>
      <c r="J31" s="95">
        <v>11.1</v>
      </c>
      <c r="K31" s="95">
        <v>3.9</v>
      </c>
      <c r="L31" s="96">
        <v>10978</v>
      </c>
      <c r="M31" s="95">
        <v>11.1</v>
      </c>
      <c r="N31" s="95">
        <v>3.8</v>
      </c>
      <c r="O31" s="14">
        <v>11575</v>
      </c>
      <c r="P31" s="13">
        <v>11.2</v>
      </c>
      <c r="Q31" s="13">
        <v>3.8</v>
      </c>
      <c r="R31" s="14">
        <v>597</v>
      </c>
      <c r="S31" s="35">
        <v>5.4</v>
      </c>
    </row>
    <row r="32" spans="1:20" x14ac:dyDescent="0.3">
      <c r="A32" s="305"/>
      <c r="B32" s="13" t="s">
        <v>198</v>
      </c>
      <c r="C32" s="96">
        <v>6123</v>
      </c>
      <c r="D32" s="95">
        <v>9.1999999999999993</v>
      </c>
      <c r="E32" s="95">
        <v>3</v>
      </c>
      <c r="F32" s="96">
        <v>7451</v>
      </c>
      <c r="G32" s="95">
        <v>9.3000000000000007</v>
      </c>
      <c r="H32" s="95">
        <v>3.1</v>
      </c>
      <c r="I32" s="96">
        <v>8817</v>
      </c>
      <c r="J32" s="95">
        <v>9.5</v>
      </c>
      <c r="K32" s="95">
        <v>3.3</v>
      </c>
      <c r="L32" s="96">
        <v>9698</v>
      </c>
      <c r="M32" s="95">
        <v>9.8000000000000007</v>
      </c>
      <c r="N32" s="95">
        <v>3.4</v>
      </c>
      <c r="O32" s="14">
        <v>10151</v>
      </c>
      <c r="P32" s="13">
        <v>9.8000000000000007</v>
      </c>
      <c r="Q32" s="13">
        <v>3.3</v>
      </c>
      <c r="R32" s="14">
        <v>453</v>
      </c>
      <c r="S32" s="35">
        <v>4.7</v>
      </c>
    </row>
    <row r="33" spans="1:19" x14ac:dyDescent="0.3">
      <c r="A33" s="305"/>
      <c r="B33" s="13" t="s">
        <v>199</v>
      </c>
      <c r="C33" s="95">
        <v>741</v>
      </c>
      <c r="D33" s="95">
        <v>1.1000000000000001</v>
      </c>
      <c r="E33" s="95">
        <v>0.4</v>
      </c>
      <c r="F33" s="95">
        <v>1086</v>
      </c>
      <c r="G33" s="95">
        <v>1.4</v>
      </c>
      <c r="H33" s="95">
        <v>0.5</v>
      </c>
      <c r="I33" s="96">
        <v>1257</v>
      </c>
      <c r="J33" s="95">
        <v>1.4</v>
      </c>
      <c r="K33" s="95">
        <v>0.5</v>
      </c>
      <c r="L33" s="96">
        <v>1106</v>
      </c>
      <c r="M33" s="95">
        <v>1.1000000000000001</v>
      </c>
      <c r="N33" s="95">
        <v>0.4</v>
      </c>
      <c r="O33" s="14">
        <v>1153</v>
      </c>
      <c r="P33" s="13">
        <v>1.1000000000000001</v>
      </c>
      <c r="Q33" s="13">
        <v>0.4</v>
      </c>
      <c r="R33" s="13">
        <v>47</v>
      </c>
      <c r="S33" s="35">
        <v>4.2</v>
      </c>
    </row>
    <row r="34" spans="1:19" x14ac:dyDescent="0.3">
      <c r="A34" s="305"/>
      <c r="B34" s="27" t="s">
        <v>206</v>
      </c>
      <c r="C34" s="109">
        <v>515</v>
      </c>
      <c r="D34" s="109">
        <v>0.8</v>
      </c>
      <c r="E34" s="109">
        <v>0.2</v>
      </c>
      <c r="F34" s="109">
        <v>557</v>
      </c>
      <c r="G34" s="109">
        <v>0.7</v>
      </c>
      <c r="H34" s="109">
        <v>0.2</v>
      </c>
      <c r="I34" s="109">
        <v>655</v>
      </c>
      <c r="J34" s="109">
        <v>0.7</v>
      </c>
      <c r="K34" s="109">
        <v>0.2</v>
      </c>
      <c r="L34" s="109">
        <v>706</v>
      </c>
      <c r="M34" s="109">
        <v>0.7</v>
      </c>
      <c r="N34" s="109">
        <v>0.2</v>
      </c>
      <c r="O34" s="27">
        <v>874</v>
      </c>
      <c r="P34" s="27">
        <v>0.8</v>
      </c>
      <c r="Q34" s="27">
        <v>0.3</v>
      </c>
      <c r="R34" s="27">
        <v>168</v>
      </c>
      <c r="S34" s="38">
        <v>23.8</v>
      </c>
    </row>
    <row r="35" spans="1:19" x14ac:dyDescent="0.3">
      <c r="A35" s="305"/>
      <c r="B35" s="13" t="s">
        <v>178</v>
      </c>
      <c r="C35" s="96">
        <v>2610</v>
      </c>
      <c r="D35" s="95">
        <v>3.9</v>
      </c>
      <c r="E35" s="95">
        <v>1.3</v>
      </c>
      <c r="F35" s="96">
        <v>2979</v>
      </c>
      <c r="G35" s="95">
        <v>3.7</v>
      </c>
      <c r="H35" s="95">
        <v>1.2</v>
      </c>
      <c r="I35" s="96">
        <v>3404</v>
      </c>
      <c r="J35" s="95">
        <v>3.7</v>
      </c>
      <c r="K35" s="95">
        <v>1.3</v>
      </c>
      <c r="L35" s="96">
        <v>3023</v>
      </c>
      <c r="M35" s="95">
        <v>3</v>
      </c>
      <c r="N35" s="95">
        <v>1.1000000000000001</v>
      </c>
      <c r="O35" s="14">
        <v>2878</v>
      </c>
      <c r="P35" s="13">
        <v>2.8</v>
      </c>
      <c r="Q35" s="13">
        <v>0.9</v>
      </c>
      <c r="R35" s="13" t="s">
        <v>486</v>
      </c>
      <c r="S35" s="35" t="s">
        <v>441</v>
      </c>
    </row>
    <row r="36" spans="1:19" x14ac:dyDescent="0.3">
      <c r="A36" s="305"/>
      <c r="B36" s="13" t="s">
        <v>200</v>
      </c>
      <c r="C36" s="96">
        <v>2200</v>
      </c>
      <c r="D36" s="95">
        <v>3.3</v>
      </c>
      <c r="E36" s="95">
        <v>1.1000000000000001</v>
      </c>
      <c r="F36" s="96">
        <v>2568</v>
      </c>
      <c r="G36" s="95">
        <v>3.2</v>
      </c>
      <c r="H36" s="95">
        <v>1.1000000000000001</v>
      </c>
      <c r="I36" s="96">
        <v>2816</v>
      </c>
      <c r="J36" s="95">
        <v>3</v>
      </c>
      <c r="K36" s="95">
        <v>1.1000000000000001</v>
      </c>
      <c r="L36" s="96">
        <v>2939</v>
      </c>
      <c r="M36" s="95">
        <v>3</v>
      </c>
      <c r="N36" s="95">
        <v>1</v>
      </c>
      <c r="O36" s="14">
        <v>3241</v>
      </c>
      <c r="P36" s="13">
        <v>3.1</v>
      </c>
      <c r="Q36" s="13">
        <v>1.1000000000000001</v>
      </c>
      <c r="R36" s="13">
        <v>302</v>
      </c>
      <c r="S36" s="35">
        <v>10.3</v>
      </c>
    </row>
    <row r="37" spans="1:19" x14ac:dyDescent="0.3">
      <c r="A37" s="305"/>
      <c r="B37" s="13" t="s">
        <v>201</v>
      </c>
      <c r="C37" s="96">
        <v>3553</v>
      </c>
      <c r="D37" s="95">
        <v>5.3</v>
      </c>
      <c r="E37" s="95">
        <v>1.7</v>
      </c>
      <c r="F37" s="96">
        <v>4992</v>
      </c>
      <c r="G37" s="95">
        <v>6.2</v>
      </c>
      <c r="H37" s="95">
        <v>2.1</v>
      </c>
      <c r="I37" s="96">
        <v>5684</v>
      </c>
      <c r="J37" s="95">
        <v>6.1</v>
      </c>
      <c r="K37" s="95">
        <v>2.1</v>
      </c>
      <c r="L37" s="96">
        <v>6876</v>
      </c>
      <c r="M37" s="95">
        <v>6.9</v>
      </c>
      <c r="N37" s="95">
        <v>2.4</v>
      </c>
      <c r="O37" s="14">
        <v>9435</v>
      </c>
      <c r="P37" s="13">
        <v>9.1</v>
      </c>
      <c r="Q37" s="13">
        <v>3.1</v>
      </c>
      <c r="R37" s="13">
        <v>2559</v>
      </c>
      <c r="S37" s="35">
        <v>37.200000000000003</v>
      </c>
    </row>
    <row r="38" spans="1:19" x14ac:dyDescent="0.3">
      <c r="A38" s="305"/>
      <c r="B38" s="13" t="s">
        <v>179</v>
      </c>
      <c r="C38" s="95">
        <v>381</v>
      </c>
      <c r="D38" s="95">
        <v>0.6</v>
      </c>
      <c r="E38" s="95">
        <v>0.2</v>
      </c>
      <c r="F38" s="95">
        <v>398</v>
      </c>
      <c r="G38" s="95">
        <v>0.5</v>
      </c>
      <c r="H38" s="95">
        <v>0.2</v>
      </c>
      <c r="I38" s="95">
        <v>536</v>
      </c>
      <c r="J38" s="95">
        <v>0.6</v>
      </c>
      <c r="K38" s="95">
        <v>0.2</v>
      </c>
      <c r="L38" s="95">
        <v>648</v>
      </c>
      <c r="M38" s="95">
        <v>0.7</v>
      </c>
      <c r="N38" s="95">
        <v>0.2</v>
      </c>
      <c r="O38" s="13">
        <v>729</v>
      </c>
      <c r="P38" s="13">
        <v>0.7</v>
      </c>
      <c r="Q38" s="13">
        <v>0.2</v>
      </c>
      <c r="R38" s="13">
        <v>81</v>
      </c>
      <c r="S38" s="35">
        <v>12.5</v>
      </c>
    </row>
    <row r="39" spans="1:19" x14ac:dyDescent="0.3">
      <c r="A39" s="305"/>
      <c r="B39" s="13" t="s">
        <v>180</v>
      </c>
      <c r="C39" s="96">
        <v>1555</v>
      </c>
      <c r="D39" s="95">
        <v>2.2999999999999998</v>
      </c>
      <c r="E39" s="95">
        <v>0.8</v>
      </c>
      <c r="F39" s="96">
        <v>1919</v>
      </c>
      <c r="G39" s="95">
        <v>2.4</v>
      </c>
      <c r="H39" s="95">
        <v>0.8</v>
      </c>
      <c r="I39" s="96">
        <v>2167</v>
      </c>
      <c r="J39" s="95">
        <v>2.2999999999999998</v>
      </c>
      <c r="K39" s="95">
        <v>0.8</v>
      </c>
      <c r="L39" s="96">
        <v>2400</v>
      </c>
      <c r="M39" s="95">
        <v>2.4</v>
      </c>
      <c r="N39" s="95">
        <v>0.8</v>
      </c>
      <c r="O39" s="14">
        <v>3066</v>
      </c>
      <c r="P39" s="13">
        <v>3</v>
      </c>
      <c r="Q39" s="13">
        <v>1</v>
      </c>
      <c r="R39" s="13">
        <v>666</v>
      </c>
      <c r="S39" s="35">
        <v>27.8</v>
      </c>
    </row>
    <row r="40" spans="1:19" x14ac:dyDescent="0.3">
      <c r="A40" s="305"/>
      <c r="B40" s="27" t="s">
        <v>205</v>
      </c>
      <c r="C40" s="109">
        <v>375</v>
      </c>
      <c r="D40" s="109">
        <v>0.6</v>
      </c>
      <c r="E40" s="109">
        <v>0.2</v>
      </c>
      <c r="F40" s="109">
        <v>447</v>
      </c>
      <c r="G40" s="109">
        <v>0.6</v>
      </c>
      <c r="H40" s="109">
        <v>0.2</v>
      </c>
      <c r="I40" s="109">
        <v>508</v>
      </c>
      <c r="J40" s="109">
        <v>0.5</v>
      </c>
      <c r="K40" s="109">
        <v>0.2</v>
      </c>
      <c r="L40" s="109">
        <v>548</v>
      </c>
      <c r="M40" s="109">
        <v>0.6</v>
      </c>
      <c r="N40" s="109">
        <v>0.2</v>
      </c>
      <c r="O40" s="27">
        <v>592</v>
      </c>
      <c r="P40" s="27">
        <v>0.6</v>
      </c>
      <c r="Q40" s="27">
        <v>0.2</v>
      </c>
      <c r="R40" s="27">
        <v>44</v>
      </c>
      <c r="S40" s="38">
        <v>8</v>
      </c>
    </row>
    <row r="41" spans="1:19" x14ac:dyDescent="0.3">
      <c r="A41" s="305"/>
      <c r="B41" s="13" t="s">
        <v>181</v>
      </c>
      <c r="C41" s="96">
        <v>10924</v>
      </c>
      <c r="D41" s="95">
        <v>16.399999999999999</v>
      </c>
      <c r="E41" s="95">
        <v>5.3</v>
      </c>
      <c r="F41" s="96">
        <v>10526</v>
      </c>
      <c r="G41" s="95">
        <v>13.1</v>
      </c>
      <c r="H41" s="95">
        <v>4.4000000000000004</v>
      </c>
      <c r="I41" s="96">
        <v>11121</v>
      </c>
      <c r="J41" s="95">
        <v>12</v>
      </c>
      <c r="K41" s="95">
        <v>4.2</v>
      </c>
      <c r="L41" s="96">
        <v>12004</v>
      </c>
      <c r="M41" s="95">
        <v>12.1</v>
      </c>
      <c r="N41" s="95">
        <v>4.2</v>
      </c>
      <c r="O41" s="14">
        <v>10308</v>
      </c>
      <c r="P41" s="13">
        <v>9.9</v>
      </c>
      <c r="Q41" s="13">
        <v>3.4</v>
      </c>
      <c r="R41" s="13" t="s">
        <v>487</v>
      </c>
      <c r="S41" s="35" t="s">
        <v>488</v>
      </c>
    </row>
    <row r="42" spans="1:19" x14ac:dyDescent="0.3">
      <c r="A42" s="306"/>
      <c r="B42" s="13" t="s">
        <v>110</v>
      </c>
      <c r="C42" s="96">
        <v>66660</v>
      </c>
      <c r="D42" s="95">
        <v>100</v>
      </c>
      <c r="E42" s="95">
        <v>32.299999999999997</v>
      </c>
      <c r="F42" s="96">
        <v>80064</v>
      </c>
      <c r="G42" s="95">
        <v>100</v>
      </c>
      <c r="H42" s="95">
        <v>33.5</v>
      </c>
      <c r="I42" s="96">
        <v>92896</v>
      </c>
      <c r="J42" s="95">
        <v>100</v>
      </c>
      <c r="K42" s="95">
        <v>35</v>
      </c>
      <c r="L42" s="96">
        <v>99130</v>
      </c>
      <c r="M42" s="95">
        <v>100</v>
      </c>
      <c r="N42" s="95">
        <v>34.6</v>
      </c>
      <c r="O42" s="14">
        <v>103751</v>
      </c>
      <c r="P42" s="13">
        <v>100</v>
      </c>
      <c r="Q42" s="13">
        <v>33.9</v>
      </c>
      <c r="R42" s="14">
        <v>4621</v>
      </c>
      <c r="S42" s="35">
        <v>4.7</v>
      </c>
    </row>
    <row r="43" spans="1:19" x14ac:dyDescent="0.3">
      <c r="A43" s="321" t="s">
        <v>86</v>
      </c>
      <c r="B43" s="322"/>
      <c r="C43" s="98">
        <v>206254</v>
      </c>
      <c r="D43" s="97"/>
      <c r="E43" s="97">
        <v>100</v>
      </c>
      <c r="F43" s="98">
        <v>238803</v>
      </c>
      <c r="G43" s="97"/>
      <c r="H43" s="97">
        <v>100</v>
      </c>
      <c r="I43" s="98">
        <v>265791</v>
      </c>
      <c r="J43" s="97"/>
      <c r="K43" s="97">
        <v>100</v>
      </c>
      <c r="L43" s="98">
        <v>286782</v>
      </c>
      <c r="M43" s="97"/>
      <c r="N43" s="97">
        <v>100</v>
      </c>
      <c r="O43" s="31">
        <v>305731</v>
      </c>
      <c r="P43" s="29"/>
      <c r="Q43" s="29">
        <v>100</v>
      </c>
      <c r="R43" s="31">
        <v>18949</v>
      </c>
      <c r="S43" s="73">
        <v>6.6</v>
      </c>
    </row>
    <row r="45" spans="1:19" x14ac:dyDescent="0.3">
      <c r="A45" t="s">
        <v>1346</v>
      </c>
    </row>
    <row r="46" spans="1:19" x14ac:dyDescent="0.3">
      <c r="C46" s="90"/>
      <c r="D46" s="90"/>
      <c r="E46" s="90"/>
      <c r="F46" s="90"/>
      <c r="G46" s="90"/>
      <c r="H46" s="90"/>
      <c r="I46" s="90"/>
      <c r="J46" s="90"/>
      <c r="K46" s="90"/>
      <c r="M46" s="90"/>
      <c r="N46" s="90"/>
      <c r="P46" s="90"/>
      <c r="Q46" s="90"/>
      <c r="R46" s="90"/>
      <c r="S46" s="90"/>
    </row>
    <row r="47" spans="1:19" x14ac:dyDescent="0.3"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 x14ac:dyDescent="0.3"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3:19" x14ac:dyDescent="0.3"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3:19" x14ac:dyDescent="0.3"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3:19" x14ac:dyDescent="0.3"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3:19" x14ac:dyDescent="0.3"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3:19" x14ac:dyDescent="0.3"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</row>
    <row r="54" spans="3:19" x14ac:dyDescent="0.3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3:19" x14ac:dyDescent="0.3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3:19" x14ac:dyDescent="0.3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</row>
    <row r="57" spans="3:19" x14ac:dyDescent="0.3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3:19" x14ac:dyDescent="0.3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3:19" x14ac:dyDescent="0.3"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3:19" x14ac:dyDescent="0.3"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3:19" x14ac:dyDescent="0.3"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3:19" x14ac:dyDescent="0.3"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3:19" x14ac:dyDescent="0.3"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</row>
    <row r="64" spans="3:19" x14ac:dyDescent="0.3"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3:19" x14ac:dyDescent="0.3"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3:19" x14ac:dyDescent="0.3"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spans="3:19" x14ac:dyDescent="0.3"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3:19" x14ac:dyDescent="0.3"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3:19" x14ac:dyDescent="0.3"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</row>
    <row r="70" spans="3:19" x14ac:dyDescent="0.3"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3:19" x14ac:dyDescent="0.3"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3:19" x14ac:dyDescent="0.3"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spans="3:19" x14ac:dyDescent="0.3"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</row>
    <row r="74" spans="3:19" x14ac:dyDescent="0.3"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3:19" x14ac:dyDescent="0.3"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</row>
    <row r="76" spans="3:19" x14ac:dyDescent="0.3"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3:19" x14ac:dyDescent="0.3"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</row>
    <row r="78" spans="3:19" x14ac:dyDescent="0.3"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</row>
    <row r="79" spans="3:19" x14ac:dyDescent="0.3"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3:19" x14ac:dyDescent="0.3"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</row>
    <row r="81" spans="3:19" x14ac:dyDescent="0.3"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4" spans="3:19" x14ac:dyDescent="0.3"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</row>
    <row r="85" spans="3:19" x14ac:dyDescent="0.3"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</row>
    <row r="86" spans="3:19" x14ac:dyDescent="0.3"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</row>
    <row r="87" spans="3:19" x14ac:dyDescent="0.3"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</row>
    <row r="88" spans="3:19" x14ac:dyDescent="0.3"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</row>
    <row r="89" spans="3:19" x14ac:dyDescent="0.3"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</row>
    <row r="90" spans="3:19" x14ac:dyDescent="0.3"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</row>
    <row r="91" spans="3:19" x14ac:dyDescent="0.3"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</row>
    <row r="92" spans="3:19" x14ac:dyDescent="0.3"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</row>
    <row r="93" spans="3:19" x14ac:dyDescent="0.3"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</row>
    <row r="94" spans="3:19" x14ac:dyDescent="0.3"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</row>
    <row r="95" spans="3:19" x14ac:dyDescent="0.3"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</row>
    <row r="96" spans="3:19" x14ac:dyDescent="0.3"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</row>
    <row r="97" spans="3:19" x14ac:dyDescent="0.3"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</row>
    <row r="98" spans="3:19" x14ac:dyDescent="0.3"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</row>
    <row r="99" spans="3:19" x14ac:dyDescent="0.3"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</row>
    <row r="100" spans="3:19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</row>
    <row r="101" spans="3:19" x14ac:dyDescent="0.3"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</row>
    <row r="102" spans="3:19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</row>
    <row r="103" spans="3:19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</row>
    <row r="104" spans="3:19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</row>
    <row r="105" spans="3:19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</row>
    <row r="106" spans="3:19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</row>
    <row r="107" spans="3:19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</row>
    <row r="108" spans="3:19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</row>
    <row r="109" spans="3:19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</row>
    <row r="110" spans="3:19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</row>
    <row r="111" spans="3:19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</row>
    <row r="112" spans="3:19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</row>
    <row r="113" spans="3:19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</row>
    <row r="114" spans="3:19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</row>
    <row r="115" spans="3:19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</row>
    <row r="116" spans="3:19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</row>
    <row r="117" spans="3:19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</row>
    <row r="118" spans="3:19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</row>
    <row r="119" spans="3:19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</row>
    <row r="120" spans="3:19" x14ac:dyDescent="0.3">
      <c r="C120" s="86"/>
    </row>
    <row r="121" spans="3:19" x14ac:dyDescent="0.3">
      <c r="C121" s="86"/>
    </row>
  </sheetData>
  <mergeCells count="13">
    <mergeCell ref="A8:A21"/>
    <mergeCell ref="A22:A42"/>
    <mergeCell ref="A43:B43"/>
    <mergeCell ref="O4:Q4"/>
    <mergeCell ref="R4:S4"/>
    <mergeCell ref="R5:R7"/>
    <mergeCell ref="S5:S7"/>
    <mergeCell ref="A4:A7"/>
    <mergeCell ref="B4:B7"/>
    <mergeCell ref="L4:N4"/>
    <mergeCell ref="I4:K4"/>
    <mergeCell ref="F4:H4"/>
    <mergeCell ref="C4:E4"/>
  </mergeCells>
  <phoneticPr fontId="1" type="noConversion"/>
  <hyperlinks>
    <hyperlink ref="E1" location="목차!A1" display="목차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4.9989318521683403E-2"/>
  </sheetPr>
  <dimension ref="A1:N54"/>
  <sheetViews>
    <sheetView zoomScale="85" zoomScaleNormal="85" workbookViewId="0">
      <selection activeCell="C6" sqref="C6:N19"/>
    </sheetView>
  </sheetViews>
  <sheetFormatPr defaultRowHeight="16.5" x14ac:dyDescent="0.3"/>
  <cols>
    <col min="1" max="1" width="11.125" customWidth="1"/>
    <col min="2" max="2" width="33.25" customWidth="1"/>
  </cols>
  <sheetData>
    <row r="1" spans="1:14" ht="17.25" x14ac:dyDescent="0.3">
      <c r="A1" s="7" t="s">
        <v>414</v>
      </c>
      <c r="B1" s="2"/>
      <c r="C1" s="2"/>
      <c r="D1" s="2"/>
      <c r="E1" s="2"/>
      <c r="G1" s="72" t="s">
        <v>367</v>
      </c>
    </row>
    <row r="3" spans="1:14" x14ac:dyDescent="0.3">
      <c r="N3" s="5" t="s">
        <v>87</v>
      </c>
    </row>
    <row r="4" spans="1:14" ht="17.25" thickBot="1" x14ac:dyDescent="0.35">
      <c r="A4" s="313" t="s">
        <v>0</v>
      </c>
      <c r="B4" s="311" t="s">
        <v>213</v>
      </c>
      <c r="C4" s="318" t="s">
        <v>373</v>
      </c>
      <c r="D4" s="320"/>
      <c r="E4" s="318" t="s">
        <v>374</v>
      </c>
      <c r="F4" s="320"/>
      <c r="G4" s="318" t="s">
        <v>370</v>
      </c>
      <c r="H4" s="320"/>
      <c r="I4" s="318" t="s">
        <v>369</v>
      </c>
      <c r="J4" s="320"/>
      <c r="K4" s="318" t="s">
        <v>402</v>
      </c>
      <c r="L4" s="320"/>
      <c r="M4" s="318" t="s">
        <v>32</v>
      </c>
      <c r="N4" s="319"/>
    </row>
    <row r="5" spans="1:14" ht="17.25" thickTop="1" x14ac:dyDescent="0.3">
      <c r="A5" s="313"/>
      <c r="B5" s="311"/>
      <c r="C5" s="120" t="s">
        <v>77</v>
      </c>
      <c r="D5" s="120" t="s">
        <v>36</v>
      </c>
      <c r="E5" s="120" t="s">
        <v>77</v>
      </c>
      <c r="F5" s="120" t="s">
        <v>36</v>
      </c>
      <c r="G5" s="120" t="s">
        <v>73</v>
      </c>
      <c r="H5" s="120" t="s">
        <v>36</v>
      </c>
      <c r="I5" s="120" t="s">
        <v>74</v>
      </c>
      <c r="J5" s="120" t="s">
        <v>36</v>
      </c>
      <c r="K5" s="59" t="s">
        <v>74</v>
      </c>
      <c r="L5" s="59" t="s">
        <v>36</v>
      </c>
      <c r="M5" s="59" t="s">
        <v>37</v>
      </c>
      <c r="N5" s="60" t="s">
        <v>38</v>
      </c>
    </row>
    <row r="6" spans="1:14" x14ac:dyDescent="0.3">
      <c r="A6" s="305" t="s">
        <v>215</v>
      </c>
      <c r="B6" s="28" t="s">
        <v>174</v>
      </c>
      <c r="C6" s="119">
        <v>2407</v>
      </c>
      <c r="D6" s="110">
        <v>1.2</v>
      </c>
      <c r="E6" s="119">
        <v>2140</v>
      </c>
      <c r="F6" s="110">
        <v>0.9</v>
      </c>
      <c r="G6" s="119">
        <v>2522</v>
      </c>
      <c r="H6" s="110">
        <v>0.9</v>
      </c>
      <c r="I6" s="119">
        <v>2230</v>
      </c>
      <c r="J6" s="110">
        <v>0.8</v>
      </c>
      <c r="K6" s="12">
        <v>2907</v>
      </c>
      <c r="L6" s="28">
        <v>1</v>
      </c>
      <c r="M6" s="28">
        <v>677</v>
      </c>
      <c r="N6" s="37">
        <v>30.4</v>
      </c>
    </row>
    <row r="7" spans="1:14" x14ac:dyDescent="0.3">
      <c r="A7" s="305"/>
      <c r="B7" s="13" t="s">
        <v>150</v>
      </c>
      <c r="C7" s="96">
        <v>6308</v>
      </c>
      <c r="D7" s="95">
        <v>3.1</v>
      </c>
      <c r="E7" s="96">
        <v>7577</v>
      </c>
      <c r="F7" s="95">
        <v>3.2</v>
      </c>
      <c r="G7" s="96">
        <v>8774</v>
      </c>
      <c r="H7" s="95">
        <v>3.3</v>
      </c>
      <c r="I7" s="96">
        <v>9382</v>
      </c>
      <c r="J7" s="95">
        <v>3.3</v>
      </c>
      <c r="K7" s="14">
        <v>9707</v>
      </c>
      <c r="L7" s="13">
        <v>3.2</v>
      </c>
      <c r="M7" s="14">
        <v>325</v>
      </c>
      <c r="N7" s="35">
        <v>3.5</v>
      </c>
    </row>
    <row r="8" spans="1:14" x14ac:dyDescent="0.3">
      <c r="A8" s="306"/>
      <c r="B8" s="13" t="s">
        <v>170</v>
      </c>
      <c r="C8" s="96">
        <v>17841</v>
      </c>
      <c r="D8" s="95">
        <v>8.6999999999999993</v>
      </c>
      <c r="E8" s="96">
        <v>19926</v>
      </c>
      <c r="F8" s="95">
        <v>8.3000000000000007</v>
      </c>
      <c r="G8" s="96">
        <v>22877</v>
      </c>
      <c r="H8" s="95">
        <v>8.6</v>
      </c>
      <c r="I8" s="96">
        <v>24664</v>
      </c>
      <c r="J8" s="95">
        <v>8.6</v>
      </c>
      <c r="K8" s="14">
        <v>23758</v>
      </c>
      <c r="L8" s="13">
        <v>7.8</v>
      </c>
      <c r="M8" s="14" t="s">
        <v>489</v>
      </c>
      <c r="N8" s="35" t="s">
        <v>379</v>
      </c>
    </row>
    <row r="9" spans="1:14" x14ac:dyDescent="0.3">
      <c r="A9" s="304" t="s">
        <v>216</v>
      </c>
      <c r="B9" s="13" t="s">
        <v>172</v>
      </c>
      <c r="C9" s="96">
        <v>11606</v>
      </c>
      <c r="D9" s="95">
        <v>5.6</v>
      </c>
      <c r="E9" s="96">
        <v>12585</v>
      </c>
      <c r="F9" s="95">
        <v>5.3</v>
      </c>
      <c r="G9" s="96">
        <v>14518</v>
      </c>
      <c r="H9" s="95">
        <v>5.5</v>
      </c>
      <c r="I9" s="96">
        <v>14277</v>
      </c>
      <c r="J9" s="95">
        <v>5</v>
      </c>
      <c r="K9" s="14">
        <v>17300</v>
      </c>
      <c r="L9" s="13">
        <v>5.7</v>
      </c>
      <c r="M9" s="14">
        <v>3023</v>
      </c>
      <c r="N9" s="35">
        <v>21.2</v>
      </c>
    </row>
    <row r="10" spans="1:14" x14ac:dyDescent="0.3">
      <c r="A10" s="305"/>
      <c r="B10" s="13" t="s">
        <v>207</v>
      </c>
      <c r="C10" s="96">
        <v>10441</v>
      </c>
      <c r="D10" s="95">
        <v>5.0999999999999996</v>
      </c>
      <c r="E10" s="96">
        <v>11051</v>
      </c>
      <c r="F10" s="95">
        <v>4.5999999999999996</v>
      </c>
      <c r="G10" s="96">
        <v>12403</v>
      </c>
      <c r="H10" s="95">
        <v>4.7</v>
      </c>
      <c r="I10" s="96">
        <v>12965</v>
      </c>
      <c r="J10" s="95">
        <v>4.5</v>
      </c>
      <c r="K10" s="14">
        <v>14349</v>
      </c>
      <c r="L10" s="13">
        <v>4.7</v>
      </c>
      <c r="M10" s="14">
        <v>1384</v>
      </c>
      <c r="N10" s="35">
        <v>10.7</v>
      </c>
    </row>
    <row r="11" spans="1:14" x14ac:dyDescent="0.3">
      <c r="A11" s="305"/>
      <c r="B11" s="13" t="s">
        <v>208</v>
      </c>
      <c r="C11" s="96">
        <v>55076</v>
      </c>
      <c r="D11" s="95">
        <v>26.7</v>
      </c>
      <c r="E11" s="96">
        <v>67724</v>
      </c>
      <c r="F11" s="95">
        <v>28.4</v>
      </c>
      <c r="G11" s="96">
        <v>78949</v>
      </c>
      <c r="H11" s="95">
        <v>29.7</v>
      </c>
      <c r="I11" s="96">
        <v>83982</v>
      </c>
      <c r="J11" s="95">
        <v>29.3</v>
      </c>
      <c r="K11" s="14">
        <v>87634</v>
      </c>
      <c r="L11" s="13">
        <v>28.7</v>
      </c>
      <c r="M11" s="14">
        <v>3652</v>
      </c>
      <c r="N11" s="35">
        <v>4.3</v>
      </c>
    </row>
    <row r="12" spans="1:14" x14ac:dyDescent="0.3">
      <c r="A12" s="306"/>
      <c r="B12" s="27" t="s">
        <v>214</v>
      </c>
      <c r="C12" s="118">
        <v>6728</v>
      </c>
      <c r="D12" s="109">
        <v>3.3</v>
      </c>
      <c r="E12" s="118">
        <v>8448</v>
      </c>
      <c r="F12" s="109">
        <v>3.5</v>
      </c>
      <c r="G12" s="118">
        <v>10616</v>
      </c>
      <c r="H12" s="109">
        <v>4</v>
      </c>
      <c r="I12" s="118">
        <v>12136</v>
      </c>
      <c r="J12" s="109">
        <v>4.2</v>
      </c>
      <c r="K12" s="16">
        <v>12018</v>
      </c>
      <c r="L12" s="27">
        <v>3.9</v>
      </c>
      <c r="M12" s="16" t="s">
        <v>490</v>
      </c>
      <c r="N12" s="38" t="s">
        <v>439</v>
      </c>
    </row>
    <row r="13" spans="1:14" x14ac:dyDescent="0.3">
      <c r="A13" s="36" t="s">
        <v>209</v>
      </c>
      <c r="B13" s="13" t="s">
        <v>173</v>
      </c>
      <c r="C13" s="96">
        <v>3791</v>
      </c>
      <c r="D13" s="95">
        <v>1.8</v>
      </c>
      <c r="E13" s="96">
        <v>3942</v>
      </c>
      <c r="F13" s="95">
        <v>1.7</v>
      </c>
      <c r="G13" s="96">
        <v>4188</v>
      </c>
      <c r="H13" s="95">
        <v>1.6</v>
      </c>
      <c r="I13" s="96">
        <v>5599</v>
      </c>
      <c r="J13" s="95">
        <v>2</v>
      </c>
      <c r="K13" s="14">
        <v>7407</v>
      </c>
      <c r="L13" s="13">
        <v>2.4</v>
      </c>
      <c r="M13" s="13">
        <v>1808</v>
      </c>
      <c r="N13" s="35">
        <v>32.299999999999997</v>
      </c>
    </row>
    <row r="14" spans="1:14" x14ac:dyDescent="0.3">
      <c r="A14" s="304" t="s">
        <v>218</v>
      </c>
      <c r="B14" s="13" t="s">
        <v>210</v>
      </c>
      <c r="C14" s="96">
        <v>9346</v>
      </c>
      <c r="D14" s="95">
        <v>4.5</v>
      </c>
      <c r="E14" s="96">
        <v>10186</v>
      </c>
      <c r="F14" s="95">
        <v>4.3</v>
      </c>
      <c r="G14" s="96">
        <v>11468</v>
      </c>
      <c r="H14" s="95">
        <v>4.3</v>
      </c>
      <c r="I14" s="96">
        <v>12641</v>
      </c>
      <c r="J14" s="95">
        <v>4.4000000000000004</v>
      </c>
      <c r="K14" s="14">
        <v>14368</v>
      </c>
      <c r="L14" s="13">
        <v>4.7</v>
      </c>
      <c r="M14" s="14">
        <v>1727</v>
      </c>
      <c r="N14" s="35">
        <v>13.7</v>
      </c>
    </row>
    <row r="15" spans="1:14" x14ac:dyDescent="0.3">
      <c r="A15" s="306"/>
      <c r="B15" s="13" t="s">
        <v>171</v>
      </c>
      <c r="C15" s="96">
        <v>4774</v>
      </c>
      <c r="D15" s="95">
        <v>2.2999999999999998</v>
      </c>
      <c r="E15" s="96">
        <v>5428</v>
      </c>
      <c r="F15" s="95">
        <v>2.2999999999999998</v>
      </c>
      <c r="G15" s="96">
        <v>5929</v>
      </c>
      <c r="H15" s="95">
        <v>2.2000000000000002</v>
      </c>
      <c r="I15" s="96">
        <v>6231</v>
      </c>
      <c r="J15" s="95">
        <v>2.2000000000000002</v>
      </c>
      <c r="K15" s="14">
        <v>6049</v>
      </c>
      <c r="L15" s="13">
        <v>2</v>
      </c>
      <c r="M15" s="13" t="s">
        <v>491</v>
      </c>
      <c r="N15" s="35" t="s">
        <v>382</v>
      </c>
    </row>
    <row r="16" spans="1:14" x14ac:dyDescent="0.3">
      <c r="A16" s="304" t="s">
        <v>217</v>
      </c>
      <c r="B16" s="13" t="s">
        <v>211</v>
      </c>
      <c r="C16" s="96">
        <v>17710</v>
      </c>
      <c r="D16" s="95">
        <v>8.6</v>
      </c>
      <c r="E16" s="96">
        <v>19823</v>
      </c>
      <c r="F16" s="95">
        <v>8.3000000000000007</v>
      </c>
      <c r="G16" s="96">
        <v>22167</v>
      </c>
      <c r="H16" s="95">
        <v>8.3000000000000007</v>
      </c>
      <c r="I16" s="96">
        <v>23003</v>
      </c>
      <c r="J16" s="95">
        <v>8</v>
      </c>
      <c r="K16" s="14">
        <v>24293</v>
      </c>
      <c r="L16" s="13">
        <v>7.9</v>
      </c>
      <c r="M16" s="14">
        <v>1290</v>
      </c>
      <c r="N16" s="35">
        <v>5.6</v>
      </c>
    </row>
    <row r="17" spans="1:14" x14ac:dyDescent="0.3">
      <c r="A17" s="306"/>
      <c r="B17" s="13" t="s">
        <v>85</v>
      </c>
      <c r="C17" s="96">
        <v>26624</v>
      </c>
      <c r="D17" s="95">
        <v>12.9</v>
      </c>
      <c r="E17" s="96">
        <v>30276</v>
      </c>
      <c r="F17" s="95">
        <v>12.7</v>
      </c>
      <c r="G17" s="96">
        <v>29783</v>
      </c>
      <c r="H17" s="95">
        <v>11.2</v>
      </c>
      <c r="I17" s="96">
        <v>35732</v>
      </c>
      <c r="J17" s="95">
        <v>12.5</v>
      </c>
      <c r="K17" s="14">
        <v>37213</v>
      </c>
      <c r="L17" s="13">
        <v>12.2</v>
      </c>
      <c r="M17" s="13">
        <v>1481</v>
      </c>
      <c r="N17" s="35">
        <v>4.0999999999999996</v>
      </c>
    </row>
    <row r="18" spans="1:14" x14ac:dyDescent="0.3">
      <c r="A18" s="36" t="s">
        <v>166</v>
      </c>
      <c r="B18" s="13" t="s">
        <v>166</v>
      </c>
      <c r="C18" s="96">
        <v>33601</v>
      </c>
      <c r="D18" s="95">
        <v>16.3</v>
      </c>
      <c r="E18" s="96">
        <v>39698</v>
      </c>
      <c r="F18" s="95">
        <v>16.600000000000001</v>
      </c>
      <c r="G18" s="96">
        <v>41595</v>
      </c>
      <c r="H18" s="95">
        <v>15.6</v>
      </c>
      <c r="I18" s="96">
        <v>43940</v>
      </c>
      <c r="J18" s="95">
        <v>15.3</v>
      </c>
      <c r="K18" s="14">
        <v>48730</v>
      </c>
      <c r="L18" s="13">
        <v>15.9</v>
      </c>
      <c r="M18" s="14">
        <v>4790</v>
      </c>
      <c r="N18" s="35">
        <v>10.9</v>
      </c>
    </row>
    <row r="19" spans="1:14" x14ac:dyDescent="0.3">
      <c r="A19" s="321" t="s">
        <v>212</v>
      </c>
      <c r="B19" s="322"/>
      <c r="C19" s="98">
        <v>206254</v>
      </c>
      <c r="D19" s="97">
        <v>100</v>
      </c>
      <c r="E19" s="98">
        <v>238803</v>
      </c>
      <c r="F19" s="97">
        <v>100</v>
      </c>
      <c r="G19" s="98">
        <v>265791</v>
      </c>
      <c r="H19" s="97">
        <v>100</v>
      </c>
      <c r="I19" s="98">
        <v>286782</v>
      </c>
      <c r="J19" s="97">
        <v>100</v>
      </c>
      <c r="K19" s="31">
        <v>305731</v>
      </c>
      <c r="L19" s="29">
        <v>100</v>
      </c>
      <c r="M19" s="31">
        <v>18949</v>
      </c>
      <c r="N19" s="42">
        <v>6.6</v>
      </c>
    </row>
    <row r="21" spans="1:14" x14ac:dyDescent="0.3">
      <c r="A21" t="s">
        <v>219</v>
      </c>
    </row>
    <row r="22" spans="1:14" x14ac:dyDescent="0.3">
      <c r="A22" t="s">
        <v>220</v>
      </c>
    </row>
    <row r="23" spans="1:14" x14ac:dyDescent="0.3">
      <c r="A23" t="s">
        <v>221</v>
      </c>
    </row>
    <row r="25" spans="1:14" x14ac:dyDescent="0.3"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</row>
    <row r="26" spans="1:14" x14ac:dyDescent="0.3"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</row>
    <row r="27" spans="1:14" x14ac:dyDescent="0.3"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</row>
    <row r="28" spans="1:14" x14ac:dyDescent="0.3"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</row>
    <row r="29" spans="1:14" x14ac:dyDescent="0.3"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</row>
    <row r="30" spans="1:14" x14ac:dyDescent="0.3"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</row>
    <row r="31" spans="1:14" x14ac:dyDescent="0.3"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</row>
    <row r="32" spans="1:14" x14ac:dyDescent="0.3"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</row>
    <row r="33" spans="3:14" x14ac:dyDescent="0.3"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</row>
    <row r="34" spans="3:14" x14ac:dyDescent="0.3"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</row>
    <row r="35" spans="3:14" x14ac:dyDescent="0.3"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</row>
    <row r="36" spans="3:14" x14ac:dyDescent="0.3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</row>
    <row r="37" spans="3:14" x14ac:dyDescent="0.3"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</row>
    <row r="38" spans="3:14" x14ac:dyDescent="0.3"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</row>
    <row r="41" spans="3:14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</row>
    <row r="42" spans="3:14" x14ac:dyDescent="0.3"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</row>
    <row r="43" spans="3:14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</row>
    <row r="44" spans="3:14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</row>
    <row r="45" spans="3:14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</row>
    <row r="46" spans="3:14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</row>
    <row r="47" spans="3:14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</row>
    <row r="48" spans="3:14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</row>
    <row r="49" spans="3:14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</row>
    <row r="50" spans="3:14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</row>
    <row r="51" spans="3:14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</row>
    <row r="52" spans="3:14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</row>
    <row r="53" spans="3:14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</row>
    <row r="54" spans="3:14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</row>
  </sheetData>
  <mergeCells count="13">
    <mergeCell ref="K4:L4"/>
    <mergeCell ref="M4:N4"/>
    <mergeCell ref="A4:A5"/>
    <mergeCell ref="B4:B5"/>
    <mergeCell ref="I4:J4"/>
    <mergeCell ref="G4:H4"/>
    <mergeCell ref="E4:F4"/>
    <mergeCell ref="C4:D4"/>
    <mergeCell ref="A19:B19"/>
    <mergeCell ref="A6:A8"/>
    <mergeCell ref="A9:A12"/>
    <mergeCell ref="A16:A17"/>
    <mergeCell ref="A14:A15"/>
  </mergeCells>
  <phoneticPr fontId="1" type="noConversion"/>
  <hyperlinks>
    <hyperlink ref="G1" location="목차!A1" display="목차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4.9989318521683403E-2"/>
  </sheetPr>
  <dimension ref="A1:M39"/>
  <sheetViews>
    <sheetView zoomScaleNormal="100" workbookViewId="0">
      <selection activeCell="B6" sqref="B6:M14"/>
    </sheetView>
  </sheetViews>
  <sheetFormatPr defaultRowHeight="16.5" x14ac:dyDescent="0.3"/>
  <sheetData>
    <row r="1" spans="1:13" ht="17.25" x14ac:dyDescent="0.3">
      <c r="A1" s="7" t="s">
        <v>415</v>
      </c>
      <c r="B1" s="2"/>
      <c r="C1" s="2"/>
      <c r="D1" s="2"/>
      <c r="E1" s="2"/>
      <c r="F1" s="2"/>
      <c r="H1" s="72" t="s">
        <v>367</v>
      </c>
    </row>
    <row r="3" spans="1:13" x14ac:dyDescent="0.3">
      <c r="M3" s="5" t="s">
        <v>87</v>
      </c>
    </row>
    <row r="4" spans="1:13" ht="17.25" thickBot="1" x14ac:dyDescent="0.35">
      <c r="A4" s="313" t="s">
        <v>139</v>
      </c>
      <c r="B4" s="318" t="s">
        <v>8</v>
      </c>
      <c r="C4" s="320"/>
      <c r="D4" s="318" t="s">
        <v>9</v>
      </c>
      <c r="E4" s="320"/>
      <c r="F4" s="318" t="s">
        <v>10</v>
      </c>
      <c r="G4" s="320"/>
      <c r="H4" s="318" t="s">
        <v>369</v>
      </c>
      <c r="I4" s="320"/>
      <c r="J4" s="318" t="s">
        <v>402</v>
      </c>
      <c r="K4" s="320"/>
      <c r="L4" s="335" t="s">
        <v>32</v>
      </c>
      <c r="M4" s="336"/>
    </row>
    <row r="5" spans="1:13" ht="17.25" thickTop="1" x14ac:dyDescent="0.3">
      <c r="A5" s="313"/>
      <c r="B5" s="120" t="s">
        <v>77</v>
      </c>
      <c r="C5" s="120" t="s">
        <v>36</v>
      </c>
      <c r="D5" s="120" t="s">
        <v>77</v>
      </c>
      <c r="E5" s="120" t="s">
        <v>36</v>
      </c>
      <c r="F5" s="120" t="s">
        <v>73</v>
      </c>
      <c r="G5" s="120" t="s">
        <v>36</v>
      </c>
      <c r="H5" s="120" t="s">
        <v>74</v>
      </c>
      <c r="I5" s="120" t="s">
        <v>36</v>
      </c>
      <c r="J5" s="59" t="s">
        <v>74</v>
      </c>
      <c r="K5" s="59" t="s">
        <v>36</v>
      </c>
      <c r="L5" s="39" t="s">
        <v>37</v>
      </c>
      <c r="M5" s="40" t="s">
        <v>38</v>
      </c>
    </row>
    <row r="6" spans="1:13" x14ac:dyDescent="0.3">
      <c r="A6" s="26" t="s">
        <v>222</v>
      </c>
      <c r="B6" s="119">
        <v>34633</v>
      </c>
      <c r="C6" s="110">
        <v>18</v>
      </c>
      <c r="D6" s="119">
        <v>43168</v>
      </c>
      <c r="E6" s="110">
        <v>19.2</v>
      </c>
      <c r="F6" s="119">
        <v>49004</v>
      </c>
      <c r="G6" s="110">
        <v>19.5</v>
      </c>
      <c r="H6" s="119">
        <v>49607</v>
      </c>
      <c r="I6" s="110">
        <v>18.2</v>
      </c>
      <c r="J6" s="12">
        <v>54285</v>
      </c>
      <c r="K6" s="28">
        <v>18.7</v>
      </c>
      <c r="L6" s="12">
        <v>4678</v>
      </c>
      <c r="M6" s="37">
        <v>9.4</v>
      </c>
    </row>
    <row r="7" spans="1:13" x14ac:dyDescent="0.3">
      <c r="A7" s="36" t="s">
        <v>223</v>
      </c>
      <c r="B7" s="96">
        <v>36717</v>
      </c>
      <c r="C7" s="95">
        <v>19.100000000000001</v>
      </c>
      <c r="D7" s="96">
        <v>41253</v>
      </c>
      <c r="E7" s="95">
        <v>18.399999999999999</v>
      </c>
      <c r="F7" s="96">
        <v>47766</v>
      </c>
      <c r="G7" s="95">
        <v>19</v>
      </c>
      <c r="H7" s="96">
        <v>52026</v>
      </c>
      <c r="I7" s="95">
        <v>19.100000000000001</v>
      </c>
      <c r="J7" s="14">
        <v>53240</v>
      </c>
      <c r="K7" s="13">
        <v>18.3</v>
      </c>
      <c r="L7" s="14">
        <v>1214</v>
      </c>
      <c r="M7" s="35">
        <v>2.2999999999999998</v>
      </c>
    </row>
    <row r="8" spans="1:13" x14ac:dyDescent="0.3">
      <c r="A8" s="36" t="s">
        <v>224</v>
      </c>
      <c r="B8" s="96">
        <v>8364</v>
      </c>
      <c r="C8" s="95">
        <v>4.3</v>
      </c>
      <c r="D8" s="96">
        <v>10884</v>
      </c>
      <c r="E8" s="95">
        <v>4.8</v>
      </c>
      <c r="F8" s="96">
        <v>12498</v>
      </c>
      <c r="G8" s="95">
        <v>5</v>
      </c>
      <c r="H8" s="96">
        <v>13343</v>
      </c>
      <c r="I8" s="95">
        <v>4.9000000000000004</v>
      </c>
      <c r="J8" s="14">
        <v>13729</v>
      </c>
      <c r="K8" s="13">
        <v>4.7</v>
      </c>
      <c r="L8" s="14">
        <v>386</v>
      </c>
      <c r="M8" s="35">
        <v>2.9</v>
      </c>
    </row>
    <row r="9" spans="1:13" x14ac:dyDescent="0.3">
      <c r="A9" s="36" t="s">
        <v>225</v>
      </c>
      <c r="B9" s="96">
        <v>17622</v>
      </c>
      <c r="C9" s="95">
        <v>9.1</v>
      </c>
      <c r="D9" s="96">
        <v>21461</v>
      </c>
      <c r="E9" s="95">
        <v>9.6</v>
      </c>
      <c r="F9" s="96">
        <v>20498</v>
      </c>
      <c r="G9" s="95">
        <v>8.1999999999999993</v>
      </c>
      <c r="H9" s="96">
        <v>20630</v>
      </c>
      <c r="I9" s="95">
        <v>7.6</v>
      </c>
      <c r="J9" s="14">
        <v>21595</v>
      </c>
      <c r="K9" s="13">
        <v>7.4</v>
      </c>
      <c r="L9" s="13">
        <v>965</v>
      </c>
      <c r="M9" s="35">
        <v>4.7</v>
      </c>
    </row>
    <row r="10" spans="1:13" x14ac:dyDescent="0.3">
      <c r="A10" s="36" t="s">
        <v>226</v>
      </c>
      <c r="B10" s="96">
        <v>22747</v>
      </c>
      <c r="C10" s="95">
        <v>11.8</v>
      </c>
      <c r="D10" s="96">
        <v>27738</v>
      </c>
      <c r="E10" s="95">
        <v>12.3</v>
      </c>
      <c r="F10" s="96">
        <v>33993</v>
      </c>
      <c r="G10" s="95">
        <v>13.5</v>
      </c>
      <c r="H10" s="96">
        <v>37159</v>
      </c>
      <c r="I10" s="95">
        <v>13.6</v>
      </c>
      <c r="J10" s="14">
        <v>44005</v>
      </c>
      <c r="K10" s="13">
        <v>15.2</v>
      </c>
      <c r="L10" s="14">
        <v>6846</v>
      </c>
      <c r="M10" s="35">
        <v>18.399999999999999</v>
      </c>
    </row>
    <row r="11" spans="1:13" x14ac:dyDescent="0.3">
      <c r="A11" s="36" t="s">
        <v>227</v>
      </c>
      <c r="B11" s="96">
        <v>2195</v>
      </c>
      <c r="C11" s="95">
        <v>1.1000000000000001</v>
      </c>
      <c r="D11" s="96">
        <v>2485</v>
      </c>
      <c r="E11" s="95">
        <v>1.1000000000000001</v>
      </c>
      <c r="F11" s="96">
        <v>3260</v>
      </c>
      <c r="G11" s="95">
        <v>1.3</v>
      </c>
      <c r="H11" s="96">
        <v>3807</v>
      </c>
      <c r="I11" s="95">
        <v>1.4</v>
      </c>
      <c r="J11" s="14">
        <v>4348</v>
      </c>
      <c r="K11" s="13">
        <v>1.5</v>
      </c>
      <c r="L11" s="13">
        <v>541</v>
      </c>
      <c r="M11" s="35">
        <v>14.2</v>
      </c>
    </row>
    <row r="12" spans="1:13" x14ac:dyDescent="0.3">
      <c r="A12" s="36" t="s">
        <v>110</v>
      </c>
      <c r="B12" s="96">
        <v>122277</v>
      </c>
      <c r="C12" s="95">
        <v>63.5</v>
      </c>
      <c r="D12" s="96">
        <v>146988</v>
      </c>
      <c r="E12" s="95">
        <v>65.400000000000006</v>
      </c>
      <c r="F12" s="96">
        <v>167019</v>
      </c>
      <c r="G12" s="95">
        <v>66.5</v>
      </c>
      <c r="H12" s="96">
        <v>176571</v>
      </c>
      <c r="I12" s="95">
        <v>64.8</v>
      </c>
      <c r="J12" s="14">
        <v>191203</v>
      </c>
      <c r="K12" s="13">
        <v>65.900000000000006</v>
      </c>
      <c r="L12" s="14">
        <v>14632</v>
      </c>
      <c r="M12" s="35">
        <v>8.3000000000000007</v>
      </c>
    </row>
    <row r="13" spans="1:13" x14ac:dyDescent="0.3">
      <c r="A13" s="36" t="s">
        <v>85</v>
      </c>
      <c r="B13" s="96">
        <v>70320</v>
      </c>
      <c r="C13" s="95">
        <v>36.5</v>
      </c>
      <c r="D13" s="96">
        <v>77694</v>
      </c>
      <c r="E13" s="95">
        <v>34.6</v>
      </c>
      <c r="F13" s="96">
        <v>84255</v>
      </c>
      <c r="G13" s="95">
        <v>33.5</v>
      </c>
      <c r="H13" s="96">
        <v>95758</v>
      </c>
      <c r="I13" s="95">
        <v>35.200000000000003</v>
      </c>
      <c r="J13" s="14">
        <v>98961</v>
      </c>
      <c r="K13" s="13">
        <v>34.1</v>
      </c>
      <c r="L13" s="14">
        <v>3203</v>
      </c>
      <c r="M13" s="35">
        <v>3.3</v>
      </c>
    </row>
    <row r="14" spans="1:13" x14ac:dyDescent="0.3">
      <c r="A14" s="41" t="s">
        <v>86</v>
      </c>
      <c r="B14" s="98">
        <v>192597</v>
      </c>
      <c r="C14" s="97">
        <v>100</v>
      </c>
      <c r="D14" s="98">
        <v>224682</v>
      </c>
      <c r="E14" s="97">
        <v>100</v>
      </c>
      <c r="F14" s="98">
        <v>251274</v>
      </c>
      <c r="G14" s="97">
        <v>100</v>
      </c>
      <c r="H14" s="98">
        <v>272329</v>
      </c>
      <c r="I14" s="97">
        <v>100</v>
      </c>
      <c r="J14" s="31">
        <v>290164</v>
      </c>
      <c r="K14" s="29">
        <v>100</v>
      </c>
      <c r="L14" s="31">
        <v>17835</v>
      </c>
      <c r="M14" s="42">
        <v>6.5</v>
      </c>
    </row>
    <row r="16" spans="1:13" x14ac:dyDescent="0.3">
      <c r="A16" s="90" t="s">
        <v>1203</v>
      </c>
    </row>
    <row r="18" spans="2:13" x14ac:dyDescent="0.3"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2:13" x14ac:dyDescent="0.3"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2:13" x14ac:dyDescent="0.3"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2:13" x14ac:dyDescent="0.3"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2:13" x14ac:dyDescent="0.3"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2:13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2:13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2:13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spans="2:13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9" spans="2:13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</row>
    <row r="30" spans="2:13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</row>
    <row r="31" spans="2:13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</row>
    <row r="32" spans="2:13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</row>
    <row r="33" spans="2:13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</row>
    <row r="34" spans="2:13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2:13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2:13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spans="2:13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2:13" x14ac:dyDescent="0.3">
      <c r="B38" s="86"/>
    </row>
    <row r="39" spans="2:13" x14ac:dyDescent="0.3">
      <c r="B39" s="86"/>
    </row>
  </sheetData>
  <mergeCells count="7">
    <mergeCell ref="L4:M4"/>
    <mergeCell ref="A4:A5"/>
    <mergeCell ref="H4:I4"/>
    <mergeCell ref="J4:K4"/>
    <mergeCell ref="F4:G4"/>
    <mergeCell ref="D4:E4"/>
    <mergeCell ref="B4:C4"/>
  </mergeCells>
  <phoneticPr fontId="1" type="noConversion"/>
  <hyperlinks>
    <hyperlink ref="H1" location="목차!A1" display="목차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4.9989318521683403E-2"/>
  </sheetPr>
  <dimension ref="A1:S42"/>
  <sheetViews>
    <sheetView zoomScaleNormal="100" workbookViewId="0">
      <selection activeCell="A21" sqref="A21"/>
    </sheetView>
  </sheetViews>
  <sheetFormatPr defaultRowHeight="16.5" x14ac:dyDescent="0.3"/>
  <cols>
    <col min="1" max="1" width="34.625" customWidth="1"/>
  </cols>
  <sheetData>
    <row r="1" spans="1:19" ht="17.25" x14ac:dyDescent="0.3">
      <c r="A1" s="7" t="s">
        <v>416</v>
      </c>
      <c r="B1" s="2"/>
      <c r="C1" s="2"/>
      <c r="D1" s="2"/>
      <c r="E1" s="9"/>
      <c r="F1" s="71" t="s">
        <v>367</v>
      </c>
    </row>
    <row r="4" spans="1:19" x14ac:dyDescent="0.3">
      <c r="A4" s="313" t="s">
        <v>0</v>
      </c>
      <c r="B4" s="332" t="s">
        <v>373</v>
      </c>
      <c r="C4" s="333"/>
      <c r="D4" s="313"/>
      <c r="E4" s="332" t="s">
        <v>374</v>
      </c>
      <c r="F4" s="333"/>
      <c r="G4" s="313"/>
      <c r="H4" s="332" t="s">
        <v>370</v>
      </c>
      <c r="I4" s="333"/>
      <c r="J4" s="313"/>
      <c r="K4" s="332" t="s">
        <v>369</v>
      </c>
      <c r="L4" s="333"/>
      <c r="M4" s="313"/>
      <c r="N4" s="332" t="s">
        <v>402</v>
      </c>
      <c r="O4" s="333"/>
      <c r="P4" s="313"/>
      <c r="Q4" s="332" t="s">
        <v>32</v>
      </c>
      <c r="R4" s="313"/>
      <c r="S4" s="332" t="s">
        <v>494</v>
      </c>
    </row>
    <row r="5" spans="1:19" x14ac:dyDescent="0.3">
      <c r="A5" s="313"/>
      <c r="B5" s="332"/>
      <c r="C5" s="333"/>
      <c r="D5" s="313"/>
      <c r="E5" s="332"/>
      <c r="F5" s="333"/>
      <c r="G5" s="313"/>
      <c r="H5" s="332"/>
      <c r="I5" s="333"/>
      <c r="J5" s="313"/>
      <c r="K5" s="332"/>
      <c r="L5" s="333"/>
      <c r="M5" s="313"/>
      <c r="N5" s="332"/>
      <c r="O5" s="333"/>
      <c r="P5" s="313"/>
      <c r="Q5" s="332"/>
      <c r="R5" s="313"/>
      <c r="S5" s="332"/>
    </row>
    <row r="6" spans="1:19" x14ac:dyDescent="0.3">
      <c r="A6" s="313"/>
      <c r="B6" s="332"/>
      <c r="C6" s="333"/>
      <c r="D6" s="313"/>
      <c r="E6" s="332"/>
      <c r="F6" s="333"/>
      <c r="G6" s="313"/>
      <c r="H6" s="332"/>
      <c r="I6" s="333"/>
      <c r="J6" s="313"/>
      <c r="K6" s="332"/>
      <c r="L6" s="333"/>
      <c r="M6" s="313"/>
      <c r="N6" s="332"/>
      <c r="O6" s="333"/>
      <c r="P6" s="313"/>
      <c r="Q6" s="332"/>
      <c r="R6" s="313"/>
      <c r="S6" s="332"/>
    </row>
    <row r="7" spans="1:19" ht="17.25" thickBot="1" x14ac:dyDescent="0.35">
      <c r="A7" s="313"/>
      <c r="B7" s="318"/>
      <c r="C7" s="319"/>
      <c r="D7" s="320"/>
      <c r="E7" s="318"/>
      <c r="F7" s="319"/>
      <c r="G7" s="320"/>
      <c r="H7" s="318"/>
      <c r="I7" s="319"/>
      <c r="J7" s="320"/>
      <c r="K7" s="318"/>
      <c r="L7" s="319"/>
      <c r="M7" s="320"/>
      <c r="N7" s="318"/>
      <c r="O7" s="319"/>
      <c r="P7" s="320"/>
      <c r="Q7" s="318"/>
      <c r="R7" s="320"/>
      <c r="S7" s="332"/>
    </row>
    <row r="8" spans="1:19" ht="17.25" customHeight="1" thickTop="1" x14ac:dyDescent="0.3">
      <c r="A8" s="313"/>
      <c r="B8" s="329" t="s">
        <v>229</v>
      </c>
      <c r="C8" s="329" t="s">
        <v>88</v>
      </c>
      <c r="D8" s="329" t="s">
        <v>358</v>
      </c>
      <c r="E8" s="329" t="s">
        <v>229</v>
      </c>
      <c r="F8" s="329" t="s">
        <v>88</v>
      </c>
      <c r="G8" s="329" t="s">
        <v>358</v>
      </c>
      <c r="H8" s="329" t="s">
        <v>229</v>
      </c>
      <c r="I8" s="329" t="s">
        <v>88</v>
      </c>
      <c r="J8" s="329" t="s">
        <v>358</v>
      </c>
      <c r="K8" s="329" t="s">
        <v>229</v>
      </c>
      <c r="L8" s="329" t="s">
        <v>88</v>
      </c>
      <c r="M8" s="329" t="s">
        <v>784</v>
      </c>
      <c r="N8" s="329" t="s">
        <v>229</v>
      </c>
      <c r="O8" s="329" t="s">
        <v>88</v>
      </c>
      <c r="P8" s="329" t="s">
        <v>359</v>
      </c>
      <c r="Q8" s="329" t="s">
        <v>37</v>
      </c>
      <c r="R8" s="329" t="s">
        <v>38</v>
      </c>
      <c r="S8" s="332"/>
    </row>
    <row r="9" spans="1:19" ht="17.25" customHeight="1" x14ac:dyDescent="0.3">
      <c r="A9" s="313"/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32"/>
    </row>
    <row r="10" spans="1:19" ht="33" customHeight="1" x14ac:dyDescent="0.3">
      <c r="A10" s="313"/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32"/>
    </row>
    <row r="11" spans="1:19" x14ac:dyDescent="0.3">
      <c r="A11" s="26" t="s">
        <v>230</v>
      </c>
      <c r="B11" s="119">
        <v>14813</v>
      </c>
      <c r="C11" s="119">
        <v>2470</v>
      </c>
      <c r="D11" s="110">
        <v>0.2</v>
      </c>
      <c r="E11" s="119">
        <v>13055</v>
      </c>
      <c r="F11" s="119">
        <v>2077</v>
      </c>
      <c r="G11" s="110">
        <v>0.2</v>
      </c>
      <c r="H11" s="119">
        <v>10533</v>
      </c>
      <c r="I11" s="119">
        <v>1720</v>
      </c>
      <c r="J11" s="110">
        <v>0.2</v>
      </c>
      <c r="K11" s="119">
        <v>9883</v>
      </c>
      <c r="L11" s="119">
        <v>1560</v>
      </c>
      <c r="M11" s="110">
        <v>0.2</v>
      </c>
      <c r="N11" s="12">
        <v>10748</v>
      </c>
      <c r="O11" s="12">
        <v>1736</v>
      </c>
      <c r="P11" s="28">
        <v>0.2</v>
      </c>
      <c r="Q11" s="28">
        <v>0</v>
      </c>
      <c r="R11" s="28">
        <v>0</v>
      </c>
      <c r="S11" s="147">
        <f>RATE(4,0,-D11,P11)</f>
        <v>4.7219705923161685E-12</v>
      </c>
    </row>
    <row r="12" spans="1:19" x14ac:dyDescent="0.3">
      <c r="A12" s="24" t="s">
        <v>233</v>
      </c>
      <c r="B12" s="118">
        <v>10957</v>
      </c>
      <c r="C12" s="118">
        <v>4156</v>
      </c>
      <c r="D12" s="109">
        <v>0.4</v>
      </c>
      <c r="E12" s="118">
        <v>10139</v>
      </c>
      <c r="F12" s="118">
        <v>3889</v>
      </c>
      <c r="G12" s="109">
        <v>0.4</v>
      </c>
      <c r="H12" s="118">
        <v>8207</v>
      </c>
      <c r="I12" s="118">
        <v>3231</v>
      </c>
      <c r="J12" s="109">
        <v>0.4</v>
      </c>
      <c r="K12" s="118">
        <v>8296</v>
      </c>
      <c r="L12" s="118">
        <v>3258</v>
      </c>
      <c r="M12" s="109">
        <v>0.4</v>
      </c>
      <c r="N12" s="16">
        <v>6189</v>
      </c>
      <c r="O12" s="16">
        <v>2407</v>
      </c>
      <c r="P12" s="27">
        <v>0.4</v>
      </c>
      <c r="Q12" s="27">
        <v>0</v>
      </c>
      <c r="R12" s="27">
        <v>0</v>
      </c>
      <c r="S12" s="147">
        <f t="shared" ref="S12:S19" si="0">RATE(4,0,-D12,P12)</f>
        <v>4.7219705923161685E-12</v>
      </c>
    </row>
    <row r="13" spans="1:19" x14ac:dyDescent="0.3">
      <c r="A13" s="24" t="s">
        <v>235</v>
      </c>
      <c r="B13" s="118">
        <v>16680</v>
      </c>
      <c r="C13" s="118">
        <v>10702</v>
      </c>
      <c r="D13" s="109">
        <v>0.6</v>
      </c>
      <c r="E13" s="118">
        <v>16694</v>
      </c>
      <c r="F13" s="118">
        <v>10925</v>
      </c>
      <c r="G13" s="109">
        <v>0.7</v>
      </c>
      <c r="H13" s="118">
        <v>18483</v>
      </c>
      <c r="I13" s="118">
        <v>12103</v>
      </c>
      <c r="J13" s="109">
        <v>0.7</v>
      </c>
      <c r="K13" s="118">
        <v>17778</v>
      </c>
      <c r="L13" s="118">
        <v>12057</v>
      </c>
      <c r="M13" s="109">
        <v>0.7</v>
      </c>
      <c r="N13" s="16">
        <v>15562</v>
      </c>
      <c r="O13" s="16">
        <v>10957</v>
      </c>
      <c r="P13" s="27">
        <v>0.7</v>
      </c>
      <c r="Q13" s="27">
        <v>0</v>
      </c>
      <c r="R13" s="27">
        <v>0</v>
      </c>
      <c r="S13" s="147">
        <f t="shared" si="0"/>
        <v>3.928987762541921E-2</v>
      </c>
    </row>
    <row r="14" spans="1:19" x14ac:dyDescent="0.3">
      <c r="A14" s="24" t="s">
        <v>237</v>
      </c>
      <c r="B14" s="118">
        <v>12466</v>
      </c>
      <c r="C14" s="118">
        <v>16480</v>
      </c>
      <c r="D14" s="109">
        <v>1.3</v>
      </c>
      <c r="E14" s="118">
        <v>15243</v>
      </c>
      <c r="F14" s="118">
        <v>20050</v>
      </c>
      <c r="G14" s="109">
        <v>1.3</v>
      </c>
      <c r="H14" s="118">
        <v>15429</v>
      </c>
      <c r="I14" s="118">
        <v>20846</v>
      </c>
      <c r="J14" s="109">
        <v>1.4</v>
      </c>
      <c r="K14" s="118">
        <v>17675</v>
      </c>
      <c r="L14" s="118">
        <v>24009</v>
      </c>
      <c r="M14" s="109">
        <v>1.4</v>
      </c>
      <c r="N14" s="16">
        <v>14998</v>
      </c>
      <c r="O14" s="16">
        <v>20884</v>
      </c>
      <c r="P14" s="27">
        <v>1.4</v>
      </c>
      <c r="Q14" s="27">
        <v>0</v>
      </c>
      <c r="R14" s="27">
        <v>0</v>
      </c>
      <c r="S14" s="147">
        <f t="shared" si="0"/>
        <v>1.8699682598459975E-2</v>
      </c>
    </row>
    <row r="15" spans="1:19" x14ac:dyDescent="0.3">
      <c r="A15" s="24" t="s">
        <v>239</v>
      </c>
      <c r="B15" s="118">
        <v>4868</v>
      </c>
      <c r="C15" s="118">
        <v>11411</v>
      </c>
      <c r="D15" s="109">
        <v>2.2999999999999998</v>
      </c>
      <c r="E15" s="118">
        <v>6361</v>
      </c>
      <c r="F15" s="118">
        <v>14792</v>
      </c>
      <c r="G15" s="109">
        <v>2.2999999999999998</v>
      </c>
      <c r="H15" s="118">
        <v>7726</v>
      </c>
      <c r="I15" s="118">
        <v>17613</v>
      </c>
      <c r="J15" s="109">
        <v>2.2999999999999998</v>
      </c>
      <c r="K15" s="118">
        <v>6404</v>
      </c>
      <c r="L15" s="118">
        <v>14719</v>
      </c>
      <c r="M15" s="109">
        <v>2.2999999999999998</v>
      </c>
      <c r="N15" s="16">
        <v>7233</v>
      </c>
      <c r="O15" s="16">
        <v>16558</v>
      </c>
      <c r="P15" s="27">
        <v>2.2999999999999998</v>
      </c>
      <c r="Q15" s="27">
        <v>0</v>
      </c>
      <c r="R15" s="27">
        <v>0</v>
      </c>
      <c r="S15" s="147">
        <f t="shared" si="0"/>
        <v>4.722156926766426E-12</v>
      </c>
    </row>
    <row r="16" spans="1:19" x14ac:dyDescent="0.3">
      <c r="A16" s="24" t="s">
        <v>241</v>
      </c>
      <c r="B16" s="118">
        <v>3977</v>
      </c>
      <c r="C16" s="118">
        <v>14867</v>
      </c>
      <c r="D16" s="109">
        <v>3.7</v>
      </c>
      <c r="E16" s="118">
        <v>4435</v>
      </c>
      <c r="F16" s="118">
        <v>16577</v>
      </c>
      <c r="G16" s="109">
        <v>3.7</v>
      </c>
      <c r="H16" s="118">
        <v>5403</v>
      </c>
      <c r="I16" s="118">
        <v>20038</v>
      </c>
      <c r="J16" s="109">
        <v>3.7</v>
      </c>
      <c r="K16" s="118">
        <v>5922</v>
      </c>
      <c r="L16" s="118">
        <v>22248</v>
      </c>
      <c r="M16" s="109">
        <v>3.8</v>
      </c>
      <c r="N16" s="16">
        <v>5926</v>
      </c>
      <c r="O16" s="16">
        <v>22068</v>
      </c>
      <c r="P16" s="27">
        <v>3.7</v>
      </c>
      <c r="Q16" s="27" t="s">
        <v>475</v>
      </c>
      <c r="R16" s="27" t="s">
        <v>381</v>
      </c>
      <c r="S16" s="147">
        <f t="shared" si="0"/>
        <v>4.7221354491607874E-12</v>
      </c>
    </row>
    <row r="17" spans="1:19" x14ac:dyDescent="0.3">
      <c r="A17" s="24" t="s">
        <v>243</v>
      </c>
      <c r="B17" s="118">
        <v>3533</v>
      </c>
      <c r="C17" s="118">
        <v>24058</v>
      </c>
      <c r="D17" s="109">
        <v>6.8</v>
      </c>
      <c r="E17" s="118">
        <v>4008</v>
      </c>
      <c r="F17" s="118">
        <v>27362</v>
      </c>
      <c r="G17" s="109">
        <v>6.8</v>
      </c>
      <c r="H17" s="118">
        <v>4577</v>
      </c>
      <c r="I17" s="118">
        <v>31555</v>
      </c>
      <c r="J17" s="109">
        <v>6.9</v>
      </c>
      <c r="K17" s="118">
        <v>5007</v>
      </c>
      <c r="L17" s="118">
        <v>34911</v>
      </c>
      <c r="M17" s="109">
        <v>7</v>
      </c>
      <c r="N17" s="16">
        <v>5396</v>
      </c>
      <c r="O17" s="16">
        <v>36850</v>
      </c>
      <c r="P17" s="27">
        <v>6.8</v>
      </c>
      <c r="Q17" s="27" t="s">
        <v>378</v>
      </c>
      <c r="R17" s="27" t="s">
        <v>382</v>
      </c>
      <c r="S17" s="147">
        <f t="shared" si="0"/>
        <v>4.7220669337244752E-12</v>
      </c>
    </row>
    <row r="18" spans="1:19" x14ac:dyDescent="0.3">
      <c r="A18" s="36" t="s">
        <v>231</v>
      </c>
      <c r="B18" s="96">
        <v>3033</v>
      </c>
      <c r="C18" s="96">
        <v>122110</v>
      </c>
      <c r="D18" s="95">
        <v>40.299999999999997</v>
      </c>
      <c r="E18" s="96">
        <v>3566</v>
      </c>
      <c r="F18" s="96">
        <v>143130</v>
      </c>
      <c r="G18" s="95">
        <v>40.1</v>
      </c>
      <c r="H18" s="96">
        <v>4387</v>
      </c>
      <c r="I18" s="96">
        <v>158685</v>
      </c>
      <c r="J18" s="95">
        <v>36.200000000000003</v>
      </c>
      <c r="K18" s="96">
        <v>5087</v>
      </c>
      <c r="L18" s="96">
        <v>174019</v>
      </c>
      <c r="M18" s="95">
        <v>34.200000000000003</v>
      </c>
      <c r="N18" s="14">
        <v>5752</v>
      </c>
      <c r="O18" s="14">
        <v>194272</v>
      </c>
      <c r="P18" s="13">
        <v>33.799999999999997</v>
      </c>
      <c r="Q18" s="13" t="s">
        <v>448</v>
      </c>
      <c r="R18" s="13" t="s">
        <v>785</v>
      </c>
      <c r="S18" s="147">
        <f t="shared" si="0"/>
        <v>-4.3019885379401802E-2</v>
      </c>
    </row>
    <row r="19" spans="1:19" x14ac:dyDescent="0.3">
      <c r="A19" s="41" t="s">
        <v>72</v>
      </c>
      <c r="B19" s="98">
        <v>70327</v>
      </c>
      <c r="C19" s="98">
        <v>206254</v>
      </c>
      <c r="D19" s="97">
        <v>2.9</v>
      </c>
      <c r="E19" s="98">
        <v>73501</v>
      </c>
      <c r="F19" s="98">
        <v>238803</v>
      </c>
      <c r="G19" s="97">
        <v>3.2</v>
      </c>
      <c r="H19" s="98">
        <v>74745</v>
      </c>
      <c r="I19" s="98">
        <v>265791</v>
      </c>
      <c r="J19" s="97">
        <v>3.6</v>
      </c>
      <c r="K19" s="98">
        <v>76052</v>
      </c>
      <c r="L19" s="98">
        <v>286782</v>
      </c>
      <c r="M19" s="97">
        <v>3.8</v>
      </c>
      <c r="N19" s="31">
        <v>71804</v>
      </c>
      <c r="O19" s="31">
        <v>305731</v>
      </c>
      <c r="P19" s="29">
        <v>4.3</v>
      </c>
      <c r="Q19" s="29">
        <v>0.5</v>
      </c>
      <c r="R19" s="29">
        <v>13.2</v>
      </c>
      <c r="S19" s="145">
        <f t="shared" si="0"/>
        <v>0.1034879991850787</v>
      </c>
    </row>
    <row r="21" spans="1:19" x14ac:dyDescent="0.3">
      <c r="A21" t="s">
        <v>244</v>
      </c>
    </row>
    <row r="23" spans="1:19" x14ac:dyDescent="0.3">
      <c r="B23" s="164"/>
      <c r="C23" s="90"/>
      <c r="D23" s="90"/>
      <c r="E23" s="90"/>
      <c r="F23" s="90"/>
      <c r="G23" s="90"/>
      <c r="H23" s="164"/>
      <c r="I23" s="90"/>
      <c r="J23" s="90"/>
      <c r="K23" s="90"/>
      <c r="L23" s="90"/>
      <c r="M23" s="90"/>
      <c r="N23" s="164"/>
      <c r="O23" s="90"/>
      <c r="P23" s="90"/>
      <c r="Q23" s="90"/>
      <c r="R23" s="90"/>
      <c r="S23" s="90"/>
    </row>
    <row r="24" spans="1:19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1:19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1:19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1:19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1:19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1:19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1:19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1:19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4" spans="2:19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</row>
    <row r="35" spans="2:19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</row>
    <row r="36" spans="2:19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</row>
    <row r="37" spans="2:19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</row>
    <row r="38" spans="2:19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</row>
    <row r="39" spans="2:19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</row>
    <row r="40" spans="2:19" x14ac:dyDescent="0.3"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2:19" x14ac:dyDescent="0.3"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</row>
    <row r="42" spans="2:19" x14ac:dyDescent="0.3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</row>
  </sheetData>
  <mergeCells count="25">
    <mergeCell ref="H8:H10"/>
    <mergeCell ref="I8:I10"/>
    <mergeCell ref="J8:J10"/>
    <mergeCell ref="B4:D7"/>
    <mergeCell ref="E4:G7"/>
    <mergeCell ref="H4:J7"/>
    <mergeCell ref="E8:E10"/>
    <mergeCell ref="F8:F10"/>
    <mergeCell ref="G8:G10"/>
    <mergeCell ref="S4:S10"/>
    <mergeCell ref="A4:A10"/>
    <mergeCell ref="K4:M7"/>
    <mergeCell ref="M8:M10"/>
    <mergeCell ref="Q8:Q10"/>
    <mergeCell ref="R8:R10"/>
    <mergeCell ref="Q4:R7"/>
    <mergeCell ref="N8:N10"/>
    <mergeCell ref="N4:P7"/>
    <mergeCell ref="O8:O10"/>
    <mergeCell ref="P8:P10"/>
    <mergeCell ref="K8:K10"/>
    <mergeCell ref="L8:L10"/>
    <mergeCell ref="D8:D10"/>
    <mergeCell ref="C8:C10"/>
    <mergeCell ref="B8:B10"/>
  </mergeCells>
  <phoneticPr fontId="1" type="noConversion"/>
  <hyperlinks>
    <hyperlink ref="F1" location="목차!A1" display="목차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4.9989318521683403E-2"/>
  </sheetPr>
  <dimension ref="A1:AC101"/>
  <sheetViews>
    <sheetView topLeftCell="A13" zoomScale="70" zoomScaleNormal="70" workbookViewId="0">
      <selection activeCell="C43" sqref="C43:AC51"/>
    </sheetView>
  </sheetViews>
  <sheetFormatPr defaultRowHeight="16.5" x14ac:dyDescent="0.3"/>
  <cols>
    <col min="2" max="2" width="30.25" customWidth="1"/>
  </cols>
  <sheetData>
    <row r="1" spans="1:29" ht="17.25" x14ac:dyDescent="0.3">
      <c r="A1" s="7" t="s">
        <v>417</v>
      </c>
      <c r="B1" s="2"/>
      <c r="C1" s="2"/>
      <c r="D1" s="2"/>
      <c r="E1" s="2"/>
      <c r="F1" s="2"/>
      <c r="G1" s="2"/>
      <c r="H1" s="2"/>
      <c r="J1" s="72" t="s">
        <v>367</v>
      </c>
    </row>
    <row r="3" spans="1:29" x14ac:dyDescent="0.3">
      <c r="AC3" s="5" t="s">
        <v>247</v>
      </c>
    </row>
    <row r="4" spans="1:29" ht="17.25" thickBot="1" x14ac:dyDescent="0.35">
      <c r="A4" s="313" t="s">
        <v>245</v>
      </c>
      <c r="B4" s="311" t="s">
        <v>139</v>
      </c>
      <c r="C4" s="318" t="s">
        <v>78</v>
      </c>
      <c r="D4" s="319"/>
      <c r="E4" s="320"/>
      <c r="F4" s="318" t="s">
        <v>79</v>
      </c>
      <c r="G4" s="319"/>
      <c r="H4" s="320"/>
      <c r="I4" s="318" t="s">
        <v>80</v>
      </c>
      <c r="J4" s="319"/>
      <c r="K4" s="320"/>
      <c r="L4" s="318" t="s">
        <v>81</v>
      </c>
      <c r="M4" s="319"/>
      <c r="N4" s="320"/>
      <c r="O4" s="318" t="s">
        <v>82</v>
      </c>
      <c r="P4" s="319"/>
      <c r="Q4" s="320"/>
      <c r="R4" s="318" t="s">
        <v>83</v>
      </c>
      <c r="S4" s="319"/>
      <c r="T4" s="320"/>
      <c r="U4" s="318" t="s">
        <v>84</v>
      </c>
      <c r="V4" s="319"/>
      <c r="W4" s="320"/>
      <c r="X4" s="318" t="s">
        <v>85</v>
      </c>
      <c r="Y4" s="319"/>
      <c r="Z4" s="320"/>
      <c r="AA4" s="318" t="s">
        <v>72</v>
      </c>
      <c r="AB4" s="319"/>
      <c r="AC4" s="319"/>
    </row>
    <row r="5" spans="1:29" ht="17.25" thickTop="1" x14ac:dyDescent="0.3">
      <c r="A5" s="313"/>
      <c r="B5" s="311"/>
      <c r="C5" s="329" t="s">
        <v>35</v>
      </c>
      <c r="D5" s="59" t="s">
        <v>36</v>
      </c>
      <c r="E5" s="59" t="s">
        <v>3</v>
      </c>
      <c r="F5" s="329" t="s">
        <v>35</v>
      </c>
      <c r="G5" s="59" t="s">
        <v>36</v>
      </c>
      <c r="H5" s="59" t="s">
        <v>3</v>
      </c>
      <c r="I5" s="329" t="s">
        <v>35</v>
      </c>
      <c r="J5" s="59" t="s">
        <v>36</v>
      </c>
      <c r="K5" s="59" t="s">
        <v>3</v>
      </c>
      <c r="L5" s="329" t="s">
        <v>35</v>
      </c>
      <c r="M5" s="59" t="s">
        <v>36</v>
      </c>
      <c r="N5" s="59" t="s">
        <v>3</v>
      </c>
      <c r="O5" s="329" t="s">
        <v>35</v>
      </c>
      <c r="P5" s="59" t="s">
        <v>36</v>
      </c>
      <c r="Q5" s="59" t="s">
        <v>3</v>
      </c>
      <c r="R5" s="329" t="s">
        <v>35</v>
      </c>
      <c r="S5" s="59" t="s">
        <v>36</v>
      </c>
      <c r="T5" s="59" t="s">
        <v>3</v>
      </c>
      <c r="U5" s="329" t="s">
        <v>35</v>
      </c>
      <c r="V5" s="59" t="s">
        <v>36</v>
      </c>
      <c r="W5" s="59" t="s">
        <v>3</v>
      </c>
      <c r="X5" s="329" t="s">
        <v>35</v>
      </c>
      <c r="Y5" s="59" t="s">
        <v>36</v>
      </c>
      <c r="Z5" s="59" t="s">
        <v>3</v>
      </c>
      <c r="AA5" s="329" t="s">
        <v>35</v>
      </c>
      <c r="AB5" s="59" t="s">
        <v>36</v>
      </c>
      <c r="AC5" s="60" t="s">
        <v>3</v>
      </c>
    </row>
    <row r="6" spans="1:29" x14ac:dyDescent="0.3">
      <c r="A6" s="313"/>
      <c r="B6" s="311"/>
      <c r="C6" s="311"/>
      <c r="D6" s="22" t="s">
        <v>101</v>
      </c>
      <c r="E6" s="22" t="s">
        <v>88</v>
      </c>
      <c r="F6" s="311"/>
      <c r="G6" s="22" t="s">
        <v>101</v>
      </c>
      <c r="H6" s="22" t="s">
        <v>88</v>
      </c>
      <c r="I6" s="311"/>
      <c r="J6" s="22" t="s">
        <v>101</v>
      </c>
      <c r="K6" s="22" t="s">
        <v>88</v>
      </c>
      <c r="L6" s="311"/>
      <c r="M6" s="22" t="s">
        <v>101</v>
      </c>
      <c r="N6" s="22" t="s">
        <v>88</v>
      </c>
      <c r="O6" s="311"/>
      <c r="P6" s="22" t="s">
        <v>101</v>
      </c>
      <c r="Q6" s="22" t="s">
        <v>88</v>
      </c>
      <c r="R6" s="311"/>
      <c r="S6" s="22" t="s">
        <v>101</v>
      </c>
      <c r="T6" s="22" t="s">
        <v>88</v>
      </c>
      <c r="U6" s="311"/>
      <c r="V6" s="22" t="s">
        <v>101</v>
      </c>
      <c r="W6" s="22" t="s">
        <v>88</v>
      </c>
      <c r="X6" s="311"/>
      <c r="Y6" s="22" t="s">
        <v>101</v>
      </c>
      <c r="Z6" s="22" t="s">
        <v>88</v>
      </c>
      <c r="AA6" s="311"/>
      <c r="AB6" s="22" t="s">
        <v>101</v>
      </c>
      <c r="AC6" s="11" t="s">
        <v>88</v>
      </c>
    </row>
    <row r="7" spans="1:29" x14ac:dyDescent="0.3">
      <c r="A7" s="304" t="s">
        <v>373</v>
      </c>
      <c r="B7" s="95" t="s">
        <v>230</v>
      </c>
      <c r="C7" s="95">
        <v>657</v>
      </c>
      <c r="D7" s="95">
        <v>16.3</v>
      </c>
      <c r="E7" s="95">
        <v>99</v>
      </c>
      <c r="F7" s="95">
        <v>818</v>
      </c>
      <c r="G7" s="95">
        <v>10.7</v>
      </c>
      <c r="H7" s="95">
        <v>119</v>
      </c>
      <c r="I7" s="96">
        <v>10730</v>
      </c>
      <c r="J7" s="95">
        <v>27.1</v>
      </c>
      <c r="K7" s="96">
        <v>1778</v>
      </c>
      <c r="L7" s="95">
        <v>19</v>
      </c>
      <c r="M7" s="95">
        <v>5.9</v>
      </c>
      <c r="N7" s="95">
        <v>2</v>
      </c>
      <c r="O7" s="95">
        <v>37</v>
      </c>
      <c r="P7" s="95">
        <v>4.8</v>
      </c>
      <c r="Q7" s="95">
        <v>5</v>
      </c>
      <c r="R7" s="96">
        <v>2003</v>
      </c>
      <c r="S7" s="95">
        <v>13.3</v>
      </c>
      <c r="T7" s="95">
        <v>380</v>
      </c>
      <c r="U7" s="95">
        <v>13</v>
      </c>
      <c r="V7" s="95">
        <v>15.7</v>
      </c>
      <c r="W7" s="95">
        <v>2</v>
      </c>
      <c r="X7" s="95">
        <v>536</v>
      </c>
      <c r="Y7" s="95">
        <v>19.899999999999999</v>
      </c>
      <c r="Z7" s="95">
        <v>83</v>
      </c>
      <c r="AA7" s="96">
        <v>14813</v>
      </c>
      <c r="AB7" s="95">
        <v>21.1</v>
      </c>
      <c r="AC7" s="30">
        <v>2470</v>
      </c>
    </row>
    <row r="8" spans="1:29" x14ac:dyDescent="0.3">
      <c r="A8" s="305"/>
      <c r="B8" s="95" t="s">
        <v>232</v>
      </c>
      <c r="C8" s="95">
        <v>805</v>
      </c>
      <c r="D8" s="95">
        <v>19.899999999999999</v>
      </c>
      <c r="E8" s="95">
        <v>308</v>
      </c>
      <c r="F8" s="95">
        <v>713</v>
      </c>
      <c r="G8" s="95">
        <v>9.3000000000000007</v>
      </c>
      <c r="H8" s="95">
        <v>270</v>
      </c>
      <c r="I8" s="96">
        <v>7680</v>
      </c>
      <c r="J8" s="95">
        <v>19.399999999999999</v>
      </c>
      <c r="K8" s="96">
        <v>2870</v>
      </c>
      <c r="L8" s="95">
        <v>15</v>
      </c>
      <c r="M8" s="95">
        <v>4.7</v>
      </c>
      <c r="N8" s="95">
        <v>6</v>
      </c>
      <c r="O8" s="95">
        <v>28</v>
      </c>
      <c r="P8" s="95">
        <v>3.6</v>
      </c>
      <c r="Q8" s="95">
        <v>11</v>
      </c>
      <c r="R8" s="96">
        <v>1417</v>
      </c>
      <c r="S8" s="95">
        <v>9.4</v>
      </c>
      <c r="T8" s="95">
        <v>578</v>
      </c>
      <c r="U8" s="95">
        <v>9</v>
      </c>
      <c r="V8" s="95">
        <v>10.8</v>
      </c>
      <c r="W8" s="95">
        <v>3</v>
      </c>
      <c r="X8" s="95">
        <v>290</v>
      </c>
      <c r="Y8" s="95">
        <v>10.8</v>
      </c>
      <c r="Z8" s="95">
        <v>111</v>
      </c>
      <c r="AA8" s="96">
        <v>10957</v>
      </c>
      <c r="AB8" s="95">
        <v>15.6</v>
      </c>
      <c r="AC8" s="30">
        <v>4156</v>
      </c>
    </row>
    <row r="9" spans="1:29" x14ac:dyDescent="0.3">
      <c r="A9" s="305"/>
      <c r="B9" s="95" t="s">
        <v>234</v>
      </c>
      <c r="C9" s="96">
        <v>1402</v>
      </c>
      <c r="D9" s="95">
        <v>34.700000000000003</v>
      </c>
      <c r="E9" s="96">
        <v>930</v>
      </c>
      <c r="F9" s="96">
        <v>1222</v>
      </c>
      <c r="G9" s="95">
        <v>16</v>
      </c>
      <c r="H9" s="95">
        <v>820</v>
      </c>
      <c r="I9" s="96">
        <v>10395</v>
      </c>
      <c r="J9" s="95">
        <v>26.2</v>
      </c>
      <c r="K9" s="96">
        <v>6380</v>
      </c>
      <c r="L9" s="95">
        <v>30</v>
      </c>
      <c r="M9" s="95">
        <v>9.4</v>
      </c>
      <c r="N9" s="95">
        <v>20</v>
      </c>
      <c r="O9" s="95">
        <v>54</v>
      </c>
      <c r="P9" s="95">
        <v>7</v>
      </c>
      <c r="Q9" s="95">
        <v>40</v>
      </c>
      <c r="R9" s="96">
        <v>3081</v>
      </c>
      <c r="S9" s="95">
        <v>20.399999999999999</v>
      </c>
      <c r="T9" s="96">
        <v>2186</v>
      </c>
      <c r="U9" s="95">
        <v>21</v>
      </c>
      <c r="V9" s="95">
        <v>25.3</v>
      </c>
      <c r="W9" s="95">
        <v>14</v>
      </c>
      <c r="X9" s="95">
        <v>475</v>
      </c>
      <c r="Y9" s="95">
        <v>17.7</v>
      </c>
      <c r="Z9" s="95">
        <v>312</v>
      </c>
      <c r="AA9" s="96">
        <v>16680</v>
      </c>
      <c r="AB9" s="95">
        <v>23.7</v>
      </c>
      <c r="AC9" s="30">
        <v>10702</v>
      </c>
    </row>
    <row r="10" spans="1:29" x14ac:dyDescent="0.3">
      <c r="A10" s="305"/>
      <c r="B10" s="95" t="s">
        <v>236</v>
      </c>
      <c r="C10" s="95">
        <v>544</v>
      </c>
      <c r="D10" s="95">
        <v>13.5</v>
      </c>
      <c r="E10" s="95">
        <v>732</v>
      </c>
      <c r="F10" s="96">
        <v>1254</v>
      </c>
      <c r="G10" s="95">
        <v>16.399999999999999</v>
      </c>
      <c r="H10" s="96">
        <v>1729</v>
      </c>
      <c r="I10" s="96">
        <v>5917</v>
      </c>
      <c r="J10" s="95">
        <v>14.9</v>
      </c>
      <c r="K10" s="96">
        <v>7433</v>
      </c>
      <c r="L10" s="95">
        <v>46</v>
      </c>
      <c r="M10" s="95">
        <v>14.4</v>
      </c>
      <c r="N10" s="95">
        <v>62</v>
      </c>
      <c r="O10" s="95">
        <v>79</v>
      </c>
      <c r="P10" s="95">
        <v>10.3</v>
      </c>
      <c r="Q10" s="95">
        <v>108</v>
      </c>
      <c r="R10" s="96">
        <v>4139</v>
      </c>
      <c r="S10" s="95">
        <v>27.4</v>
      </c>
      <c r="T10" s="96">
        <v>5756</v>
      </c>
      <c r="U10" s="95">
        <v>11</v>
      </c>
      <c r="V10" s="95">
        <v>13.3</v>
      </c>
      <c r="W10" s="95">
        <v>14</v>
      </c>
      <c r="X10" s="95">
        <v>476</v>
      </c>
      <c r="Y10" s="95">
        <v>17.7</v>
      </c>
      <c r="Z10" s="95">
        <v>647</v>
      </c>
      <c r="AA10" s="96">
        <v>12466</v>
      </c>
      <c r="AB10" s="95">
        <v>17.7</v>
      </c>
      <c r="AC10" s="30">
        <v>16480</v>
      </c>
    </row>
    <row r="11" spans="1:29" x14ac:dyDescent="0.3">
      <c r="A11" s="305"/>
      <c r="B11" s="95" t="s">
        <v>238</v>
      </c>
      <c r="C11" s="95">
        <v>228</v>
      </c>
      <c r="D11" s="95">
        <v>5.6</v>
      </c>
      <c r="E11" s="95">
        <v>526</v>
      </c>
      <c r="F11" s="95">
        <v>758</v>
      </c>
      <c r="G11" s="95">
        <v>9.9</v>
      </c>
      <c r="H11" s="96">
        <v>1787</v>
      </c>
      <c r="I11" s="96">
        <v>1797</v>
      </c>
      <c r="J11" s="95">
        <v>4.5</v>
      </c>
      <c r="K11" s="96">
        <v>4251</v>
      </c>
      <c r="L11" s="95">
        <v>29</v>
      </c>
      <c r="M11" s="95">
        <v>9.1</v>
      </c>
      <c r="N11" s="95">
        <v>72</v>
      </c>
      <c r="O11" s="95">
        <v>92</v>
      </c>
      <c r="P11" s="95">
        <v>12</v>
      </c>
      <c r="Q11" s="95">
        <v>219</v>
      </c>
      <c r="R11" s="96">
        <v>1760</v>
      </c>
      <c r="S11" s="95">
        <v>11.6</v>
      </c>
      <c r="T11" s="96">
        <v>4078</v>
      </c>
      <c r="U11" s="95">
        <v>3</v>
      </c>
      <c r="V11" s="95">
        <v>3.6</v>
      </c>
      <c r="W11" s="95">
        <v>7</v>
      </c>
      <c r="X11" s="95">
        <v>201</v>
      </c>
      <c r="Y11" s="95">
        <v>7.5</v>
      </c>
      <c r="Z11" s="95">
        <v>472</v>
      </c>
      <c r="AA11" s="96">
        <v>4868</v>
      </c>
      <c r="AB11" s="95">
        <v>6.9</v>
      </c>
      <c r="AC11" s="30">
        <v>11411</v>
      </c>
    </row>
    <row r="12" spans="1:29" x14ac:dyDescent="0.3">
      <c r="A12" s="305"/>
      <c r="B12" s="95" t="s">
        <v>240</v>
      </c>
      <c r="C12" s="95">
        <v>172</v>
      </c>
      <c r="D12" s="95">
        <v>4.3</v>
      </c>
      <c r="E12" s="95">
        <v>642</v>
      </c>
      <c r="F12" s="95">
        <v>752</v>
      </c>
      <c r="G12" s="95">
        <v>9.8000000000000007</v>
      </c>
      <c r="H12" s="96">
        <v>2883</v>
      </c>
      <c r="I12" s="96">
        <v>1464</v>
      </c>
      <c r="J12" s="95">
        <v>3.7</v>
      </c>
      <c r="K12" s="96">
        <v>5298</v>
      </c>
      <c r="L12" s="95">
        <v>39</v>
      </c>
      <c r="M12" s="95">
        <v>12.2</v>
      </c>
      <c r="N12" s="95">
        <v>155</v>
      </c>
      <c r="O12" s="95">
        <v>117</v>
      </c>
      <c r="P12" s="95">
        <v>15.2</v>
      </c>
      <c r="Q12" s="95">
        <v>462</v>
      </c>
      <c r="R12" s="96">
        <v>1235</v>
      </c>
      <c r="S12" s="95">
        <v>8.1999999999999993</v>
      </c>
      <c r="T12" s="96">
        <v>4681</v>
      </c>
      <c r="U12" s="95">
        <v>4</v>
      </c>
      <c r="V12" s="95">
        <v>4.8</v>
      </c>
      <c r="W12" s="95">
        <v>16</v>
      </c>
      <c r="X12" s="95">
        <v>194</v>
      </c>
      <c r="Y12" s="95">
        <v>7.2</v>
      </c>
      <c r="Z12" s="95">
        <v>730</v>
      </c>
      <c r="AA12" s="96">
        <v>3977</v>
      </c>
      <c r="AB12" s="95">
        <v>5.7</v>
      </c>
      <c r="AC12" s="30">
        <v>14867</v>
      </c>
    </row>
    <row r="13" spans="1:29" x14ac:dyDescent="0.3">
      <c r="A13" s="305"/>
      <c r="B13" s="95" t="s">
        <v>242</v>
      </c>
      <c r="C13" s="95">
        <v>123</v>
      </c>
      <c r="D13" s="95">
        <v>3</v>
      </c>
      <c r="E13" s="95">
        <v>809</v>
      </c>
      <c r="F13" s="95">
        <v>856</v>
      </c>
      <c r="G13" s="95">
        <v>11.2</v>
      </c>
      <c r="H13" s="96">
        <v>6069</v>
      </c>
      <c r="I13" s="96">
        <v>1038</v>
      </c>
      <c r="J13" s="95">
        <v>2.6</v>
      </c>
      <c r="K13" s="96">
        <v>6852</v>
      </c>
      <c r="L13" s="95">
        <v>53</v>
      </c>
      <c r="M13" s="95">
        <v>16.600000000000001</v>
      </c>
      <c r="N13" s="95">
        <v>370</v>
      </c>
      <c r="O13" s="95">
        <v>203</v>
      </c>
      <c r="P13" s="95">
        <v>26.4</v>
      </c>
      <c r="Q13" s="96">
        <v>1424</v>
      </c>
      <c r="R13" s="96">
        <v>1058</v>
      </c>
      <c r="S13" s="95">
        <v>7</v>
      </c>
      <c r="T13" s="96">
        <v>7074</v>
      </c>
      <c r="U13" s="95">
        <v>4</v>
      </c>
      <c r="V13" s="95">
        <v>4.8</v>
      </c>
      <c r="W13" s="95">
        <v>29</v>
      </c>
      <c r="X13" s="95">
        <v>198</v>
      </c>
      <c r="Y13" s="95">
        <v>7.4</v>
      </c>
      <c r="Z13" s="96">
        <v>1431</v>
      </c>
      <c r="AA13" s="96">
        <v>3533</v>
      </c>
      <c r="AB13" s="95">
        <v>5</v>
      </c>
      <c r="AC13" s="30">
        <v>24058</v>
      </c>
    </row>
    <row r="14" spans="1:29" x14ac:dyDescent="0.3">
      <c r="A14" s="305"/>
      <c r="B14" s="95" t="s">
        <v>231</v>
      </c>
      <c r="C14" s="95">
        <v>112</v>
      </c>
      <c r="D14" s="95">
        <v>2.8</v>
      </c>
      <c r="E14" s="96">
        <v>6482</v>
      </c>
      <c r="F14" s="96">
        <v>1284</v>
      </c>
      <c r="G14" s="95">
        <v>16.8</v>
      </c>
      <c r="H14" s="96">
        <v>68920</v>
      </c>
      <c r="I14" s="95">
        <v>632</v>
      </c>
      <c r="J14" s="95">
        <v>1.6</v>
      </c>
      <c r="K14" s="96">
        <v>15417</v>
      </c>
      <c r="L14" s="95">
        <v>89</v>
      </c>
      <c r="M14" s="95">
        <v>27.8</v>
      </c>
      <c r="N14" s="96">
        <v>3048</v>
      </c>
      <c r="O14" s="95">
        <v>159</v>
      </c>
      <c r="P14" s="95">
        <v>20.7</v>
      </c>
      <c r="Q14" s="96">
        <v>11896</v>
      </c>
      <c r="R14" s="95">
        <v>422</v>
      </c>
      <c r="S14" s="95">
        <v>2.8</v>
      </c>
      <c r="T14" s="96">
        <v>6178</v>
      </c>
      <c r="U14" s="95">
        <v>18</v>
      </c>
      <c r="V14" s="95">
        <v>21.7</v>
      </c>
      <c r="W14" s="96">
        <v>1743</v>
      </c>
      <c r="X14" s="95">
        <v>317</v>
      </c>
      <c r="Y14" s="95">
        <v>11.8</v>
      </c>
      <c r="Z14" s="96">
        <v>8425</v>
      </c>
      <c r="AA14" s="96">
        <v>3033</v>
      </c>
      <c r="AB14" s="95">
        <v>4.3</v>
      </c>
      <c r="AC14" s="30">
        <v>122110</v>
      </c>
    </row>
    <row r="15" spans="1:29" x14ac:dyDescent="0.3">
      <c r="A15" s="306"/>
      <c r="B15" s="97" t="s">
        <v>72</v>
      </c>
      <c r="C15" s="98">
        <v>4043</v>
      </c>
      <c r="D15" s="97">
        <v>100</v>
      </c>
      <c r="E15" s="98">
        <v>10527</v>
      </c>
      <c r="F15" s="98">
        <v>7657</v>
      </c>
      <c r="G15" s="97">
        <v>100</v>
      </c>
      <c r="H15" s="98">
        <v>82597</v>
      </c>
      <c r="I15" s="98">
        <v>39653</v>
      </c>
      <c r="J15" s="97">
        <v>100</v>
      </c>
      <c r="K15" s="98">
        <v>50278</v>
      </c>
      <c r="L15" s="97">
        <v>320</v>
      </c>
      <c r="M15" s="97">
        <v>100</v>
      </c>
      <c r="N15" s="98">
        <v>3735</v>
      </c>
      <c r="O15" s="97">
        <v>769</v>
      </c>
      <c r="P15" s="97">
        <v>100</v>
      </c>
      <c r="Q15" s="98">
        <v>14165</v>
      </c>
      <c r="R15" s="98">
        <v>15115</v>
      </c>
      <c r="S15" s="97">
        <v>100</v>
      </c>
      <c r="T15" s="98">
        <v>30910</v>
      </c>
      <c r="U15" s="97">
        <v>83</v>
      </c>
      <c r="V15" s="97">
        <v>100</v>
      </c>
      <c r="W15" s="98">
        <v>1829</v>
      </c>
      <c r="X15" s="98">
        <v>2687</v>
      </c>
      <c r="Y15" s="97">
        <v>100</v>
      </c>
      <c r="Z15" s="98">
        <v>12212</v>
      </c>
      <c r="AA15" s="98">
        <v>70327</v>
      </c>
      <c r="AB15" s="97">
        <v>100</v>
      </c>
      <c r="AC15" s="32">
        <v>206254</v>
      </c>
    </row>
    <row r="16" spans="1:29" x14ac:dyDescent="0.3">
      <c r="A16" s="304" t="s">
        <v>374</v>
      </c>
      <c r="B16" s="95" t="s">
        <v>230</v>
      </c>
      <c r="C16" s="95">
        <v>541</v>
      </c>
      <c r="D16" s="95">
        <v>13.2</v>
      </c>
      <c r="E16" s="95">
        <v>77</v>
      </c>
      <c r="F16" s="95">
        <v>843</v>
      </c>
      <c r="G16" s="95">
        <v>10.6</v>
      </c>
      <c r="H16" s="95">
        <v>113</v>
      </c>
      <c r="I16" s="96">
        <v>9900</v>
      </c>
      <c r="J16" s="95">
        <v>24.6</v>
      </c>
      <c r="K16" s="96">
        <v>1562</v>
      </c>
      <c r="L16" s="95">
        <v>19</v>
      </c>
      <c r="M16" s="95">
        <v>5.6</v>
      </c>
      <c r="N16" s="95">
        <v>2</v>
      </c>
      <c r="O16" s="95">
        <v>77</v>
      </c>
      <c r="P16" s="95">
        <v>8</v>
      </c>
      <c r="Q16" s="95">
        <v>12</v>
      </c>
      <c r="R16" s="96">
        <v>1331</v>
      </c>
      <c r="S16" s="95">
        <v>7.8</v>
      </c>
      <c r="T16" s="95">
        <v>260</v>
      </c>
      <c r="U16" s="95">
        <v>4</v>
      </c>
      <c r="V16" s="95">
        <v>4.9000000000000004</v>
      </c>
      <c r="W16" s="95">
        <v>1</v>
      </c>
      <c r="X16" s="95">
        <v>340</v>
      </c>
      <c r="Y16" s="95">
        <v>11.9</v>
      </c>
      <c r="Z16" s="95">
        <v>51</v>
      </c>
      <c r="AA16" s="96">
        <v>13055</v>
      </c>
      <c r="AB16" s="95">
        <v>17.8</v>
      </c>
      <c r="AC16" s="30">
        <v>2077</v>
      </c>
    </row>
    <row r="17" spans="1:29" x14ac:dyDescent="0.3">
      <c r="A17" s="305"/>
      <c r="B17" s="95" t="s">
        <v>232</v>
      </c>
      <c r="C17" s="95">
        <v>792</v>
      </c>
      <c r="D17" s="95">
        <v>19.3</v>
      </c>
      <c r="E17" s="95">
        <v>302</v>
      </c>
      <c r="F17" s="95">
        <v>726</v>
      </c>
      <c r="G17" s="95">
        <v>9.1999999999999993</v>
      </c>
      <c r="H17" s="95">
        <v>278</v>
      </c>
      <c r="I17" s="96">
        <v>7127</v>
      </c>
      <c r="J17" s="95">
        <v>17.7</v>
      </c>
      <c r="K17" s="96">
        <v>2692</v>
      </c>
      <c r="L17" s="95">
        <v>15</v>
      </c>
      <c r="M17" s="95">
        <v>4.4000000000000004</v>
      </c>
      <c r="N17" s="95">
        <v>6</v>
      </c>
      <c r="O17" s="95">
        <v>31</v>
      </c>
      <c r="P17" s="95">
        <v>3.2</v>
      </c>
      <c r="Q17" s="95">
        <v>12</v>
      </c>
      <c r="R17" s="96">
        <v>1147</v>
      </c>
      <c r="S17" s="95">
        <v>6.7</v>
      </c>
      <c r="T17" s="95">
        <v>486</v>
      </c>
      <c r="U17" s="95">
        <v>11</v>
      </c>
      <c r="V17" s="95">
        <v>13.6</v>
      </c>
      <c r="W17" s="95">
        <v>4</v>
      </c>
      <c r="X17" s="95">
        <v>290</v>
      </c>
      <c r="Y17" s="95">
        <v>10.199999999999999</v>
      </c>
      <c r="Z17" s="95">
        <v>110</v>
      </c>
      <c r="AA17" s="96">
        <v>10139</v>
      </c>
      <c r="AB17" s="95">
        <v>13.8</v>
      </c>
      <c r="AC17" s="30">
        <v>3889</v>
      </c>
    </row>
    <row r="18" spans="1:29" x14ac:dyDescent="0.3">
      <c r="A18" s="305"/>
      <c r="B18" s="95" t="s">
        <v>234</v>
      </c>
      <c r="C18" s="96">
        <v>1467</v>
      </c>
      <c r="D18" s="95">
        <v>35.700000000000003</v>
      </c>
      <c r="E18" s="95">
        <v>982</v>
      </c>
      <c r="F18" s="96">
        <v>1159</v>
      </c>
      <c r="G18" s="95">
        <v>14.6</v>
      </c>
      <c r="H18" s="95">
        <v>797</v>
      </c>
      <c r="I18" s="96">
        <v>9937</v>
      </c>
      <c r="J18" s="95">
        <v>24.7</v>
      </c>
      <c r="K18" s="96">
        <v>6305</v>
      </c>
      <c r="L18" s="95">
        <v>23</v>
      </c>
      <c r="M18" s="95">
        <v>6.8</v>
      </c>
      <c r="N18" s="95">
        <v>17</v>
      </c>
      <c r="O18" s="95">
        <v>58</v>
      </c>
      <c r="P18" s="95">
        <v>6</v>
      </c>
      <c r="Q18" s="95">
        <v>44</v>
      </c>
      <c r="R18" s="96">
        <v>3453</v>
      </c>
      <c r="S18" s="95">
        <v>20.2</v>
      </c>
      <c r="T18" s="96">
        <v>2379</v>
      </c>
      <c r="U18" s="95">
        <v>32</v>
      </c>
      <c r="V18" s="95">
        <v>39.5</v>
      </c>
      <c r="W18" s="95">
        <v>20</v>
      </c>
      <c r="X18" s="95">
        <v>565</v>
      </c>
      <c r="Y18" s="95">
        <v>19.899999999999999</v>
      </c>
      <c r="Z18" s="95">
        <v>381</v>
      </c>
      <c r="AA18" s="96">
        <v>16694</v>
      </c>
      <c r="AB18" s="95">
        <v>22.7</v>
      </c>
      <c r="AC18" s="30">
        <v>10925</v>
      </c>
    </row>
    <row r="19" spans="1:29" x14ac:dyDescent="0.3">
      <c r="A19" s="305"/>
      <c r="B19" s="95" t="s">
        <v>236</v>
      </c>
      <c r="C19" s="95">
        <v>619</v>
      </c>
      <c r="D19" s="95">
        <v>15.1</v>
      </c>
      <c r="E19" s="95">
        <v>797</v>
      </c>
      <c r="F19" s="96">
        <v>1399</v>
      </c>
      <c r="G19" s="95">
        <v>17.600000000000001</v>
      </c>
      <c r="H19" s="96">
        <v>1916</v>
      </c>
      <c r="I19" s="96">
        <v>7105</v>
      </c>
      <c r="J19" s="95">
        <v>17.7</v>
      </c>
      <c r="K19" s="96">
        <v>8957</v>
      </c>
      <c r="L19" s="95">
        <v>43</v>
      </c>
      <c r="M19" s="95">
        <v>12.7</v>
      </c>
      <c r="N19" s="95">
        <v>58</v>
      </c>
      <c r="O19" s="95">
        <v>101</v>
      </c>
      <c r="P19" s="95">
        <v>10.4</v>
      </c>
      <c r="Q19" s="95">
        <v>143</v>
      </c>
      <c r="R19" s="96">
        <v>5414</v>
      </c>
      <c r="S19" s="95">
        <v>31.7</v>
      </c>
      <c r="T19" s="96">
        <v>7409</v>
      </c>
      <c r="U19" s="95">
        <v>12</v>
      </c>
      <c r="V19" s="95">
        <v>14.8</v>
      </c>
      <c r="W19" s="95">
        <v>15</v>
      </c>
      <c r="X19" s="95">
        <v>550</v>
      </c>
      <c r="Y19" s="95">
        <v>19.3</v>
      </c>
      <c r="Z19" s="95">
        <v>756</v>
      </c>
      <c r="AA19" s="96">
        <v>15243</v>
      </c>
      <c r="AB19" s="95">
        <v>20.7</v>
      </c>
      <c r="AC19" s="30">
        <v>20050</v>
      </c>
    </row>
    <row r="20" spans="1:29" x14ac:dyDescent="0.3">
      <c r="A20" s="305"/>
      <c r="B20" s="95" t="s">
        <v>238</v>
      </c>
      <c r="C20" s="95">
        <v>264</v>
      </c>
      <c r="D20" s="95">
        <v>6.4</v>
      </c>
      <c r="E20" s="95">
        <v>608</v>
      </c>
      <c r="F20" s="95">
        <v>765</v>
      </c>
      <c r="G20" s="95">
        <v>9.6</v>
      </c>
      <c r="H20" s="96">
        <v>1796</v>
      </c>
      <c r="I20" s="96">
        <v>2506</v>
      </c>
      <c r="J20" s="95">
        <v>6.2</v>
      </c>
      <c r="K20" s="96">
        <v>5769</v>
      </c>
      <c r="L20" s="95">
        <v>28</v>
      </c>
      <c r="M20" s="95">
        <v>8.3000000000000007</v>
      </c>
      <c r="N20" s="95">
        <v>67</v>
      </c>
      <c r="O20" s="95">
        <v>84</v>
      </c>
      <c r="P20" s="95">
        <v>8.6999999999999993</v>
      </c>
      <c r="Q20" s="95">
        <v>200</v>
      </c>
      <c r="R20" s="96">
        <v>2472</v>
      </c>
      <c r="S20" s="95">
        <v>14.5</v>
      </c>
      <c r="T20" s="96">
        <v>5801</v>
      </c>
      <c r="U20" s="95">
        <v>2</v>
      </c>
      <c r="V20" s="95">
        <v>2.5</v>
      </c>
      <c r="W20" s="95">
        <v>4</v>
      </c>
      <c r="X20" s="95">
        <v>240</v>
      </c>
      <c r="Y20" s="95">
        <v>8.4</v>
      </c>
      <c r="Z20" s="95">
        <v>548</v>
      </c>
      <c r="AA20" s="96">
        <v>6361</v>
      </c>
      <c r="AB20" s="95">
        <v>8.6999999999999993</v>
      </c>
      <c r="AC20" s="30">
        <v>14792</v>
      </c>
    </row>
    <row r="21" spans="1:29" x14ac:dyDescent="0.3">
      <c r="A21" s="305"/>
      <c r="B21" s="95" t="s">
        <v>240</v>
      </c>
      <c r="C21" s="95">
        <v>188</v>
      </c>
      <c r="D21" s="95">
        <v>4.5999999999999996</v>
      </c>
      <c r="E21" s="95">
        <v>706</v>
      </c>
      <c r="F21" s="95">
        <v>763</v>
      </c>
      <c r="G21" s="95">
        <v>9.6</v>
      </c>
      <c r="H21" s="96">
        <v>2900</v>
      </c>
      <c r="I21" s="96">
        <v>1686</v>
      </c>
      <c r="J21" s="95">
        <v>4.2</v>
      </c>
      <c r="K21" s="96">
        <v>6200</v>
      </c>
      <c r="L21" s="95">
        <v>30</v>
      </c>
      <c r="M21" s="95">
        <v>8.9</v>
      </c>
      <c r="N21" s="95">
        <v>113</v>
      </c>
      <c r="O21" s="95">
        <v>139</v>
      </c>
      <c r="P21" s="95">
        <v>14.4</v>
      </c>
      <c r="Q21" s="95">
        <v>553</v>
      </c>
      <c r="R21" s="96">
        <v>1406</v>
      </c>
      <c r="S21" s="95">
        <v>8.1999999999999993</v>
      </c>
      <c r="T21" s="96">
        <v>5270</v>
      </c>
      <c r="U21" s="95">
        <v>5</v>
      </c>
      <c r="V21" s="95">
        <v>6.2</v>
      </c>
      <c r="W21" s="95">
        <v>18</v>
      </c>
      <c r="X21" s="95">
        <v>218</v>
      </c>
      <c r="Y21" s="95">
        <v>7.7</v>
      </c>
      <c r="Z21" s="95">
        <v>817</v>
      </c>
      <c r="AA21" s="96">
        <v>4435</v>
      </c>
      <c r="AB21" s="95">
        <v>6</v>
      </c>
      <c r="AC21" s="30">
        <v>16577</v>
      </c>
    </row>
    <row r="22" spans="1:29" x14ac:dyDescent="0.3">
      <c r="A22" s="305"/>
      <c r="B22" s="95" t="s">
        <v>242</v>
      </c>
      <c r="C22" s="95">
        <v>117</v>
      </c>
      <c r="D22" s="95">
        <v>2.9</v>
      </c>
      <c r="E22" s="95">
        <v>794</v>
      </c>
      <c r="F22" s="95">
        <v>906</v>
      </c>
      <c r="G22" s="95">
        <v>11.4</v>
      </c>
      <c r="H22" s="96">
        <v>6287</v>
      </c>
      <c r="I22" s="96">
        <v>1183</v>
      </c>
      <c r="J22" s="95">
        <v>2.9</v>
      </c>
      <c r="K22" s="96">
        <v>7795</v>
      </c>
      <c r="L22" s="95">
        <v>52</v>
      </c>
      <c r="M22" s="95">
        <v>15.4</v>
      </c>
      <c r="N22" s="95">
        <v>391</v>
      </c>
      <c r="O22" s="95">
        <v>266</v>
      </c>
      <c r="P22" s="95">
        <v>27.5</v>
      </c>
      <c r="Q22" s="96">
        <v>1850</v>
      </c>
      <c r="R22" s="96">
        <v>1246</v>
      </c>
      <c r="S22" s="95">
        <v>7.3</v>
      </c>
      <c r="T22" s="96">
        <v>8534</v>
      </c>
      <c r="U22" s="95">
        <v>3</v>
      </c>
      <c r="V22" s="95">
        <v>3.7</v>
      </c>
      <c r="W22" s="95">
        <v>18</v>
      </c>
      <c r="X22" s="95">
        <v>235</v>
      </c>
      <c r="Y22" s="95">
        <v>8.3000000000000007</v>
      </c>
      <c r="Z22" s="96">
        <v>1693</v>
      </c>
      <c r="AA22" s="96">
        <v>4008</v>
      </c>
      <c r="AB22" s="95">
        <v>5.5</v>
      </c>
      <c r="AC22" s="30">
        <v>27362</v>
      </c>
    </row>
    <row r="23" spans="1:29" x14ac:dyDescent="0.3">
      <c r="A23" s="305"/>
      <c r="B23" s="95" t="s">
        <v>231</v>
      </c>
      <c r="C23" s="95">
        <v>117</v>
      </c>
      <c r="D23" s="95">
        <v>2.9</v>
      </c>
      <c r="E23" s="96">
        <v>7058</v>
      </c>
      <c r="F23" s="96">
        <v>1372</v>
      </c>
      <c r="G23" s="95">
        <v>17.3</v>
      </c>
      <c r="H23" s="96">
        <v>76203</v>
      </c>
      <c r="I23" s="95">
        <v>727</v>
      </c>
      <c r="J23" s="95">
        <v>1.8</v>
      </c>
      <c r="K23" s="96">
        <v>18227</v>
      </c>
      <c r="L23" s="95">
        <v>128</v>
      </c>
      <c r="M23" s="95">
        <v>37.9</v>
      </c>
      <c r="N23" s="96">
        <v>3167</v>
      </c>
      <c r="O23" s="95">
        <v>211</v>
      </c>
      <c r="P23" s="95">
        <v>21.8</v>
      </c>
      <c r="Q23" s="96">
        <v>15399</v>
      </c>
      <c r="R23" s="95">
        <v>591</v>
      </c>
      <c r="S23" s="95">
        <v>3.5</v>
      </c>
      <c r="T23" s="96">
        <v>9613</v>
      </c>
      <c r="U23" s="95">
        <v>12</v>
      </c>
      <c r="V23" s="95">
        <v>14.8</v>
      </c>
      <c r="W23" s="96">
        <v>1833</v>
      </c>
      <c r="X23" s="95">
        <v>408</v>
      </c>
      <c r="Y23" s="95">
        <v>14.3</v>
      </c>
      <c r="Z23" s="96">
        <v>11630</v>
      </c>
      <c r="AA23" s="96">
        <v>3566</v>
      </c>
      <c r="AB23" s="95">
        <v>4.9000000000000004</v>
      </c>
      <c r="AC23" s="30">
        <v>143130</v>
      </c>
    </row>
    <row r="24" spans="1:29" x14ac:dyDescent="0.3">
      <c r="A24" s="306"/>
      <c r="B24" s="97" t="s">
        <v>72</v>
      </c>
      <c r="C24" s="98">
        <v>4105</v>
      </c>
      <c r="D24" s="97">
        <v>100</v>
      </c>
      <c r="E24" s="98">
        <v>11323</v>
      </c>
      <c r="F24" s="98">
        <v>7933</v>
      </c>
      <c r="G24" s="97">
        <v>100</v>
      </c>
      <c r="H24" s="98">
        <v>90289</v>
      </c>
      <c r="I24" s="98">
        <v>40171</v>
      </c>
      <c r="J24" s="97">
        <v>100</v>
      </c>
      <c r="K24" s="98">
        <v>57508</v>
      </c>
      <c r="L24" s="97">
        <v>338</v>
      </c>
      <c r="M24" s="97">
        <v>100</v>
      </c>
      <c r="N24" s="98">
        <v>3820</v>
      </c>
      <c r="O24" s="97">
        <v>967</v>
      </c>
      <c r="P24" s="97">
        <v>100</v>
      </c>
      <c r="Q24" s="98">
        <v>18212</v>
      </c>
      <c r="R24" s="98">
        <v>17060</v>
      </c>
      <c r="S24" s="97">
        <v>100</v>
      </c>
      <c r="T24" s="98">
        <v>39753</v>
      </c>
      <c r="U24" s="97">
        <v>81</v>
      </c>
      <c r="V24" s="97">
        <v>100</v>
      </c>
      <c r="W24" s="98">
        <v>1914</v>
      </c>
      <c r="X24" s="98">
        <v>2846</v>
      </c>
      <c r="Y24" s="97">
        <v>100</v>
      </c>
      <c r="Z24" s="98">
        <v>15986</v>
      </c>
      <c r="AA24" s="98">
        <v>73501</v>
      </c>
      <c r="AB24" s="97">
        <v>100</v>
      </c>
      <c r="AC24" s="32">
        <v>238803</v>
      </c>
    </row>
    <row r="25" spans="1:29" x14ac:dyDescent="0.3">
      <c r="A25" s="304" t="s">
        <v>370</v>
      </c>
      <c r="B25" s="95" t="s">
        <v>230</v>
      </c>
      <c r="C25" s="95">
        <v>495</v>
      </c>
      <c r="D25" s="95">
        <v>12</v>
      </c>
      <c r="E25" s="95">
        <v>72</v>
      </c>
      <c r="F25" s="95">
        <v>508</v>
      </c>
      <c r="G25" s="95">
        <v>6.4</v>
      </c>
      <c r="H25" s="95">
        <v>74</v>
      </c>
      <c r="I25" s="96">
        <v>7680</v>
      </c>
      <c r="J25" s="95">
        <v>19.600000000000001</v>
      </c>
      <c r="K25" s="96">
        <v>1251</v>
      </c>
      <c r="L25" s="95">
        <v>27</v>
      </c>
      <c r="M25" s="95">
        <v>7.3</v>
      </c>
      <c r="N25" s="95">
        <v>3</v>
      </c>
      <c r="O25" s="95">
        <v>100</v>
      </c>
      <c r="P25" s="95">
        <v>9.1</v>
      </c>
      <c r="Q25" s="95">
        <v>18</v>
      </c>
      <c r="R25" s="96">
        <v>1026</v>
      </c>
      <c r="S25" s="95">
        <v>5.7</v>
      </c>
      <c r="T25" s="95">
        <v>204</v>
      </c>
      <c r="U25" s="95">
        <v>8</v>
      </c>
      <c r="V25" s="95">
        <v>9.8000000000000007</v>
      </c>
      <c r="W25" s="95">
        <v>1</v>
      </c>
      <c r="X25" s="95">
        <v>689</v>
      </c>
      <c r="Y25" s="95">
        <v>18.5</v>
      </c>
      <c r="Z25" s="95">
        <v>97</v>
      </c>
      <c r="AA25" s="96">
        <v>10533</v>
      </c>
      <c r="AB25" s="95">
        <v>14.1</v>
      </c>
      <c r="AC25" s="30">
        <v>1720</v>
      </c>
    </row>
    <row r="26" spans="1:29" x14ac:dyDescent="0.3">
      <c r="A26" s="305"/>
      <c r="B26" s="95" t="s">
        <v>232</v>
      </c>
      <c r="C26" s="95">
        <v>630</v>
      </c>
      <c r="D26" s="95">
        <v>15.3</v>
      </c>
      <c r="E26" s="95">
        <v>241</v>
      </c>
      <c r="F26" s="95">
        <v>625</v>
      </c>
      <c r="G26" s="95">
        <v>7.8</v>
      </c>
      <c r="H26" s="95">
        <v>233</v>
      </c>
      <c r="I26" s="96">
        <v>5773</v>
      </c>
      <c r="J26" s="95">
        <v>14.7</v>
      </c>
      <c r="K26" s="96">
        <v>2262</v>
      </c>
      <c r="L26" s="95">
        <v>15</v>
      </c>
      <c r="M26" s="95">
        <v>4.0999999999999996</v>
      </c>
      <c r="N26" s="95">
        <v>5</v>
      </c>
      <c r="O26" s="95">
        <v>26</v>
      </c>
      <c r="P26" s="95">
        <v>2.4</v>
      </c>
      <c r="Q26" s="95">
        <v>10</v>
      </c>
      <c r="R26" s="96">
        <v>845</v>
      </c>
      <c r="S26" s="95">
        <v>4.7</v>
      </c>
      <c r="T26" s="95">
        <v>367</v>
      </c>
      <c r="U26" s="95">
        <v>10</v>
      </c>
      <c r="V26" s="95">
        <v>12.2</v>
      </c>
      <c r="W26" s="95">
        <v>4</v>
      </c>
      <c r="X26" s="95">
        <v>283</v>
      </c>
      <c r="Y26" s="95">
        <v>7.6</v>
      </c>
      <c r="Z26" s="95">
        <v>110</v>
      </c>
      <c r="AA26" s="96">
        <v>8207</v>
      </c>
      <c r="AB26" s="95">
        <v>11</v>
      </c>
      <c r="AC26" s="30">
        <v>3231</v>
      </c>
    </row>
    <row r="27" spans="1:29" x14ac:dyDescent="0.3">
      <c r="A27" s="305"/>
      <c r="B27" s="95" t="s">
        <v>234</v>
      </c>
      <c r="C27" s="96">
        <v>1610</v>
      </c>
      <c r="D27" s="95">
        <v>39.1</v>
      </c>
      <c r="E27" s="95">
        <v>1134</v>
      </c>
      <c r="F27" s="96">
        <v>1248</v>
      </c>
      <c r="G27" s="95">
        <v>15.6</v>
      </c>
      <c r="H27" s="95">
        <v>845</v>
      </c>
      <c r="I27" s="96">
        <v>11680</v>
      </c>
      <c r="J27" s="95">
        <v>29.7</v>
      </c>
      <c r="K27" s="96">
        <v>7358</v>
      </c>
      <c r="L27" s="95">
        <v>32</v>
      </c>
      <c r="M27" s="95">
        <v>8.6999999999999993</v>
      </c>
      <c r="N27" s="95">
        <v>22</v>
      </c>
      <c r="O27" s="95">
        <v>57</v>
      </c>
      <c r="P27" s="95">
        <v>5.2</v>
      </c>
      <c r="Q27" s="95">
        <v>39</v>
      </c>
      <c r="R27" s="96">
        <v>3240</v>
      </c>
      <c r="S27" s="95">
        <v>17.899999999999999</v>
      </c>
      <c r="T27" s="96">
        <v>2300</v>
      </c>
      <c r="U27" s="95">
        <v>27</v>
      </c>
      <c r="V27" s="95">
        <v>32.9</v>
      </c>
      <c r="W27" s="95">
        <v>18</v>
      </c>
      <c r="X27" s="95">
        <v>589</v>
      </c>
      <c r="Y27" s="95">
        <v>15.9</v>
      </c>
      <c r="Z27" s="95">
        <v>387</v>
      </c>
      <c r="AA27" s="96">
        <v>18483</v>
      </c>
      <c r="AB27" s="95">
        <v>24.7</v>
      </c>
      <c r="AC27" s="30">
        <v>12103</v>
      </c>
    </row>
    <row r="28" spans="1:29" x14ac:dyDescent="0.3">
      <c r="A28" s="305"/>
      <c r="B28" s="95" t="s">
        <v>236</v>
      </c>
      <c r="C28" s="95">
        <v>635</v>
      </c>
      <c r="D28" s="95">
        <v>15.4</v>
      </c>
      <c r="E28" s="95">
        <v>821</v>
      </c>
      <c r="F28" s="96">
        <v>1439</v>
      </c>
      <c r="G28" s="95">
        <v>18</v>
      </c>
      <c r="H28" s="96">
        <v>1941</v>
      </c>
      <c r="I28" s="96">
        <v>7042</v>
      </c>
      <c r="J28" s="95">
        <v>17.899999999999999</v>
      </c>
      <c r="K28" s="96">
        <v>9039</v>
      </c>
      <c r="L28" s="95">
        <v>42</v>
      </c>
      <c r="M28" s="95">
        <v>11.4</v>
      </c>
      <c r="N28" s="95">
        <v>55</v>
      </c>
      <c r="O28" s="95">
        <v>123</v>
      </c>
      <c r="P28" s="95">
        <v>11.2</v>
      </c>
      <c r="Q28" s="95">
        <v>176</v>
      </c>
      <c r="R28" s="96">
        <v>5449</v>
      </c>
      <c r="S28" s="95">
        <v>30.1</v>
      </c>
      <c r="T28" s="96">
        <v>7859</v>
      </c>
      <c r="U28" s="95">
        <v>21</v>
      </c>
      <c r="V28" s="95">
        <v>25.6</v>
      </c>
      <c r="W28" s="95">
        <v>29</v>
      </c>
      <c r="X28" s="95">
        <v>678</v>
      </c>
      <c r="Y28" s="95">
        <v>18.2</v>
      </c>
      <c r="Z28" s="95">
        <v>925</v>
      </c>
      <c r="AA28" s="96">
        <v>15429</v>
      </c>
      <c r="AB28" s="95">
        <v>20.6</v>
      </c>
      <c r="AC28" s="30">
        <v>20846</v>
      </c>
    </row>
    <row r="29" spans="1:29" x14ac:dyDescent="0.3">
      <c r="A29" s="305"/>
      <c r="B29" s="95" t="s">
        <v>238</v>
      </c>
      <c r="C29" s="95">
        <v>265</v>
      </c>
      <c r="D29" s="95">
        <v>6.4</v>
      </c>
      <c r="E29" s="95">
        <v>610</v>
      </c>
      <c r="F29" s="95">
        <v>826</v>
      </c>
      <c r="G29" s="95">
        <v>10.3</v>
      </c>
      <c r="H29" s="96">
        <v>1914</v>
      </c>
      <c r="I29" s="96">
        <v>2884</v>
      </c>
      <c r="J29" s="95">
        <v>7.3</v>
      </c>
      <c r="K29" s="96">
        <v>6555</v>
      </c>
      <c r="L29" s="95">
        <v>19</v>
      </c>
      <c r="M29" s="95">
        <v>5.0999999999999996</v>
      </c>
      <c r="N29" s="95">
        <v>45</v>
      </c>
      <c r="O29" s="95">
        <v>88</v>
      </c>
      <c r="P29" s="95">
        <v>8</v>
      </c>
      <c r="Q29" s="95">
        <v>205</v>
      </c>
      <c r="R29" s="96">
        <v>3299</v>
      </c>
      <c r="S29" s="95">
        <v>18.2</v>
      </c>
      <c r="T29" s="96">
        <v>7504</v>
      </c>
      <c r="U29" s="95">
        <v>2</v>
      </c>
      <c r="V29" s="95">
        <v>2.4</v>
      </c>
      <c r="W29" s="95">
        <v>4</v>
      </c>
      <c r="X29" s="95">
        <v>343</v>
      </c>
      <c r="Y29" s="95">
        <v>9.1999999999999993</v>
      </c>
      <c r="Z29" s="95">
        <v>776</v>
      </c>
      <c r="AA29" s="96">
        <v>7726</v>
      </c>
      <c r="AB29" s="95">
        <v>10.3</v>
      </c>
      <c r="AC29" s="30">
        <v>17613</v>
      </c>
    </row>
    <row r="30" spans="1:29" x14ac:dyDescent="0.3">
      <c r="A30" s="305"/>
      <c r="B30" s="95" t="s">
        <v>240</v>
      </c>
      <c r="C30" s="95">
        <v>239</v>
      </c>
      <c r="D30" s="95">
        <v>5.8</v>
      </c>
      <c r="E30" s="95">
        <v>900</v>
      </c>
      <c r="F30" s="95">
        <v>802</v>
      </c>
      <c r="G30" s="95">
        <v>10</v>
      </c>
      <c r="H30" s="96">
        <v>3013</v>
      </c>
      <c r="I30" s="96">
        <v>2081</v>
      </c>
      <c r="J30" s="95">
        <v>5.3</v>
      </c>
      <c r="K30" s="96">
        <v>7643</v>
      </c>
      <c r="L30" s="95">
        <v>40</v>
      </c>
      <c r="M30" s="95">
        <v>10.8</v>
      </c>
      <c r="N30" s="95">
        <v>155</v>
      </c>
      <c r="O30" s="95">
        <v>159</v>
      </c>
      <c r="P30" s="95">
        <v>14.4</v>
      </c>
      <c r="Q30" s="95">
        <v>621</v>
      </c>
      <c r="R30" s="96">
        <v>1794</v>
      </c>
      <c r="S30" s="95">
        <v>9.9</v>
      </c>
      <c r="T30" s="96">
        <v>6638</v>
      </c>
      <c r="U30" s="95"/>
      <c r="V30" s="95"/>
      <c r="W30" s="95"/>
      <c r="X30" s="95">
        <v>288</v>
      </c>
      <c r="Y30" s="95">
        <v>7.8</v>
      </c>
      <c r="Z30" s="95">
        <v>1069</v>
      </c>
      <c r="AA30" s="96">
        <v>5403</v>
      </c>
      <c r="AB30" s="95">
        <v>7.2</v>
      </c>
      <c r="AC30" s="30">
        <v>20038</v>
      </c>
    </row>
    <row r="31" spans="1:29" x14ac:dyDescent="0.3">
      <c r="A31" s="305"/>
      <c r="B31" s="95" t="s">
        <v>242</v>
      </c>
      <c r="C31" s="95">
        <v>127</v>
      </c>
      <c r="D31" s="95">
        <v>3.1</v>
      </c>
      <c r="E31" s="95">
        <v>841</v>
      </c>
      <c r="F31" s="95">
        <v>1007</v>
      </c>
      <c r="G31" s="95">
        <v>12.6</v>
      </c>
      <c r="H31" s="96">
        <v>6987</v>
      </c>
      <c r="I31" s="96">
        <v>1290</v>
      </c>
      <c r="J31" s="95">
        <v>3.3</v>
      </c>
      <c r="K31" s="96">
        <v>8656</v>
      </c>
      <c r="L31" s="95">
        <v>52</v>
      </c>
      <c r="M31" s="95">
        <v>14.1</v>
      </c>
      <c r="N31" s="95">
        <v>381</v>
      </c>
      <c r="O31" s="95">
        <v>296</v>
      </c>
      <c r="P31" s="95">
        <v>26.9</v>
      </c>
      <c r="Q31" s="96">
        <v>2176</v>
      </c>
      <c r="R31" s="96">
        <v>1548</v>
      </c>
      <c r="S31" s="95">
        <v>8.6</v>
      </c>
      <c r="T31" s="96">
        <v>10730</v>
      </c>
      <c r="U31" s="95">
        <v>2</v>
      </c>
      <c r="V31" s="95">
        <v>2.4</v>
      </c>
      <c r="W31" s="95">
        <v>13</v>
      </c>
      <c r="X31" s="95">
        <v>255</v>
      </c>
      <c r="Y31" s="95">
        <v>6.9</v>
      </c>
      <c r="Z31" s="96">
        <v>1773</v>
      </c>
      <c r="AA31" s="96">
        <v>4577</v>
      </c>
      <c r="AB31" s="95">
        <v>6.1</v>
      </c>
      <c r="AC31" s="30">
        <v>31555</v>
      </c>
    </row>
    <row r="32" spans="1:29" x14ac:dyDescent="0.3">
      <c r="A32" s="305"/>
      <c r="B32" s="95" t="s">
        <v>231</v>
      </c>
      <c r="C32" s="95">
        <v>115</v>
      </c>
      <c r="D32" s="95">
        <v>2.8</v>
      </c>
      <c r="E32" s="96">
        <v>7694</v>
      </c>
      <c r="F32" s="96">
        <v>1528</v>
      </c>
      <c r="G32" s="95">
        <v>19.100000000000001</v>
      </c>
      <c r="H32" s="96">
        <v>81051</v>
      </c>
      <c r="I32" s="95">
        <v>851</v>
      </c>
      <c r="J32" s="95">
        <v>2.2000000000000002</v>
      </c>
      <c r="K32" s="96">
        <v>20555</v>
      </c>
      <c r="L32" s="95">
        <v>142</v>
      </c>
      <c r="M32" s="95">
        <v>38.5</v>
      </c>
      <c r="N32" s="96">
        <v>3662</v>
      </c>
      <c r="O32" s="95">
        <v>252</v>
      </c>
      <c r="P32" s="95">
        <v>22.9</v>
      </c>
      <c r="Q32" s="96">
        <v>12921</v>
      </c>
      <c r="R32" s="95">
        <v>896</v>
      </c>
      <c r="S32" s="95">
        <v>5</v>
      </c>
      <c r="T32" s="96">
        <v>14119</v>
      </c>
      <c r="U32" s="95">
        <v>12</v>
      </c>
      <c r="V32" s="95">
        <v>14.6</v>
      </c>
      <c r="W32" s="96">
        <v>2565</v>
      </c>
      <c r="X32" s="95">
        <v>591</v>
      </c>
      <c r="Y32" s="95">
        <v>15.9</v>
      </c>
      <c r="Z32" s="96">
        <v>16118</v>
      </c>
      <c r="AA32" s="96">
        <v>4387</v>
      </c>
      <c r="AB32" s="95">
        <v>5.9</v>
      </c>
      <c r="AC32" s="30">
        <v>158685</v>
      </c>
    </row>
    <row r="33" spans="1:29" x14ac:dyDescent="0.3">
      <c r="A33" s="306"/>
      <c r="B33" s="97" t="s">
        <v>72</v>
      </c>
      <c r="C33" s="98">
        <v>4116</v>
      </c>
      <c r="D33" s="97">
        <v>100</v>
      </c>
      <c r="E33" s="98">
        <v>12313</v>
      </c>
      <c r="F33" s="98">
        <v>7983</v>
      </c>
      <c r="G33" s="97">
        <v>100</v>
      </c>
      <c r="H33" s="98">
        <v>96058</v>
      </c>
      <c r="I33" s="98">
        <v>39281</v>
      </c>
      <c r="J33" s="97">
        <v>100</v>
      </c>
      <c r="K33" s="98">
        <v>63317</v>
      </c>
      <c r="L33" s="97">
        <v>369</v>
      </c>
      <c r="M33" s="97">
        <v>100</v>
      </c>
      <c r="N33" s="98">
        <v>4327</v>
      </c>
      <c r="O33" s="97">
        <v>1101</v>
      </c>
      <c r="P33" s="97">
        <v>100</v>
      </c>
      <c r="Q33" s="98">
        <v>16166</v>
      </c>
      <c r="R33" s="98">
        <v>18097</v>
      </c>
      <c r="S33" s="97">
        <v>100</v>
      </c>
      <c r="T33" s="98">
        <v>49721</v>
      </c>
      <c r="U33" s="97">
        <v>82</v>
      </c>
      <c r="V33" s="97">
        <v>100</v>
      </c>
      <c r="W33" s="98">
        <v>2634</v>
      </c>
      <c r="X33" s="98">
        <v>3716</v>
      </c>
      <c r="Y33" s="97">
        <v>100</v>
      </c>
      <c r="Z33" s="98">
        <v>21254</v>
      </c>
      <c r="AA33" s="98">
        <v>74745</v>
      </c>
      <c r="AB33" s="97">
        <v>100</v>
      </c>
      <c r="AC33" s="32">
        <v>265791</v>
      </c>
    </row>
    <row r="34" spans="1:29" x14ac:dyDescent="0.3">
      <c r="A34" s="304" t="s">
        <v>369</v>
      </c>
      <c r="B34" s="95" t="s">
        <v>230</v>
      </c>
      <c r="C34" s="95">
        <v>478</v>
      </c>
      <c r="D34" s="95">
        <v>11.5</v>
      </c>
      <c r="E34" s="95">
        <v>68</v>
      </c>
      <c r="F34" s="95">
        <v>600</v>
      </c>
      <c r="G34" s="95">
        <v>7.8</v>
      </c>
      <c r="H34" s="95">
        <v>83</v>
      </c>
      <c r="I34" s="96">
        <v>6577</v>
      </c>
      <c r="J34" s="95">
        <v>17</v>
      </c>
      <c r="K34" s="96">
        <v>1114</v>
      </c>
      <c r="L34" s="95">
        <v>49</v>
      </c>
      <c r="M34" s="95">
        <v>10.6</v>
      </c>
      <c r="N34" s="95">
        <v>8</v>
      </c>
      <c r="O34" s="95">
        <v>118</v>
      </c>
      <c r="P34" s="95">
        <v>9.3000000000000007</v>
      </c>
      <c r="Q34" s="95">
        <v>21</v>
      </c>
      <c r="R34" s="96">
        <v>1416</v>
      </c>
      <c r="S34" s="95">
        <v>7</v>
      </c>
      <c r="T34" s="95">
        <v>174</v>
      </c>
      <c r="U34" s="95">
        <v>13</v>
      </c>
      <c r="V34" s="95">
        <v>13</v>
      </c>
      <c r="W34" s="95">
        <v>3</v>
      </c>
      <c r="X34" s="95">
        <v>632</v>
      </c>
      <c r="Y34" s="95">
        <v>17.2</v>
      </c>
      <c r="Z34" s="95">
        <v>91</v>
      </c>
      <c r="AA34" s="96">
        <v>9883</v>
      </c>
      <c r="AB34" s="95">
        <v>13</v>
      </c>
      <c r="AC34" s="30">
        <v>1560</v>
      </c>
    </row>
    <row r="35" spans="1:29" x14ac:dyDescent="0.3">
      <c r="A35" s="305"/>
      <c r="B35" s="95" t="s">
        <v>232</v>
      </c>
      <c r="C35" s="95">
        <v>508</v>
      </c>
      <c r="D35" s="95">
        <v>12.2</v>
      </c>
      <c r="E35" s="95">
        <v>193</v>
      </c>
      <c r="F35" s="95">
        <v>547</v>
      </c>
      <c r="G35" s="95">
        <v>7.1</v>
      </c>
      <c r="H35" s="95">
        <v>209</v>
      </c>
      <c r="I35" s="96">
        <v>5762</v>
      </c>
      <c r="J35" s="95">
        <v>14.9</v>
      </c>
      <c r="K35" s="96">
        <v>2238</v>
      </c>
      <c r="L35" s="95">
        <v>19</v>
      </c>
      <c r="M35" s="95">
        <v>4.0999999999999996</v>
      </c>
      <c r="N35" s="95">
        <v>7</v>
      </c>
      <c r="O35" s="95">
        <v>22</v>
      </c>
      <c r="P35" s="95">
        <v>1.7</v>
      </c>
      <c r="Q35" s="95">
        <v>8</v>
      </c>
      <c r="R35" s="95">
        <v>1131</v>
      </c>
      <c r="S35" s="95">
        <v>5.6</v>
      </c>
      <c r="T35" s="95">
        <v>484</v>
      </c>
      <c r="U35" s="95">
        <v>11</v>
      </c>
      <c r="V35" s="95">
        <v>11</v>
      </c>
      <c r="W35" s="95">
        <v>4</v>
      </c>
      <c r="X35" s="95">
        <v>296</v>
      </c>
      <c r="Y35" s="95">
        <v>8</v>
      </c>
      <c r="Z35" s="95">
        <v>116</v>
      </c>
      <c r="AA35" s="96">
        <v>8296</v>
      </c>
      <c r="AB35" s="95">
        <v>10.9</v>
      </c>
      <c r="AC35" s="30">
        <v>3258</v>
      </c>
    </row>
    <row r="36" spans="1:29" x14ac:dyDescent="0.3">
      <c r="A36" s="305"/>
      <c r="B36" s="95" t="s">
        <v>234</v>
      </c>
      <c r="C36" s="96">
        <v>1567</v>
      </c>
      <c r="D36" s="95">
        <v>37.6</v>
      </c>
      <c r="E36" s="96">
        <v>1119</v>
      </c>
      <c r="F36" s="96">
        <v>1007</v>
      </c>
      <c r="G36" s="95">
        <v>13.1</v>
      </c>
      <c r="H36" s="95">
        <v>690</v>
      </c>
      <c r="I36" s="96">
        <v>11190</v>
      </c>
      <c r="J36" s="95">
        <v>29</v>
      </c>
      <c r="K36" s="96">
        <v>7469</v>
      </c>
      <c r="L36" s="95">
        <v>34</v>
      </c>
      <c r="M36" s="95">
        <v>7.3</v>
      </c>
      <c r="N36" s="95">
        <v>23</v>
      </c>
      <c r="O36" s="95">
        <v>66</v>
      </c>
      <c r="P36" s="95">
        <v>5.2</v>
      </c>
      <c r="Q36" s="95">
        <v>43</v>
      </c>
      <c r="R36" s="96">
        <v>3354</v>
      </c>
      <c r="S36" s="95">
        <v>16.7</v>
      </c>
      <c r="T36" s="96">
        <v>2330</v>
      </c>
      <c r="U36" s="95">
        <v>31</v>
      </c>
      <c r="V36" s="95">
        <v>31</v>
      </c>
      <c r="W36" s="95">
        <v>22</v>
      </c>
      <c r="X36" s="95">
        <v>529</v>
      </c>
      <c r="Y36" s="95">
        <v>14.4</v>
      </c>
      <c r="Z36" s="95">
        <v>363</v>
      </c>
      <c r="AA36" s="96">
        <v>17778</v>
      </c>
      <c r="AB36" s="95">
        <v>23.4</v>
      </c>
      <c r="AC36" s="30">
        <v>12057</v>
      </c>
    </row>
    <row r="37" spans="1:29" x14ac:dyDescent="0.3">
      <c r="A37" s="305"/>
      <c r="B37" s="95" t="s">
        <v>236</v>
      </c>
      <c r="C37" s="95">
        <v>804</v>
      </c>
      <c r="D37" s="95">
        <v>19.3</v>
      </c>
      <c r="E37" s="95">
        <v>1038</v>
      </c>
      <c r="F37" s="96">
        <v>1374</v>
      </c>
      <c r="G37" s="95">
        <v>17.899999999999999</v>
      </c>
      <c r="H37" s="96">
        <v>1842</v>
      </c>
      <c r="I37" s="96">
        <v>7960</v>
      </c>
      <c r="J37" s="95">
        <v>20.6</v>
      </c>
      <c r="K37" s="96">
        <v>10608</v>
      </c>
      <c r="L37" s="95">
        <v>37</v>
      </c>
      <c r="M37" s="95">
        <v>8</v>
      </c>
      <c r="N37" s="95">
        <v>50</v>
      </c>
      <c r="O37" s="95">
        <v>92</v>
      </c>
      <c r="P37" s="95">
        <v>7.2</v>
      </c>
      <c r="Q37" s="95">
        <v>127</v>
      </c>
      <c r="R37" s="96">
        <v>6734</v>
      </c>
      <c r="S37" s="95">
        <v>33.5</v>
      </c>
      <c r="T37" s="96">
        <v>9451</v>
      </c>
      <c r="U37" s="95">
        <v>18</v>
      </c>
      <c r="V37" s="95">
        <v>18</v>
      </c>
      <c r="W37" s="95">
        <v>25</v>
      </c>
      <c r="X37" s="95">
        <v>656</v>
      </c>
      <c r="Y37" s="95">
        <v>17.8</v>
      </c>
      <c r="Z37" s="95">
        <v>868</v>
      </c>
      <c r="AA37" s="96">
        <v>17675</v>
      </c>
      <c r="AB37" s="95">
        <v>23.2</v>
      </c>
      <c r="AC37" s="30">
        <v>24009</v>
      </c>
    </row>
    <row r="38" spans="1:29" x14ac:dyDescent="0.3">
      <c r="A38" s="305"/>
      <c r="B38" s="95" t="s">
        <v>238</v>
      </c>
      <c r="C38" s="95">
        <v>265</v>
      </c>
      <c r="D38" s="95">
        <v>6.4</v>
      </c>
      <c r="E38" s="95">
        <v>624</v>
      </c>
      <c r="F38" s="95">
        <v>711</v>
      </c>
      <c r="G38" s="95">
        <v>9.1999999999999993</v>
      </c>
      <c r="H38" s="96">
        <v>1656</v>
      </c>
      <c r="I38" s="96">
        <v>2323</v>
      </c>
      <c r="J38" s="95">
        <v>6</v>
      </c>
      <c r="K38" s="96">
        <v>5316</v>
      </c>
      <c r="L38" s="95">
        <v>7</v>
      </c>
      <c r="M38" s="95">
        <v>1.5</v>
      </c>
      <c r="N38" s="95">
        <v>16</v>
      </c>
      <c r="O38" s="95">
        <v>71</v>
      </c>
      <c r="P38" s="95">
        <v>5.6</v>
      </c>
      <c r="Q38" s="95">
        <v>167</v>
      </c>
      <c r="R38" s="96">
        <v>2660</v>
      </c>
      <c r="S38" s="95">
        <v>13.2</v>
      </c>
      <c r="T38" s="96">
        <v>6093</v>
      </c>
      <c r="U38" s="95">
        <v>6</v>
      </c>
      <c r="V38" s="95">
        <v>6</v>
      </c>
      <c r="W38" s="95">
        <v>15</v>
      </c>
      <c r="X38" s="95">
        <v>361</v>
      </c>
      <c r="Y38" s="95">
        <v>9.8000000000000007</v>
      </c>
      <c r="Z38" s="95">
        <v>834</v>
      </c>
      <c r="AA38" s="96">
        <v>6404</v>
      </c>
      <c r="AB38" s="95">
        <v>8.4</v>
      </c>
      <c r="AC38" s="30">
        <v>14719</v>
      </c>
    </row>
    <row r="39" spans="1:29" x14ac:dyDescent="0.3">
      <c r="A39" s="305"/>
      <c r="B39" s="95" t="s">
        <v>240</v>
      </c>
      <c r="C39" s="95">
        <v>261</v>
      </c>
      <c r="D39" s="95">
        <v>6.3</v>
      </c>
      <c r="E39" s="95">
        <v>984</v>
      </c>
      <c r="F39" s="95">
        <v>775</v>
      </c>
      <c r="G39" s="95">
        <v>10.1</v>
      </c>
      <c r="H39" s="96">
        <v>2918</v>
      </c>
      <c r="I39" s="96">
        <v>2286</v>
      </c>
      <c r="J39" s="95">
        <v>5.9</v>
      </c>
      <c r="K39" s="96">
        <v>8501</v>
      </c>
      <c r="L39" s="95">
        <v>36</v>
      </c>
      <c r="M39" s="95">
        <v>7.8</v>
      </c>
      <c r="N39" s="95">
        <v>137</v>
      </c>
      <c r="O39" s="95">
        <v>204</v>
      </c>
      <c r="P39" s="95">
        <v>16.100000000000001</v>
      </c>
      <c r="Q39" s="95">
        <v>796</v>
      </c>
      <c r="R39" s="96">
        <v>2046</v>
      </c>
      <c r="S39" s="95">
        <v>10.199999999999999</v>
      </c>
      <c r="T39" s="96">
        <v>7762</v>
      </c>
      <c r="U39" s="95">
        <v>7</v>
      </c>
      <c r="V39" s="95">
        <v>7</v>
      </c>
      <c r="W39" s="95">
        <v>26</v>
      </c>
      <c r="X39" s="95">
        <v>307</v>
      </c>
      <c r="Y39" s="95">
        <v>8.3000000000000007</v>
      </c>
      <c r="Z39" s="96">
        <v>1125</v>
      </c>
      <c r="AA39" s="96">
        <v>5922</v>
      </c>
      <c r="AB39" s="95">
        <v>7.8</v>
      </c>
      <c r="AC39" s="30">
        <v>22248</v>
      </c>
    </row>
    <row r="40" spans="1:29" x14ac:dyDescent="0.3">
      <c r="A40" s="305"/>
      <c r="B40" s="95" t="s">
        <v>242</v>
      </c>
      <c r="C40" s="95">
        <v>156</v>
      </c>
      <c r="D40" s="95">
        <v>3.7</v>
      </c>
      <c r="E40" s="95">
        <v>1034</v>
      </c>
      <c r="F40" s="96">
        <v>994</v>
      </c>
      <c r="G40" s="95">
        <v>12.9</v>
      </c>
      <c r="H40" s="96">
        <v>6968</v>
      </c>
      <c r="I40" s="96">
        <v>1453</v>
      </c>
      <c r="J40" s="95">
        <v>3.8</v>
      </c>
      <c r="K40" s="96">
        <v>9869</v>
      </c>
      <c r="L40" s="95">
        <v>73</v>
      </c>
      <c r="M40" s="95">
        <v>15.7</v>
      </c>
      <c r="N40" s="95">
        <v>556</v>
      </c>
      <c r="O40" s="95">
        <v>327</v>
      </c>
      <c r="P40" s="95">
        <v>25.7</v>
      </c>
      <c r="Q40" s="96">
        <v>2376</v>
      </c>
      <c r="R40" s="96">
        <v>1705</v>
      </c>
      <c r="S40" s="95">
        <v>8.5</v>
      </c>
      <c r="T40" s="96">
        <v>12022</v>
      </c>
      <c r="U40" s="95">
        <v>3</v>
      </c>
      <c r="V40" s="95">
        <v>3</v>
      </c>
      <c r="W40" s="95">
        <v>22</v>
      </c>
      <c r="X40" s="95">
        <v>296</v>
      </c>
      <c r="Y40" s="95">
        <v>8</v>
      </c>
      <c r="Z40" s="96">
        <v>2064</v>
      </c>
      <c r="AA40" s="96">
        <v>5007</v>
      </c>
      <c r="AB40" s="95">
        <v>6.6</v>
      </c>
      <c r="AC40" s="30">
        <v>34911</v>
      </c>
    </row>
    <row r="41" spans="1:29" x14ac:dyDescent="0.3">
      <c r="A41" s="305"/>
      <c r="B41" s="95" t="s">
        <v>231</v>
      </c>
      <c r="C41" s="95">
        <v>125</v>
      </c>
      <c r="D41" s="95">
        <v>3</v>
      </c>
      <c r="E41" s="96">
        <v>7965</v>
      </c>
      <c r="F41" s="96">
        <v>1681</v>
      </c>
      <c r="G41" s="95">
        <v>21.9</v>
      </c>
      <c r="H41" s="96">
        <v>89372</v>
      </c>
      <c r="I41" s="95">
        <v>1030</v>
      </c>
      <c r="J41" s="95">
        <v>2.7</v>
      </c>
      <c r="K41" s="96">
        <v>24624</v>
      </c>
      <c r="L41" s="95">
        <v>209</v>
      </c>
      <c r="M41" s="95">
        <v>45</v>
      </c>
      <c r="N41" s="96">
        <v>5093</v>
      </c>
      <c r="O41" s="95">
        <v>371</v>
      </c>
      <c r="P41" s="95">
        <v>29.2</v>
      </c>
      <c r="Q41" s="96">
        <v>15178</v>
      </c>
      <c r="R41" s="95">
        <v>1055</v>
      </c>
      <c r="S41" s="95">
        <v>5.2</v>
      </c>
      <c r="T41" s="96">
        <v>16609</v>
      </c>
      <c r="U41" s="95">
        <v>11</v>
      </c>
      <c r="V41" s="95">
        <v>11</v>
      </c>
      <c r="W41" s="96">
        <v>509</v>
      </c>
      <c r="X41" s="95">
        <v>605</v>
      </c>
      <c r="Y41" s="95">
        <v>16.399999999999999</v>
      </c>
      <c r="Z41" s="96">
        <v>14668</v>
      </c>
      <c r="AA41" s="96">
        <v>5087</v>
      </c>
      <c r="AB41" s="95">
        <v>6.7</v>
      </c>
      <c r="AC41" s="30">
        <v>174019</v>
      </c>
    </row>
    <row r="42" spans="1:29" x14ac:dyDescent="0.3">
      <c r="A42" s="306"/>
      <c r="B42" s="97" t="s">
        <v>72</v>
      </c>
      <c r="C42" s="98">
        <v>4164</v>
      </c>
      <c r="D42" s="97">
        <v>100</v>
      </c>
      <c r="E42" s="98">
        <v>13024</v>
      </c>
      <c r="F42" s="98">
        <v>7689</v>
      </c>
      <c r="G42" s="97">
        <v>100</v>
      </c>
      <c r="H42" s="98">
        <v>103737</v>
      </c>
      <c r="I42" s="98">
        <v>38581</v>
      </c>
      <c r="J42" s="97">
        <v>100</v>
      </c>
      <c r="K42" s="98">
        <v>69738</v>
      </c>
      <c r="L42" s="97">
        <v>464</v>
      </c>
      <c r="M42" s="97">
        <v>100</v>
      </c>
      <c r="N42" s="98">
        <v>5889</v>
      </c>
      <c r="O42" s="98">
        <v>1271</v>
      </c>
      <c r="P42" s="97">
        <v>100</v>
      </c>
      <c r="Q42" s="98">
        <v>18716</v>
      </c>
      <c r="R42" s="98">
        <v>20101</v>
      </c>
      <c r="S42" s="97">
        <v>100</v>
      </c>
      <c r="T42" s="98">
        <v>54924</v>
      </c>
      <c r="U42" s="97">
        <v>100</v>
      </c>
      <c r="V42" s="97">
        <v>100</v>
      </c>
      <c r="W42" s="98">
        <v>626</v>
      </c>
      <c r="X42" s="98">
        <v>3682</v>
      </c>
      <c r="Y42" s="97">
        <v>100</v>
      </c>
      <c r="Z42" s="98">
        <v>20128</v>
      </c>
      <c r="AA42" s="98">
        <v>76052</v>
      </c>
      <c r="AB42" s="97">
        <v>100</v>
      </c>
      <c r="AC42" s="32">
        <v>286782</v>
      </c>
    </row>
    <row r="43" spans="1:29" x14ac:dyDescent="0.3">
      <c r="A43" s="304" t="s">
        <v>402</v>
      </c>
      <c r="B43" s="13" t="s">
        <v>230</v>
      </c>
      <c r="C43" s="13">
        <v>119</v>
      </c>
      <c r="D43" s="13">
        <v>5.3</v>
      </c>
      <c r="E43" s="13">
        <v>17.172617349999999</v>
      </c>
      <c r="F43" s="13">
        <v>589</v>
      </c>
      <c r="G43" s="13">
        <v>7.9</v>
      </c>
      <c r="H43" s="13">
        <v>84.790891729999998</v>
      </c>
      <c r="I43" s="14">
        <v>6951</v>
      </c>
      <c r="J43" s="13">
        <v>18.899999999999999</v>
      </c>
      <c r="K43" s="14">
        <v>1205.2838197000001</v>
      </c>
      <c r="L43" s="13">
        <v>45</v>
      </c>
      <c r="M43" s="13">
        <v>9.1</v>
      </c>
      <c r="N43" s="13">
        <v>6.9838699999999996</v>
      </c>
      <c r="O43" s="13">
        <v>131</v>
      </c>
      <c r="P43" s="13">
        <v>9.9</v>
      </c>
      <c r="Q43" s="13">
        <v>23.16980199</v>
      </c>
      <c r="R43" s="14">
        <v>2830</v>
      </c>
      <c r="S43" s="13">
        <v>13.6</v>
      </c>
      <c r="T43" s="13">
        <v>384.88043390000001</v>
      </c>
      <c r="U43" s="13">
        <v>0</v>
      </c>
      <c r="V43" s="13">
        <v>0</v>
      </c>
      <c r="W43" s="13">
        <v>0</v>
      </c>
      <c r="X43" s="13">
        <v>83</v>
      </c>
      <c r="Y43" s="13">
        <v>3.1</v>
      </c>
      <c r="Z43" s="13">
        <v>13.397729999999999</v>
      </c>
      <c r="AA43" s="14">
        <v>10748</v>
      </c>
      <c r="AB43" s="13">
        <v>15</v>
      </c>
      <c r="AC43" s="30">
        <v>1736</v>
      </c>
    </row>
    <row r="44" spans="1:29" x14ac:dyDescent="0.3">
      <c r="A44" s="305"/>
      <c r="B44" s="13" t="s">
        <v>232</v>
      </c>
      <c r="C44" s="13">
        <v>89</v>
      </c>
      <c r="D44" s="13">
        <v>3.9</v>
      </c>
      <c r="E44" s="13">
        <v>33.893347400000003</v>
      </c>
      <c r="F44" s="13">
        <v>486</v>
      </c>
      <c r="G44" s="13">
        <v>6.5</v>
      </c>
      <c r="H44" s="13">
        <v>182.95885238</v>
      </c>
      <c r="I44" s="14">
        <v>4912</v>
      </c>
      <c r="J44" s="13">
        <v>13.4</v>
      </c>
      <c r="K44" s="14">
        <v>1928.0850617399999</v>
      </c>
      <c r="L44" s="13">
        <v>12</v>
      </c>
      <c r="M44" s="13">
        <v>2.4</v>
      </c>
      <c r="N44" s="13">
        <v>4.415</v>
      </c>
      <c r="O44" s="13">
        <v>37</v>
      </c>
      <c r="P44" s="13">
        <v>2.8</v>
      </c>
      <c r="Q44" s="13">
        <v>12.114162479999999</v>
      </c>
      <c r="R44" s="13">
        <v>501</v>
      </c>
      <c r="S44" s="13">
        <v>2.4</v>
      </c>
      <c r="T44" s="13">
        <v>184.61948777000001</v>
      </c>
      <c r="U44" s="13">
        <v>1</v>
      </c>
      <c r="V44" s="13">
        <v>1.5</v>
      </c>
      <c r="W44" s="13">
        <v>0.3</v>
      </c>
      <c r="X44" s="13">
        <v>151</v>
      </c>
      <c r="Y44" s="13">
        <v>5.6</v>
      </c>
      <c r="Z44" s="13">
        <v>60.406295049999997</v>
      </c>
      <c r="AA44" s="14">
        <v>6189</v>
      </c>
      <c r="AB44" s="13">
        <v>8.6</v>
      </c>
      <c r="AC44" s="30">
        <v>2407</v>
      </c>
    </row>
    <row r="45" spans="1:29" x14ac:dyDescent="0.3">
      <c r="A45" s="305"/>
      <c r="B45" s="13" t="s">
        <v>234</v>
      </c>
      <c r="C45" s="14">
        <v>260</v>
      </c>
      <c r="D45" s="13">
        <v>11.5</v>
      </c>
      <c r="E45" s="14">
        <v>188.78954999999999</v>
      </c>
      <c r="F45" s="14">
        <v>975</v>
      </c>
      <c r="G45" s="13">
        <v>13</v>
      </c>
      <c r="H45" s="13">
        <v>703.15008537000006</v>
      </c>
      <c r="I45" s="14">
        <v>10172</v>
      </c>
      <c r="J45" s="13">
        <v>27.7</v>
      </c>
      <c r="K45" s="14">
        <v>7236.9249927399997</v>
      </c>
      <c r="L45" s="13">
        <v>28</v>
      </c>
      <c r="M45" s="13">
        <v>5.7</v>
      </c>
      <c r="N45" s="13">
        <v>19.993390000000002</v>
      </c>
      <c r="O45" s="13">
        <v>62</v>
      </c>
      <c r="P45" s="13">
        <v>4.7</v>
      </c>
      <c r="Q45" s="13">
        <v>40.949190000000002</v>
      </c>
      <c r="R45" s="14">
        <v>3636</v>
      </c>
      <c r="S45" s="13">
        <v>17.5</v>
      </c>
      <c r="T45" s="14">
        <v>2468.2127950099998</v>
      </c>
      <c r="U45" s="13">
        <v>15</v>
      </c>
      <c r="V45" s="13">
        <v>22.7</v>
      </c>
      <c r="W45" s="13">
        <v>11.12</v>
      </c>
      <c r="X45" s="13">
        <v>414</v>
      </c>
      <c r="Y45" s="13">
        <v>15.3</v>
      </c>
      <c r="Z45" s="13">
        <v>287.75324430000001</v>
      </c>
      <c r="AA45" s="14">
        <v>15562</v>
      </c>
      <c r="AB45" s="13">
        <v>21.7</v>
      </c>
      <c r="AC45" s="30">
        <v>10957</v>
      </c>
    </row>
    <row r="46" spans="1:29" x14ac:dyDescent="0.3">
      <c r="A46" s="305"/>
      <c r="B46" s="13" t="s">
        <v>236</v>
      </c>
      <c r="C46" s="13">
        <v>505</v>
      </c>
      <c r="D46" s="13">
        <v>22.4</v>
      </c>
      <c r="E46" s="13">
        <v>725.60373509999999</v>
      </c>
      <c r="F46" s="14">
        <v>1306</v>
      </c>
      <c r="G46" s="13">
        <v>17.399999999999999</v>
      </c>
      <c r="H46" s="14">
        <v>1789.95500281</v>
      </c>
      <c r="I46" s="14">
        <v>7494</v>
      </c>
      <c r="J46" s="13">
        <v>20.399999999999999</v>
      </c>
      <c r="K46" s="14">
        <v>10465.410533</v>
      </c>
      <c r="L46" s="13">
        <v>36</v>
      </c>
      <c r="M46" s="13">
        <v>7.3</v>
      </c>
      <c r="N46" s="13">
        <v>45.118290000000002</v>
      </c>
      <c r="O46" s="13">
        <v>95</v>
      </c>
      <c r="P46" s="13">
        <v>7.2</v>
      </c>
      <c r="Q46" s="13">
        <v>128.44109702</v>
      </c>
      <c r="R46" s="14">
        <v>4999</v>
      </c>
      <c r="S46" s="13">
        <v>24.1</v>
      </c>
      <c r="T46" s="14">
        <v>6985.6832335199997</v>
      </c>
      <c r="U46" s="13">
        <v>19</v>
      </c>
      <c r="V46" s="13">
        <v>28.8</v>
      </c>
      <c r="W46" s="13">
        <v>28.71</v>
      </c>
      <c r="X46" s="13">
        <v>544</v>
      </c>
      <c r="Y46" s="13">
        <v>20.100000000000001</v>
      </c>
      <c r="Z46" s="13">
        <v>715.04864310000005</v>
      </c>
      <c r="AA46" s="14">
        <v>14998</v>
      </c>
      <c r="AB46" s="13">
        <v>20.9</v>
      </c>
      <c r="AC46" s="30">
        <v>20884</v>
      </c>
    </row>
    <row r="47" spans="1:29" x14ac:dyDescent="0.3">
      <c r="A47" s="305"/>
      <c r="B47" s="13" t="s">
        <v>238</v>
      </c>
      <c r="C47" s="13">
        <v>445</v>
      </c>
      <c r="D47" s="13">
        <v>19.7</v>
      </c>
      <c r="E47" s="13">
        <v>1036.0032849900001</v>
      </c>
      <c r="F47" s="13">
        <v>652</v>
      </c>
      <c r="G47" s="13">
        <v>8.6999999999999993</v>
      </c>
      <c r="H47" s="14">
        <v>1535.9081314</v>
      </c>
      <c r="I47" s="14">
        <v>1948</v>
      </c>
      <c r="J47" s="13">
        <v>5.3</v>
      </c>
      <c r="K47" s="14">
        <v>4490.2709826299997</v>
      </c>
      <c r="L47" s="13">
        <v>17</v>
      </c>
      <c r="M47" s="13">
        <v>3.4</v>
      </c>
      <c r="N47" s="13">
        <v>39.590000000000003</v>
      </c>
      <c r="O47" s="13">
        <v>69</v>
      </c>
      <c r="P47" s="13">
        <v>5.2</v>
      </c>
      <c r="Q47" s="13">
        <v>162.08506</v>
      </c>
      <c r="R47" s="14">
        <v>3774</v>
      </c>
      <c r="S47" s="13">
        <v>18.2</v>
      </c>
      <c r="T47" s="14">
        <v>8518.3936928399999</v>
      </c>
      <c r="U47" s="13">
        <v>7</v>
      </c>
      <c r="V47" s="13">
        <v>10.6</v>
      </c>
      <c r="W47" s="13">
        <v>16.37</v>
      </c>
      <c r="X47" s="13">
        <v>321</v>
      </c>
      <c r="Y47" s="13">
        <v>11.8</v>
      </c>
      <c r="Z47" s="13">
        <v>759.18223453999997</v>
      </c>
      <c r="AA47" s="14">
        <v>7233</v>
      </c>
      <c r="AB47" s="13">
        <v>10.1</v>
      </c>
      <c r="AC47" s="30">
        <v>16558</v>
      </c>
    </row>
    <row r="48" spans="1:29" x14ac:dyDescent="0.3">
      <c r="A48" s="305"/>
      <c r="B48" s="13" t="s">
        <v>240</v>
      </c>
      <c r="C48" s="13">
        <v>437</v>
      </c>
      <c r="D48" s="13">
        <v>19.399999999999999</v>
      </c>
      <c r="E48" s="13">
        <v>1619.15409692</v>
      </c>
      <c r="F48" s="13">
        <v>744</v>
      </c>
      <c r="G48" s="13">
        <v>9.9</v>
      </c>
      <c r="H48" s="14">
        <v>2807.1842204700001</v>
      </c>
      <c r="I48" s="14">
        <v>2287</v>
      </c>
      <c r="J48" s="13">
        <v>6.2</v>
      </c>
      <c r="K48" s="14">
        <v>8464.5199937899997</v>
      </c>
      <c r="L48" s="13">
        <v>36</v>
      </c>
      <c r="M48" s="13">
        <v>7.3</v>
      </c>
      <c r="N48" s="13">
        <v>140.97049999999999</v>
      </c>
      <c r="O48" s="13">
        <v>131</v>
      </c>
      <c r="P48" s="13">
        <v>9.9</v>
      </c>
      <c r="Q48" s="13">
        <v>502.14120129999998</v>
      </c>
      <c r="R48" s="14">
        <v>1992</v>
      </c>
      <c r="S48" s="13">
        <v>9.6</v>
      </c>
      <c r="T48" s="14">
        <v>7428.43805909</v>
      </c>
      <c r="U48" s="13">
        <v>6</v>
      </c>
      <c r="V48" s="13">
        <v>9.1</v>
      </c>
      <c r="W48" s="13">
        <v>20.29</v>
      </c>
      <c r="X48" s="13">
        <v>293</v>
      </c>
      <c r="Y48" s="13">
        <v>10.8</v>
      </c>
      <c r="Z48" s="14">
        <v>1085.736369</v>
      </c>
      <c r="AA48" s="14">
        <v>5926</v>
      </c>
      <c r="AB48" s="13">
        <v>8.3000000000000007</v>
      </c>
      <c r="AC48" s="30">
        <v>22068</v>
      </c>
    </row>
    <row r="49" spans="1:29" x14ac:dyDescent="0.3">
      <c r="A49" s="305"/>
      <c r="B49" s="13" t="s">
        <v>242</v>
      </c>
      <c r="C49" s="13">
        <v>245</v>
      </c>
      <c r="D49" s="13">
        <v>10.9</v>
      </c>
      <c r="E49" s="13">
        <v>1593.3438733200001</v>
      </c>
      <c r="F49" s="14">
        <v>1003</v>
      </c>
      <c r="G49" s="13">
        <v>13.4</v>
      </c>
      <c r="H49" s="14">
        <v>7082.00526085</v>
      </c>
      <c r="I49" s="14">
        <v>1713</v>
      </c>
      <c r="J49" s="13">
        <v>4.7</v>
      </c>
      <c r="K49" s="14">
        <v>11283.890250230001</v>
      </c>
      <c r="L49" s="13">
        <v>67</v>
      </c>
      <c r="M49" s="13">
        <v>13.6</v>
      </c>
      <c r="N49" s="13">
        <v>513.20474999999999</v>
      </c>
      <c r="O49" s="13">
        <v>340</v>
      </c>
      <c r="P49" s="13">
        <v>25.6</v>
      </c>
      <c r="Q49" s="14">
        <v>2432.01585892</v>
      </c>
      <c r="R49" s="14">
        <v>1729</v>
      </c>
      <c r="S49" s="13">
        <v>8.3000000000000007</v>
      </c>
      <c r="T49" s="14">
        <v>11838.451730319999</v>
      </c>
      <c r="U49" s="13">
        <v>7</v>
      </c>
      <c r="V49" s="13">
        <v>10.6</v>
      </c>
      <c r="W49" s="13">
        <v>56.52</v>
      </c>
      <c r="X49" s="13">
        <v>292</v>
      </c>
      <c r="Y49" s="13">
        <v>10.8</v>
      </c>
      <c r="Z49" s="14">
        <v>2050.5156285500002</v>
      </c>
      <c r="AA49" s="14">
        <v>5396</v>
      </c>
      <c r="AB49" s="13">
        <v>7.5</v>
      </c>
      <c r="AC49" s="30">
        <v>36850</v>
      </c>
    </row>
    <row r="50" spans="1:29" x14ac:dyDescent="0.3">
      <c r="A50" s="305"/>
      <c r="B50" s="13" t="s">
        <v>231</v>
      </c>
      <c r="C50" s="13">
        <v>157</v>
      </c>
      <c r="D50" s="13">
        <v>7</v>
      </c>
      <c r="E50" s="14">
        <v>9189.60930955</v>
      </c>
      <c r="F50" s="14">
        <v>1748</v>
      </c>
      <c r="G50" s="13">
        <v>23.3</v>
      </c>
      <c r="H50" s="14">
        <v>96674.854682859994</v>
      </c>
      <c r="I50" s="13">
        <v>1208</v>
      </c>
      <c r="J50" s="13">
        <v>3.3</v>
      </c>
      <c r="K50" s="14">
        <v>28959.090462740001</v>
      </c>
      <c r="L50" s="13">
        <v>253</v>
      </c>
      <c r="M50" s="13">
        <v>51.2</v>
      </c>
      <c r="N50" s="14">
        <v>7350.5529824400001</v>
      </c>
      <c r="O50" s="13">
        <v>461</v>
      </c>
      <c r="P50" s="13">
        <v>34.799999999999997</v>
      </c>
      <c r="Q50" s="14">
        <v>15243.814590489999</v>
      </c>
      <c r="R50" s="13">
        <v>1303</v>
      </c>
      <c r="S50" s="13">
        <v>6.3</v>
      </c>
      <c r="T50" s="14">
        <v>20569.947927019999</v>
      </c>
      <c r="U50" s="13">
        <v>11</v>
      </c>
      <c r="V50" s="13">
        <v>16.7</v>
      </c>
      <c r="W50" s="14">
        <v>621.24</v>
      </c>
      <c r="X50" s="13">
        <v>611</v>
      </c>
      <c r="Y50" s="13">
        <v>22.6</v>
      </c>
      <c r="Z50" s="14">
        <v>15662.71628801</v>
      </c>
      <c r="AA50" s="14">
        <v>5752</v>
      </c>
      <c r="AB50" s="13">
        <v>8</v>
      </c>
      <c r="AC50" s="30">
        <v>194272</v>
      </c>
    </row>
    <row r="51" spans="1:29" x14ac:dyDescent="0.3">
      <c r="A51" s="306"/>
      <c r="B51" s="29" t="s">
        <v>72</v>
      </c>
      <c r="C51" s="31">
        <v>2257</v>
      </c>
      <c r="D51" s="29">
        <v>100</v>
      </c>
      <c r="E51" s="31">
        <v>14403.5698146299</v>
      </c>
      <c r="F51" s="31">
        <v>7503</v>
      </c>
      <c r="G51" s="29">
        <v>100</v>
      </c>
      <c r="H51" s="31">
        <v>110860.80712786999</v>
      </c>
      <c r="I51" s="31">
        <v>36685</v>
      </c>
      <c r="J51" s="29">
        <v>100</v>
      </c>
      <c r="K51" s="31">
        <v>74033.476096569997</v>
      </c>
      <c r="L51" s="29">
        <v>494</v>
      </c>
      <c r="M51" s="29">
        <v>100</v>
      </c>
      <c r="N51" s="31">
        <v>8120.8287824399904</v>
      </c>
      <c r="O51" s="31">
        <v>1326</v>
      </c>
      <c r="P51" s="29">
        <v>100</v>
      </c>
      <c r="Q51" s="31">
        <v>18544.730962199999</v>
      </c>
      <c r="R51" s="31">
        <v>20764</v>
      </c>
      <c r="S51" s="29">
        <v>100</v>
      </c>
      <c r="T51" s="31">
        <v>58378.627359470003</v>
      </c>
      <c r="U51" s="29">
        <v>66</v>
      </c>
      <c r="V51" s="29">
        <v>100</v>
      </c>
      <c r="W51" s="31">
        <v>754.55</v>
      </c>
      <c r="X51" s="31">
        <v>2709</v>
      </c>
      <c r="Y51" s="29">
        <v>100</v>
      </c>
      <c r="Z51" s="31">
        <v>20634.756432549999</v>
      </c>
      <c r="AA51" s="31">
        <v>71804</v>
      </c>
      <c r="AB51" s="29">
        <v>100</v>
      </c>
      <c r="AC51" s="32">
        <v>305732</v>
      </c>
    </row>
    <row r="53" spans="1:29" x14ac:dyDescent="0.3">
      <c r="A53" t="s">
        <v>246</v>
      </c>
    </row>
    <row r="54" spans="1:29" x14ac:dyDescent="0.3">
      <c r="A54" t="s">
        <v>380</v>
      </c>
    </row>
    <row r="55" spans="1:29" x14ac:dyDescent="0.3">
      <c r="A55" t="s">
        <v>97</v>
      </c>
    </row>
    <row r="57" spans="1:29" x14ac:dyDescent="0.3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</row>
    <row r="58" spans="1:29" x14ac:dyDescent="0.3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</row>
    <row r="59" spans="1:29" x14ac:dyDescent="0.3"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</row>
    <row r="60" spans="1:29" x14ac:dyDescent="0.3"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</row>
    <row r="61" spans="1:29" x14ac:dyDescent="0.3"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</row>
    <row r="62" spans="1:29" x14ac:dyDescent="0.3"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</row>
    <row r="63" spans="1:29" x14ac:dyDescent="0.3"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</row>
    <row r="64" spans="1:29" x14ac:dyDescent="0.3"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</row>
    <row r="65" spans="3:29" x14ac:dyDescent="0.3"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</row>
    <row r="66" spans="3:29" x14ac:dyDescent="0.3"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</row>
    <row r="67" spans="3:29" x14ac:dyDescent="0.3"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</row>
    <row r="68" spans="3:29" x14ac:dyDescent="0.3"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</row>
    <row r="69" spans="3:29" x14ac:dyDescent="0.3"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</row>
    <row r="70" spans="3:29" x14ac:dyDescent="0.3"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</row>
    <row r="71" spans="3:29" x14ac:dyDescent="0.3"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</row>
    <row r="72" spans="3:29" x14ac:dyDescent="0.3"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</row>
    <row r="73" spans="3:29" x14ac:dyDescent="0.3"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</row>
    <row r="74" spans="3:29" x14ac:dyDescent="0.3"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</row>
    <row r="75" spans="3:29" x14ac:dyDescent="0.3"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</row>
    <row r="76" spans="3:29" x14ac:dyDescent="0.3"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</row>
    <row r="77" spans="3:29" x14ac:dyDescent="0.3"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</row>
    <row r="78" spans="3:29" x14ac:dyDescent="0.3"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</row>
    <row r="79" spans="3:29" x14ac:dyDescent="0.3"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</row>
    <row r="80" spans="3:29" x14ac:dyDescent="0.3"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</row>
    <row r="81" spans="3:29" x14ac:dyDescent="0.3"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</row>
    <row r="82" spans="3:29" x14ac:dyDescent="0.3"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</row>
    <row r="83" spans="3:29" x14ac:dyDescent="0.3"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</row>
    <row r="84" spans="3:29" x14ac:dyDescent="0.3"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</row>
    <row r="85" spans="3:29" x14ac:dyDescent="0.3"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</row>
    <row r="86" spans="3:29" x14ac:dyDescent="0.3"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</row>
    <row r="87" spans="3:29" x14ac:dyDescent="0.3"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</row>
    <row r="88" spans="3:29" x14ac:dyDescent="0.3"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</row>
    <row r="89" spans="3:29" x14ac:dyDescent="0.3"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</row>
    <row r="90" spans="3:29" x14ac:dyDescent="0.3"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</row>
    <row r="91" spans="3:29" x14ac:dyDescent="0.3"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</row>
    <row r="92" spans="3:29" x14ac:dyDescent="0.3"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</row>
    <row r="93" spans="3:29" x14ac:dyDescent="0.3"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</row>
    <row r="94" spans="3:29" x14ac:dyDescent="0.3"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</row>
    <row r="95" spans="3:29" x14ac:dyDescent="0.3"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</row>
    <row r="96" spans="3:29" x14ac:dyDescent="0.3"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</row>
    <row r="97" spans="3:29" x14ac:dyDescent="0.3"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</row>
    <row r="98" spans="3:29" x14ac:dyDescent="0.3"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</row>
    <row r="99" spans="3:29" x14ac:dyDescent="0.3"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</row>
    <row r="100" spans="3:29" x14ac:dyDescent="0.3"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</row>
    <row r="101" spans="3:29" x14ac:dyDescent="0.3"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</row>
  </sheetData>
  <mergeCells count="25">
    <mergeCell ref="A16:A24"/>
    <mergeCell ref="A7:A15"/>
    <mergeCell ref="X5:X6"/>
    <mergeCell ref="AA5:AA6"/>
    <mergeCell ref="X4:Z4"/>
    <mergeCell ref="AA4:AC4"/>
    <mergeCell ref="O4:Q4"/>
    <mergeCell ref="R4:T4"/>
    <mergeCell ref="U4:W4"/>
    <mergeCell ref="A34:A42"/>
    <mergeCell ref="A43:A51"/>
    <mergeCell ref="R5:R6"/>
    <mergeCell ref="U5:U6"/>
    <mergeCell ref="A4:A6"/>
    <mergeCell ref="B4:B6"/>
    <mergeCell ref="C4:E4"/>
    <mergeCell ref="F4:H4"/>
    <mergeCell ref="I4:K4"/>
    <mergeCell ref="L4:N4"/>
    <mergeCell ref="C5:C6"/>
    <mergeCell ref="F5:F6"/>
    <mergeCell ref="I5:I6"/>
    <mergeCell ref="L5:L6"/>
    <mergeCell ref="O5:O6"/>
    <mergeCell ref="A25:A33"/>
  </mergeCells>
  <phoneticPr fontId="1" type="noConversion"/>
  <hyperlinks>
    <hyperlink ref="J1" location="목차!A1" display="목차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4.9989318521683403E-2"/>
  </sheetPr>
  <dimension ref="A1:J53"/>
  <sheetViews>
    <sheetView zoomScale="130" zoomScaleNormal="130" workbookViewId="0">
      <selection activeCell="C17" sqref="C17:E19"/>
    </sheetView>
  </sheetViews>
  <sheetFormatPr defaultRowHeight="16.5" x14ac:dyDescent="0.3"/>
  <cols>
    <col min="2" max="2" width="13.25" customWidth="1"/>
    <col min="5" max="6" width="13.125" customWidth="1"/>
  </cols>
  <sheetData>
    <row r="1" spans="1:10" ht="17.25" x14ac:dyDescent="0.3">
      <c r="A1" s="10" t="s">
        <v>418</v>
      </c>
      <c r="B1" s="2"/>
      <c r="C1" s="2"/>
      <c r="D1" s="2"/>
      <c r="E1" s="2"/>
      <c r="F1" s="2"/>
      <c r="G1" s="2"/>
      <c r="H1" s="2"/>
      <c r="J1" s="72" t="s">
        <v>367</v>
      </c>
    </row>
    <row r="3" spans="1:10" x14ac:dyDescent="0.3">
      <c r="E3" s="5" t="s">
        <v>252</v>
      </c>
      <c r="F3" s="5"/>
    </row>
    <row r="4" spans="1:10" x14ac:dyDescent="0.3">
      <c r="A4" s="23" t="s">
        <v>245</v>
      </c>
      <c r="B4" s="22" t="s">
        <v>139</v>
      </c>
      <c r="C4" s="22" t="s">
        <v>248</v>
      </c>
      <c r="D4" s="22" t="s">
        <v>77</v>
      </c>
      <c r="E4" s="11" t="s">
        <v>249</v>
      </c>
      <c r="F4" s="5"/>
    </row>
    <row r="5" spans="1:10" x14ac:dyDescent="0.3">
      <c r="A5" s="304" t="s">
        <v>8</v>
      </c>
      <c r="B5" s="95" t="s">
        <v>250</v>
      </c>
      <c r="C5" s="96">
        <v>27606</v>
      </c>
      <c r="D5" s="96">
        <v>43958</v>
      </c>
      <c r="E5" s="123">
        <v>1.6</v>
      </c>
      <c r="F5" s="5"/>
      <c r="G5" s="108"/>
    </row>
    <row r="6" spans="1:10" x14ac:dyDescent="0.3">
      <c r="A6" s="305"/>
      <c r="B6" s="95" t="s">
        <v>251</v>
      </c>
      <c r="C6" s="96">
        <v>42721</v>
      </c>
      <c r="D6" s="96">
        <v>162295</v>
      </c>
      <c r="E6" s="123">
        <v>3.8</v>
      </c>
      <c r="F6" s="5"/>
      <c r="G6" s="108"/>
    </row>
    <row r="7" spans="1:10" x14ac:dyDescent="0.3">
      <c r="A7" s="306"/>
      <c r="B7" s="97" t="s">
        <v>110</v>
      </c>
      <c r="C7" s="98">
        <v>70327</v>
      </c>
      <c r="D7" s="98">
        <v>206254</v>
      </c>
      <c r="E7" s="125">
        <v>2.9</v>
      </c>
      <c r="F7" s="5"/>
    </row>
    <row r="8" spans="1:10" x14ac:dyDescent="0.3">
      <c r="A8" s="304" t="s">
        <v>9</v>
      </c>
      <c r="B8" s="95" t="s">
        <v>250</v>
      </c>
      <c r="C8" s="96">
        <v>34458</v>
      </c>
      <c r="D8" s="96">
        <v>69169</v>
      </c>
      <c r="E8" s="123">
        <v>2</v>
      </c>
      <c r="F8" s="5"/>
    </row>
    <row r="9" spans="1:10" x14ac:dyDescent="0.3">
      <c r="A9" s="305"/>
      <c r="B9" s="95" t="s">
        <v>251</v>
      </c>
      <c r="C9" s="96">
        <v>39043</v>
      </c>
      <c r="D9" s="96">
        <v>169634</v>
      </c>
      <c r="E9" s="123">
        <v>4.3</v>
      </c>
      <c r="F9" s="5"/>
    </row>
    <row r="10" spans="1:10" x14ac:dyDescent="0.3">
      <c r="A10" s="306"/>
      <c r="B10" s="97" t="s">
        <v>110</v>
      </c>
      <c r="C10" s="98">
        <v>73501</v>
      </c>
      <c r="D10" s="98">
        <v>238803</v>
      </c>
      <c r="E10" s="125">
        <v>3.2</v>
      </c>
      <c r="F10" s="5"/>
    </row>
    <row r="11" spans="1:10" x14ac:dyDescent="0.3">
      <c r="A11" s="304" t="s">
        <v>10</v>
      </c>
      <c r="B11" s="95" t="s">
        <v>250</v>
      </c>
      <c r="C11" s="96">
        <v>30900</v>
      </c>
      <c r="D11" s="96">
        <v>70637</v>
      </c>
      <c r="E11" s="123">
        <v>2.2999999999999998</v>
      </c>
      <c r="F11" s="5"/>
    </row>
    <row r="12" spans="1:10" x14ac:dyDescent="0.3">
      <c r="A12" s="305"/>
      <c r="B12" s="95" t="s">
        <v>251</v>
      </c>
      <c r="C12" s="96">
        <v>43845</v>
      </c>
      <c r="D12" s="96">
        <v>195153</v>
      </c>
      <c r="E12" s="123">
        <v>4.5</v>
      </c>
      <c r="F12" s="5"/>
    </row>
    <row r="13" spans="1:10" x14ac:dyDescent="0.3">
      <c r="A13" s="306"/>
      <c r="B13" s="97" t="s">
        <v>110</v>
      </c>
      <c r="C13" s="98">
        <v>74745</v>
      </c>
      <c r="D13" s="98">
        <v>265791</v>
      </c>
      <c r="E13" s="125">
        <v>3.6</v>
      </c>
      <c r="F13" s="5"/>
    </row>
    <row r="14" spans="1:10" x14ac:dyDescent="0.3">
      <c r="A14" s="304" t="s">
        <v>369</v>
      </c>
      <c r="B14" s="95" t="s">
        <v>250</v>
      </c>
      <c r="C14" s="96">
        <v>30577</v>
      </c>
      <c r="D14" s="96">
        <v>88385</v>
      </c>
      <c r="E14" s="123">
        <v>2.9</v>
      </c>
      <c r="F14" s="5"/>
    </row>
    <row r="15" spans="1:10" x14ac:dyDescent="0.3">
      <c r="A15" s="305"/>
      <c r="B15" s="95" t="s">
        <v>251</v>
      </c>
      <c r="C15" s="96">
        <v>45475</v>
      </c>
      <c r="D15" s="96">
        <v>198396</v>
      </c>
      <c r="E15" s="123">
        <v>4.4000000000000004</v>
      </c>
      <c r="F15" s="5"/>
    </row>
    <row r="16" spans="1:10" x14ac:dyDescent="0.3">
      <c r="A16" s="306"/>
      <c r="B16" s="97" t="s">
        <v>110</v>
      </c>
      <c r="C16" s="98">
        <v>76052</v>
      </c>
      <c r="D16" s="98">
        <v>286782</v>
      </c>
      <c r="E16" s="125">
        <v>3.8</v>
      </c>
      <c r="F16" s="5"/>
    </row>
    <row r="17" spans="1:6" x14ac:dyDescent="0.3">
      <c r="A17" s="304" t="s">
        <v>402</v>
      </c>
      <c r="B17" s="13" t="s">
        <v>250</v>
      </c>
      <c r="C17" s="14">
        <v>26050</v>
      </c>
      <c r="D17" s="14">
        <v>67414</v>
      </c>
      <c r="E17" s="35">
        <v>2.6</v>
      </c>
      <c r="F17" s="5"/>
    </row>
    <row r="18" spans="1:6" x14ac:dyDescent="0.3">
      <c r="A18" s="305"/>
      <c r="B18" s="13" t="s">
        <v>251</v>
      </c>
      <c r="C18" s="14">
        <v>45754</v>
      </c>
      <c r="D18" s="14">
        <v>238317</v>
      </c>
      <c r="E18" s="35">
        <v>5.2</v>
      </c>
      <c r="F18" s="5"/>
    </row>
    <row r="19" spans="1:6" x14ac:dyDescent="0.3">
      <c r="A19" s="306"/>
      <c r="B19" s="29" t="s">
        <v>110</v>
      </c>
      <c r="C19" s="31">
        <v>71804</v>
      </c>
      <c r="D19" s="31">
        <v>305731</v>
      </c>
      <c r="E19" s="42">
        <v>4.3</v>
      </c>
      <c r="F19" s="5"/>
    </row>
    <row r="21" spans="1:6" x14ac:dyDescent="0.3">
      <c r="A21" t="s">
        <v>1347</v>
      </c>
    </row>
    <row r="22" spans="1:6" x14ac:dyDescent="0.3">
      <c r="D22" s="90"/>
      <c r="E22" s="90"/>
      <c r="F22" s="90"/>
    </row>
    <row r="23" spans="1:6" x14ac:dyDescent="0.3">
      <c r="C23" s="90"/>
      <c r="D23" s="90"/>
      <c r="E23" s="90"/>
      <c r="F23" s="90"/>
    </row>
    <row r="24" spans="1:6" x14ac:dyDescent="0.3">
      <c r="C24" s="90"/>
      <c r="D24" s="90"/>
      <c r="E24" s="90"/>
      <c r="F24" s="90"/>
    </row>
    <row r="25" spans="1:6" x14ac:dyDescent="0.3">
      <c r="C25" s="90"/>
      <c r="D25" s="90"/>
      <c r="E25" s="90"/>
      <c r="F25" s="90"/>
    </row>
    <row r="26" spans="1:6" x14ac:dyDescent="0.3">
      <c r="C26" s="90"/>
      <c r="D26" s="90"/>
      <c r="E26" s="90"/>
      <c r="F26" s="90"/>
    </row>
    <row r="27" spans="1:6" x14ac:dyDescent="0.3">
      <c r="C27" s="90"/>
      <c r="D27" s="90"/>
      <c r="E27" s="90"/>
      <c r="F27" s="90"/>
    </row>
    <row r="28" spans="1:6" x14ac:dyDescent="0.3">
      <c r="C28" s="90"/>
      <c r="D28" s="90"/>
      <c r="E28" s="90"/>
      <c r="F28" s="90"/>
    </row>
    <row r="29" spans="1:6" x14ac:dyDescent="0.3">
      <c r="C29" s="90"/>
      <c r="D29" s="90"/>
      <c r="E29" s="90"/>
      <c r="F29" s="90"/>
    </row>
    <row r="30" spans="1:6" x14ac:dyDescent="0.3">
      <c r="C30" s="90"/>
      <c r="D30" s="90"/>
      <c r="E30" s="90"/>
      <c r="F30" s="90"/>
    </row>
    <row r="31" spans="1:6" x14ac:dyDescent="0.3">
      <c r="C31" s="90"/>
      <c r="D31" s="90"/>
      <c r="E31" s="90"/>
      <c r="F31" s="90"/>
    </row>
    <row r="32" spans="1:6" x14ac:dyDescent="0.3">
      <c r="C32" s="90"/>
      <c r="D32" s="90"/>
      <c r="E32" s="90"/>
      <c r="F32" s="90"/>
    </row>
    <row r="33" spans="3:6" x14ac:dyDescent="0.3">
      <c r="C33" s="90"/>
      <c r="D33" s="90"/>
      <c r="E33" s="90"/>
      <c r="F33" s="90"/>
    </row>
    <row r="34" spans="3:6" x14ac:dyDescent="0.3">
      <c r="C34" s="90"/>
      <c r="D34" s="90"/>
      <c r="E34" s="90"/>
      <c r="F34" s="90"/>
    </row>
    <row r="35" spans="3:6" x14ac:dyDescent="0.3">
      <c r="C35" s="90"/>
      <c r="D35" s="90"/>
      <c r="E35" s="90"/>
      <c r="F35" s="90"/>
    </row>
    <row r="36" spans="3:6" x14ac:dyDescent="0.3">
      <c r="C36" s="90"/>
      <c r="D36" s="90"/>
      <c r="E36" s="90"/>
      <c r="F36" s="90"/>
    </row>
    <row r="39" spans="3:6" x14ac:dyDescent="0.3">
      <c r="C39" s="86"/>
      <c r="D39" s="86"/>
      <c r="E39" s="86"/>
      <c r="F39" s="86"/>
    </row>
    <row r="40" spans="3:6" x14ac:dyDescent="0.3">
      <c r="C40" s="86"/>
      <c r="D40" s="86"/>
      <c r="E40" s="86"/>
      <c r="F40" s="86"/>
    </row>
    <row r="41" spans="3:6" x14ac:dyDescent="0.3">
      <c r="C41" s="86"/>
      <c r="D41" s="86"/>
      <c r="E41" s="86"/>
      <c r="F41" s="86"/>
    </row>
    <row r="42" spans="3:6" x14ac:dyDescent="0.3">
      <c r="C42" s="86"/>
      <c r="D42" s="86"/>
      <c r="E42" s="86"/>
      <c r="F42" s="86"/>
    </row>
    <row r="43" spans="3:6" x14ac:dyDescent="0.3">
      <c r="C43" s="86"/>
      <c r="D43" s="86"/>
      <c r="E43" s="86"/>
      <c r="F43" s="86"/>
    </row>
    <row r="44" spans="3:6" x14ac:dyDescent="0.3">
      <c r="C44" s="86"/>
      <c r="D44" s="86"/>
      <c r="E44" s="86"/>
      <c r="F44" s="86"/>
    </row>
    <row r="45" spans="3:6" x14ac:dyDescent="0.3">
      <c r="C45" s="86"/>
      <c r="D45" s="86"/>
      <c r="E45" s="86"/>
      <c r="F45" s="86"/>
    </row>
    <row r="46" spans="3:6" x14ac:dyDescent="0.3">
      <c r="C46" s="86"/>
      <c r="D46" s="86"/>
      <c r="E46" s="86"/>
      <c r="F46" s="86"/>
    </row>
    <row r="47" spans="3:6" x14ac:dyDescent="0.3">
      <c r="C47" s="86"/>
      <c r="D47" s="86"/>
      <c r="E47" s="86"/>
      <c r="F47" s="86"/>
    </row>
    <row r="48" spans="3:6" x14ac:dyDescent="0.3">
      <c r="C48" s="86"/>
      <c r="D48" s="86"/>
      <c r="E48" s="86"/>
      <c r="F48" s="86"/>
    </row>
    <row r="49" spans="3:6" x14ac:dyDescent="0.3">
      <c r="C49" s="86"/>
      <c r="D49" s="86"/>
      <c r="E49" s="86"/>
      <c r="F49" s="86"/>
    </row>
    <row r="50" spans="3:6" x14ac:dyDescent="0.3">
      <c r="C50" s="86"/>
      <c r="D50" s="86"/>
      <c r="E50" s="86"/>
      <c r="F50" s="86"/>
    </row>
    <row r="51" spans="3:6" x14ac:dyDescent="0.3">
      <c r="C51" s="86"/>
      <c r="D51" s="86"/>
      <c r="E51" s="86"/>
      <c r="F51" s="86"/>
    </row>
    <row r="52" spans="3:6" x14ac:dyDescent="0.3">
      <c r="C52" s="86"/>
      <c r="D52" s="86"/>
      <c r="E52" s="86"/>
      <c r="F52" s="86"/>
    </row>
    <row r="53" spans="3:6" x14ac:dyDescent="0.3">
      <c r="C53" s="86"/>
      <c r="D53" s="86"/>
      <c r="E53" s="86"/>
      <c r="F53" s="86"/>
    </row>
  </sheetData>
  <mergeCells count="5">
    <mergeCell ref="A14:A16"/>
    <mergeCell ref="A17:A19"/>
    <mergeCell ref="A11:A13"/>
    <mergeCell ref="A8:A10"/>
    <mergeCell ref="A5:A7"/>
  </mergeCells>
  <phoneticPr fontId="1" type="noConversion"/>
  <hyperlinks>
    <hyperlink ref="J1" location="목차!A1" display="목차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9DD1-2E22-402A-B0FD-45E832880E2A}">
  <sheetPr>
    <tabColor theme="1" tint="0.499984740745262"/>
  </sheetPr>
  <dimension ref="A1:K89"/>
  <sheetViews>
    <sheetView zoomScale="70" zoomScaleNormal="70" workbookViewId="0">
      <selection activeCell="C38" sqref="C38:J45"/>
    </sheetView>
  </sheetViews>
  <sheetFormatPr defaultRowHeight="16.5" x14ac:dyDescent="0.3"/>
  <cols>
    <col min="2" max="2" width="26.375" customWidth="1"/>
  </cols>
  <sheetData>
    <row r="1" spans="1:11" ht="17.25" x14ac:dyDescent="0.3">
      <c r="A1" s="7" t="s">
        <v>1062</v>
      </c>
      <c r="B1" s="2"/>
      <c r="C1" s="2"/>
      <c r="D1" s="2"/>
      <c r="E1" s="2"/>
      <c r="F1" s="2"/>
      <c r="H1" s="72" t="s">
        <v>367</v>
      </c>
    </row>
    <row r="3" spans="1:11" x14ac:dyDescent="0.3">
      <c r="A3" s="45"/>
      <c r="B3" s="45"/>
      <c r="C3" s="45"/>
      <c r="D3" s="45"/>
      <c r="E3" s="45"/>
      <c r="F3" s="45"/>
      <c r="G3" s="45"/>
      <c r="H3" s="45"/>
      <c r="I3" s="45"/>
      <c r="J3" s="33" t="s">
        <v>87</v>
      </c>
    </row>
    <row r="4" spans="1:11" ht="17.25" thickBot="1" x14ac:dyDescent="0.35">
      <c r="A4" s="313" t="s">
        <v>245</v>
      </c>
      <c r="B4" s="311" t="s">
        <v>139</v>
      </c>
      <c r="C4" s="318" t="s">
        <v>107</v>
      </c>
      <c r="D4" s="320"/>
      <c r="E4" s="318" t="s">
        <v>108</v>
      </c>
      <c r="F4" s="320"/>
      <c r="G4" s="318" t="s">
        <v>109</v>
      </c>
      <c r="H4" s="320"/>
      <c r="I4" s="318" t="s">
        <v>787</v>
      </c>
      <c r="J4" s="319"/>
    </row>
    <row r="5" spans="1:11" ht="17.25" thickTop="1" x14ac:dyDescent="0.3">
      <c r="A5" s="313"/>
      <c r="B5" s="311"/>
      <c r="C5" s="173" t="s">
        <v>77</v>
      </c>
      <c r="D5" s="173" t="s">
        <v>36</v>
      </c>
      <c r="E5" s="173" t="s">
        <v>77</v>
      </c>
      <c r="F5" s="173" t="s">
        <v>36</v>
      </c>
      <c r="G5" s="173" t="s">
        <v>77</v>
      </c>
      <c r="H5" s="173" t="s">
        <v>36</v>
      </c>
      <c r="I5" s="173" t="s">
        <v>77</v>
      </c>
      <c r="J5" s="174" t="s">
        <v>36</v>
      </c>
    </row>
    <row r="6" spans="1:11" x14ac:dyDescent="0.3">
      <c r="A6" s="304" t="s">
        <v>8</v>
      </c>
      <c r="B6" s="95" t="s">
        <v>40</v>
      </c>
      <c r="C6" s="96">
        <v>29232</v>
      </c>
      <c r="D6" s="95">
        <v>60.2</v>
      </c>
      <c r="E6" s="96">
        <v>8313</v>
      </c>
      <c r="F6" s="95">
        <v>17.100000000000001</v>
      </c>
      <c r="G6" s="96">
        <v>10991</v>
      </c>
      <c r="H6" s="95">
        <v>22.6</v>
      </c>
      <c r="I6" s="96">
        <v>48537</v>
      </c>
      <c r="J6" s="77">
        <v>100</v>
      </c>
      <c r="K6" s="90"/>
    </row>
    <row r="7" spans="1:11" x14ac:dyDescent="0.3">
      <c r="A7" s="305"/>
      <c r="B7" s="95" t="s">
        <v>57</v>
      </c>
      <c r="C7" s="96">
        <v>2916</v>
      </c>
      <c r="D7" s="95">
        <v>12.3</v>
      </c>
      <c r="E7" s="96">
        <v>6425</v>
      </c>
      <c r="F7" s="95">
        <v>27.1</v>
      </c>
      <c r="G7" s="96">
        <v>14334</v>
      </c>
      <c r="H7" s="95">
        <v>60.5</v>
      </c>
      <c r="I7" s="96">
        <v>23675</v>
      </c>
      <c r="J7" s="77">
        <v>100</v>
      </c>
      <c r="K7" s="90"/>
    </row>
    <row r="8" spans="1:11" x14ac:dyDescent="0.3">
      <c r="A8" s="305"/>
      <c r="B8" s="95" t="s">
        <v>52</v>
      </c>
      <c r="C8" s="95">
        <v>627</v>
      </c>
      <c r="D8" s="95">
        <v>2.5</v>
      </c>
      <c r="E8" s="96">
        <v>7590</v>
      </c>
      <c r="F8" s="95">
        <v>29.9</v>
      </c>
      <c r="G8" s="96">
        <v>17146</v>
      </c>
      <c r="H8" s="95">
        <v>67.599999999999994</v>
      </c>
      <c r="I8" s="96">
        <v>25363</v>
      </c>
      <c r="J8" s="77">
        <v>100</v>
      </c>
      <c r="K8" s="90"/>
    </row>
    <row r="9" spans="1:11" x14ac:dyDescent="0.3">
      <c r="A9" s="305"/>
      <c r="B9" s="95" t="s">
        <v>63</v>
      </c>
      <c r="C9" s="79" t="s">
        <v>372</v>
      </c>
      <c r="D9" s="79" t="s">
        <v>372</v>
      </c>
      <c r="E9" s="95">
        <v>289</v>
      </c>
      <c r="F9" s="95">
        <v>3.1</v>
      </c>
      <c r="G9" s="96">
        <v>9163</v>
      </c>
      <c r="H9" s="95">
        <v>96.9</v>
      </c>
      <c r="I9" s="96">
        <v>9452</v>
      </c>
      <c r="J9" s="77">
        <v>100</v>
      </c>
      <c r="K9" s="90"/>
    </row>
    <row r="10" spans="1:11" x14ac:dyDescent="0.3">
      <c r="A10" s="305"/>
      <c r="B10" s="95" t="s">
        <v>41</v>
      </c>
      <c r="C10" s="96">
        <v>6480</v>
      </c>
      <c r="D10" s="95">
        <v>94</v>
      </c>
      <c r="E10" s="95">
        <v>317</v>
      </c>
      <c r="F10" s="95">
        <v>4.5999999999999996</v>
      </c>
      <c r="G10" s="95">
        <v>97</v>
      </c>
      <c r="H10" s="95">
        <v>1.4</v>
      </c>
      <c r="I10" s="96">
        <v>6894</v>
      </c>
      <c r="J10" s="77">
        <v>100</v>
      </c>
      <c r="K10" s="90"/>
    </row>
    <row r="11" spans="1:11" x14ac:dyDescent="0.3">
      <c r="A11" s="305"/>
      <c r="B11" s="95" t="s">
        <v>44</v>
      </c>
      <c r="C11" s="95">
        <v>290</v>
      </c>
      <c r="D11" s="95">
        <v>6.3</v>
      </c>
      <c r="E11" s="95">
        <v>804</v>
      </c>
      <c r="F11" s="95">
        <v>17.399999999999999</v>
      </c>
      <c r="G11" s="96">
        <v>3520</v>
      </c>
      <c r="H11" s="95">
        <v>76.3</v>
      </c>
      <c r="I11" s="96">
        <v>4614</v>
      </c>
      <c r="J11" s="77">
        <v>100</v>
      </c>
      <c r="K11" s="90"/>
    </row>
    <row r="12" spans="1:11" x14ac:dyDescent="0.3">
      <c r="A12" s="305"/>
      <c r="B12" s="95" t="s">
        <v>253</v>
      </c>
      <c r="C12" s="96">
        <v>6870</v>
      </c>
      <c r="D12" s="95">
        <v>29.6</v>
      </c>
      <c r="E12" s="96">
        <v>6719</v>
      </c>
      <c r="F12" s="95">
        <v>28.9</v>
      </c>
      <c r="G12" s="96">
        <v>9633</v>
      </c>
      <c r="H12" s="95">
        <v>41.5</v>
      </c>
      <c r="I12" s="96">
        <v>23222</v>
      </c>
      <c r="J12" s="77">
        <v>100</v>
      </c>
      <c r="K12" s="90"/>
    </row>
    <row r="13" spans="1:11" x14ac:dyDescent="0.3">
      <c r="A13" s="306"/>
      <c r="B13" s="97" t="s">
        <v>789</v>
      </c>
      <c r="C13" s="98">
        <v>46415</v>
      </c>
      <c r="D13" s="97">
        <v>32.700000000000003</v>
      </c>
      <c r="E13" s="98">
        <v>30458</v>
      </c>
      <c r="F13" s="97">
        <v>21.5</v>
      </c>
      <c r="G13" s="98">
        <v>64883</v>
      </c>
      <c r="H13" s="97">
        <v>45.8</v>
      </c>
      <c r="I13" s="98">
        <v>141757</v>
      </c>
      <c r="J13" s="78">
        <v>100</v>
      </c>
      <c r="K13" s="90"/>
    </row>
    <row r="14" spans="1:11" x14ac:dyDescent="0.3">
      <c r="A14" s="304" t="s">
        <v>9</v>
      </c>
      <c r="B14" s="95" t="s">
        <v>40</v>
      </c>
      <c r="C14" s="96">
        <v>32335</v>
      </c>
      <c r="D14" s="95">
        <v>58</v>
      </c>
      <c r="E14" s="96">
        <v>9814</v>
      </c>
      <c r="F14" s="95">
        <v>17.600000000000001</v>
      </c>
      <c r="G14" s="96">
        <v>13648</v>
      </c>
      <c r="H14" s="95">
        <v>24.5</v>
      </c>
      <c r="I14" s="96">
        <v>55797</v>
      </c>
      <c r="J14" s="77">
        <v>100</v>
      </c>
      <c r="K14" s="90"/>
    </row>
    <row r="15" spans="1:11" x14ac:dyDescent="0.3">
      <c r="A15" s="305"/>
      <c r="B15" s="95" t="s">
        <v>57</v>
      </c>
      <c r="C15" s="96">
        <v>3571</v>
      </c>
      <c r="D15" s="95">
        <v>12.2</v>
      </c>
      <c r="E15" s="96">
        <v>11671</v>
      </c>
      <c r="F15" s="95">
        <v>39.799999999999997</v>
      </c>
      <c r="G15" s="96">
        <v>14046</v>
      </c>
      <c r="H15" s="95">
        <v>48</v>
      </c>
      <c r="I15" s="96">
        <v>29287</v>
      </c>
      <c r="J15" s="77">
        <v>100</v>
      </c>
      <c r="K15" s="90"/>
    </row>
    <row r="16" spans="1:11" x14ac:dyDescent="0.3">
      <c r="A16" s="305"/>
      <c r="B16" s="95" t="s">
        <v>52</v>
      </c>
      <c r="C16" s="95">
        <v>704</v>
      </c>
      <c r="D16" s="95">
        <v>2.2999999999999998</v>
      </c>
      <c r="E16" s="96">
        <v>7686</v>
      </c>
      <c r="F16" s="95">
        <v>25</v>
      </c>
      <c r="G16" s="96">
        <v>22296</v>
      </c>
      <c r="H16" s="95">
        <v>72.7</v>
      </c>
      <c r="I16" s="96">
        <v>30686</v>
      </c>
      <c r="J16" s="77">
        <v>100</v>
      </c>
      <c r="K16" s="90"/>
    </row>
    <row r="17" spans="1:11" x14ac:dyDescent="0.3">
      <c r="A17" s="305"/>
      <c r="B17" s="95" t="s">
        <v>63</v>
      </c>
      <c r="C17" s="79" t="s">
        <v>372</v>
      </c>
      <c r="D17" s="79" t="s">
        <v>372</v>
      </c>
      <c r="E17" s="95">
        <v>344</v>
      </c>
      <c r="F17" s="95">
        <v>2.6</v>
      </c>
      <c r="G17" s="96">
        <v>12866</v>
      </c>
      <c r="H17" s="95">
        <v>97.4</v>
      </c>
      <c r="I17" s="96">
        <v>13210</v>
      </c>
      <c r="J17" s="77">
        <v>100</v>
      </c>
      <c r="K17" s="90"/>
    </row>
    <row r="18" spans="1:11" x14ac:dyDescent="0.3">
      <c r="A18" s="305"/>
      <c r="B18" s="95" t="s">
        <v>41</v>
      </c>
      <c r="C18" s="96">
        <v>6986</v>
      </c>
      <c r="D18" s="95">
        <v>91.2</v>
      </c>
      <c r="E18" s="95">
        <v>572</v>
      </c>
      <c r="F18" s="95">
        <v>7.5</v>
      </c>
      <c r="G18" s="95">
        <v>106</v>
      </c>
      <c r="H18" s="95">
        <v>1.4</v>
      </c>
      <c r="I18" s="96">
        <v>7664</v>
      </c>
      <c r="J18" s="77">
        <v>100</v>
      </c>
      <c r="K18" s="90"/>
    </row>
    <row r="19" spans="1:11" x14ac:dyDescent="0.3">
      <c r="A19" s="305"/>
      <c r="B19" s="95" t="s">
        <v>44</v>
      </c>
      <c r="C19" s="95">
        <v>210</v>
      </c>
      <c r="D19" s="95">
        <v>4.3</v>
      </c>
      <c r="E19" s="95">
        <v>851</v>
      </c>
      <c r="F19" s="95">
        <v>17.3</v>
      </c>
      <c r="G19" s="96">
        <v>3863</v>
      </c>
      <c r="H19" s="95">
        <v>78.5</v>
      </c>
      <c r="I19" s="96">
        <v>4924</v>
      </c>
      <c r="J19" s="77">
        <v>100</v>
      </c>
      <c r="K19" s="90"/>
    </row>
    <row r="20" spans="1:11" x14ac:dyDescent="0.3">
      <c r="A20" s="305"/>
      <c r="B20" s="95" t="s">
        <v>253</v>
      </c>
      <c r="C20" s="96">
        <v>6908</v>
      </c>
      <c r="D20" s="95">
        <v>25.8</v>
      </c>
      <c r="E20" s="96">
        <v>7970</v>
      </c>
      <c r="F20" s="95">
        <v>29.7</v>
      </c>
      <c r="G20" s="96">
        <v>11929</v>
      </c>
      <c r="H20" s="95">
        <v>44.5</v>
      </c>
      <c r="I20" s="96">
        <v>26806</v>
      </c>
      <c r="J20" s="77">
        <v>100</v>
      </c>
      <c r="K20" s="90"/>
    </row>
    <row r="21" spans="1:11" x14ac:dyDescent="0.3">
      <c r="A21" s="306"/>
      <c r="B21" s="97" t="s">
        <v>789</v>
      </c>
      <c r="C21" s="98">
        <v>50714</v>
      </c>
      <c r="D21" s="97">
        <v>30.1</v>
      </c>
      <c r="E21" s="98">
        <v>38907</v>
      </c>
      <c r="F21" s="97">
        <v>23.1</v>
      </c>
      <c r="G21" s="98">
        <v>78754</v>
      </c>
      <c r="H21" s="97">
        <v>46.8</v>
      </c>
      <c r="I21" s="98">
        <v>168375</v>
      </c>
      <c r="J21" s="78">
        <v>100</v>
      </c>
      <c r="K21" s="90"/>
    </row>
    <row r="22" spans="1:11" x14ac:dyDescent="0.3">
      <c r="A22" s="304" t="s">
        <v>10</v>
      </c>
      <c r="B22" s="95" t="s">
        <v>40</v>
      </c>
      <c r="C22" s="96">
        <v>33929</v>
      </c>
      <c r="D22" s="95">
        <v>54.6</v>
      </c>
      <c r="E22" s="96">
        <v>12846</v>
      </c>
      <c r="F22" s="95">
        <v>20.7</v>
      </c>
      <c r="G22" s="96">
        <v>15408</v>
      </c>
      <c r="H22" s="95">
        <v>24.8</v>
      </c>
      <c r="I22" s="96">
        <v>62184</v>
      </c>
      <c r="J22" s="77">
        <v>100</v>
      </c>
      <c r="K22" s="90"/>
    </row>
    <row r="23" spans="1:11" x14ac:dyDescent="0.3">
      <c r="A23" s="305"/>
      <c r="B23" s="95" t="s">
        <v>57</v>
      </c>
      <c r="C23" s="96">
        <v>2614</v>
      </c>
      <c r="D23" s="95">
        <v>7.4</v>
      </c>
      <c r="E23" s="96">
        <v>10616</v>
      </c>
      <c r="F23" s="95">
        <v>30.1</v>
      </c>
      <c r="G23" s="96">
        <v>22019</v>
      </c>
      <c r="H23" s="95">
        <v>62.5</v>
      </c>
      <c r="I23" s="96">
        <v>35249</v>
      </c>
      <c r="J23" s="77">
        <v>100</v>
      </c>
      <c r="K23" s="90"/>
    </row>
    <row r="24" spans="1:11" x14ac:dyDescent="0.3">
      <c r="A24" s="305"/>
      <c r="B24" s="95" t="s">
        <v>52</v>
      </c>
      <c r="C24" s="95">
        <v>997</v>
      </c>
      <c r="D24" s="95">
        <v>3.2</v>
      </c>
      <c r="E24" s="96">
        <v>9302</v>
      </c>
      <c r="F24" s="95">
        <v>30.1</v>
      </c>
      <c r="G24" s="96">
        <v>20607</v>
      </c>
      <c r="H24" s="95">
        <v>66.7</v>
      </c>
      <c r="I24" s="96">
        <v>30905</v>
      </c>
      <c r="J24" s="77">
        <v>100</v>
      </c>
      <c r="K24" s="90"/>
    </row>
    <row r="25" spans="1:11" x14ac:dyDescent="0.3">
      <c r="A25" s="305"/>
      <c r="B25" s="95" t="s">
        <v>63</v>
      </c>
      <c r="C25" s="79" t="s">
        <v>372</v>
      </c>
      <c r="D25" s="79" t="s">
        <v>372</v>
      </c>
      <c r="E25" s="95">
        <v>372</v>
      </c>
      <c r="F25" s="95">
        <v>2.2999999999999998</v>
      </c>
      <c r="G25" s="96">
        <v>15602</v>
      </c>
      <c r="H25" s="95">
        <v>97.7</v>
      </c>
      <c r="I25" s="96">
        <v>15974</v>
      </c>
      <c r="J25" s="77">
        <v>100</v>
      </c>
      <c r="K25" s="90"/>
    </row>
    <row r="26" spans="1:11" x14ac:dyDescent="0.3">
      <c r="A26" s="305"/>
      <c r="B26" s="95" t="s">
        <v>41</v>
      </c>
      <c r="C26" s="96">
        <v>8073</v>
      </c>
      <c r="D26" s="95">
        <v>88.8</v>
      </c>
      <c r="E26" s="95">
        <v>876</v>
      </c>
      <c r="F26" s="95">
        <v>9.6</v>
      </c>
      <c r="G26" s="95">
        <v>144</v>
      </c>
      <c r="H26" s="95">
        <v>1.6</v>
      </c>
      <c r="I26" s="96">
        <v>9093</v>
      </c>
      <c r="J26" s="77">
        <v>100</v>
      </c>
      <c r="K26" s="90"/>
    </row>
    <row r="27" spans="1:11" x14ac:dyDescent="0.3">
      <c r="A27" s="305"/>
      <c r="B27" s="95" t="s">
        <v>44</v>
      </c>
      <c r="C27" s="95">
        <v>231</v>
      </c>
      <c r="D27" s="95">
        <v>4</v>
      </c>
      <c r="E27" s="95">
        <v>826</v>
      </c>
      <c r="F27" s="95">
        <v>14.5</v>
      </c>
      <c r="G27" s="96">
        <v>4646</v>
      </c>
      <c r="H27" s="95">
        <v>81.5</v>
      </c>
      <c r="I27" s="96">
        <v>5703</v>
      </c>
      <c r="J27" s="77">
        <v>100</v>
      </c>
      <c r="K27" s="90"/>
    </row>
    <row r="28" spans="1:11" x14ac:dyDescent="0.3">
      <c r="A28" s="305"/>
      <c r="B28" s="95" t="s">
        <v>253</v>
      </c>
      <c r="C28" s="96">
        <v>7224</v>
      </c>
      <c r="D28" s="95">
        <v>21.2</v>
      </c>
      <c r="E28" s="96">
        <v>10781</v>
      </c>
      <c r="F28" s="95">
        <v>31.6</v>
      </c>
      <c r="G28" s="96">
        <v>16140</v>
      </c>
      <c r="H28" s="95">
        <v>47.3</v>
      </c>
      <c r="I28" s="96">
        <v>34146</v>
      </c>
      <c r="J28" s="77">
        <v>100</v>
      </c>
      <c r="K28" s="90"/>
    </row>
    <row r="29" spans="1:11" x14ac:dyDescent="0.3">
      <c r="A29" s="306"/>
      <c r="B29" s="97" t="s">
        <v>789</v>
      </c>
      <c r="C29" s="98">
        <v>53068</v>
      </c>
      <c r="D29" s="97">
        <v>27.5</v>
      </c>
      <c r="E29" s="98">
        <v>45620</v>
      </c>
      <c r="F29" s="97">
        <v>23.6</v>
      </c>
      <c r="G29" s="98">
        <v>94566</v>
      </c>
      <c r="H29" s="97">
        <v>48.9</v>
      </c>
      <c r="I29" s="98">
        <v>193253</v>
      </c>
      <c r="J29" s="78">
        <v>100</v>
      </c>
      <c r="K29" s="90"/>
    </row>
    <row r="30" spans="1:11" x14ac:dyDescent="0.3">
      <c r="A30" s="304" t="s">
        <v>369</v>
      </c>
      <c r="B30" s="95" t="s">
        <v>40</v>
      </c>
      <c r="C30" s="96">
        <v>37523</v>
      </c>
      <c r="D30" s="95">
        <v>55.8</v>
      </c>
      <c r="E30" s="96">
        <v>14328</v>
      </c>
      <c r="F30" s="95">
        <v>21.3</v>
      </c>
      <c r="G30" s="96">
        <v>15441</v>
      </c>
      <c r="H30" s="95">
        <v>22.9</v>
      </c>
      <c r="I30" s="96">
        <v>67292</v>
      </c>
      <c r="J30" s="77">
        <v>100</v>
      </c>
      <c r="K30" s="90"/>
    </row>
    <row r="31" spans="1:11" x14ac:dyDescent="0.3">
      <c r="A31" s="305"/>
      <c r="B31" s="95" t="s">
        <v>57</v>
      </c>
      <c r="C31" s="96">
        <v>2549</v>
      </c>
      <c r="D31" s="95">
        <v>6.7</v>
      </c>
      <c r="E31" s="96">
        <v>9595</v>
      </c>
      <c r="F31" s="95">
        <v>25.3</v>
      </c>
      <c r="G31" s="96">
        <v>25749</v>
      </c>
      <c r="H31" s="95">
        <v>68</v>
      </c>
      <c r="I31" s="96">
        <v>37893</v>
      </c>
      <c r="J31" s="77">
        <v>100</v>
      </c>
      <c r="K31" s="90"/>
    </row>
    <row r="32" spans="1:11" x14ac:dyDescent="0.3">
      <c r="A32" s="305"/>
      <c r="B32" s="95" t="s">
        <v>52</v>
      </c>
      <c r="C32" s="95">
        <v>1048</v>
      </c>
      <c r="D32" s="95">
        <v>3.4</v>
      </c>
      <c r="E32" s="96">
        <v>13957</v>
      </c>
      <c r="F32" s="95">
        <v>44.7</v>
      </c>
      <c r="G32" s="96">
        <v>16244</v>
      </c>
      <c r="H32" s="95">
        <v>52</v>
      </c>
      <c r="I32" s="96">
        <v>31248</v>
      </c>
      <c r="J32" s="77">
        <v>100</v>
      </c>
      <c r="K32" s="90"/>
    </row>
    <row r="33" spans="1:11" x14ac:dyDescent="0.3">
      <c r="A33" s="305"/>
      <c r="B33" s="95" t="s">
        <v>63</v>
      </c>
      <c r="C33" s="79" t="s">
        <v>372</v>
      </c>
      <c r="D33" s="79" t="s">
        <v>372</v>
      </c>
      <c r="E33" s="95">
        <v>208</v>
      </c>
      <c r="F33" s="95">
        <v>1.3</v>
      </c>
      <c r="G33" s="96">
        <v>15679</v>
      </c>
      <c r="H33" s="95">
        <v>98.7</v>
      </c>
      <c r="I33" s="96">
        <v>15888</v>
      </c>
      <c r="J33" s="77">
        <v>100</v>
      </c>
      <c r="K33" s="90"/>
    </row>
    <row r="34" spans="1:11" x14ac:dyDescent="0.3">
      <c r="A34" s="305"/>
      <c r="B34" s="95" t="s">
        <v>41</v>
      </c>
      <c r="C34" s="96">
        <v>8141</v>
      </c>
      <c r="D34" s="95">
        <v>88.1</v>
      </c>
      <c r="E34" s="95">
        <v>948</v>
      </c>
      <c r="F34" s="95">
        <v>10.3</v>
      </c>
      <c r="G34" s="95">
        <v>153</v>
      </c>
      <c r="H34" s="95">
        <v>1.7</v>
      </c>
      <c r="I34" s="96">
        <v>9241</v>
      </c>
      <c r="J34" s="77">
        <v>100</v>
      </c>
      <c r="K34" s="90"/>
    </row>
    <row r="35" spans="1:11" x14ac:dyDescent="0.3">
      <c r="A35" s="305"/>
      <c r="B35" s="95" t="s">
        <v>44</v>
      </c>
      <c r="C35" s="95">
        <v>225</v>
      </c>
      <c r="D35" s="95">
        <v>4.2</v>
      </c>
      <c r="E35" s="95">
        <v>458</v>
      </c>
      <c r="F35" s="95">
        <v>8.6</v>
      </c>
      <c r="G35" s="96">
        <v>4617</v>
      </c>
      <c r="H35" s="95">
        <v>87.1</v>
      </c>
      <c r="I35" s="96">
        <v>5300</v>
      </c>
      <c r="J35" s="77">
        <v>100</v>
      </c>
      <c r="K35" s="90"/>
    </row>
    <row r="36" spans="1:11" x14ac:dyDescent="0.3">
      <c r="A36" s="305"/>
      <c r="B36" s="95" t="s">
        <v>253</v>
      </c>
      <c r="C36" s="96">
        <v>8538</v>
      </c>
      <c r="D36" s="95">
        <v>21.1</v>
      </c>
      <c r="E36" s="96">
        <v>12845</v>
      </c>
      <c r="F36" s="95">
        <v>31.7</v>
      </c>
      <c r="G36" s="96">
        <v>19148</v>
      </c>
      <c r="H36" s="95">
        <v>47.2</v>
      </c>
      <c r="I36" s="96">
        <v>40531</v>
      </c>
      <c r="J36" s="77">
        <v>100</v>
      </c>
      <c r="K36" s="90"/>
    </row>
    <row r="37" spans="1:11" x14ac:dyDescent="0.3">
      <c r="A37" s="306"/>
      <c r="B37" s="97" t="s">
        <v>789</v>
      </c>
      <c r="C37" s="98">
        <v>58024</v>
      </c>
      <c r="D37" s="97">
        <v>28</v>
      </c>
      <c r="E37" s="98">
        <v>52338</v>
      </c>
      <c r="F37" s="97">
        <v>25.2</v>
      </c>
      <c r="G37" s="98">
        <v>97032</v>
      </c>
      <c r="H37" s="97">
        <v>46.8</v>
      </c>
      <c r="I37" s="98">
        <v>207394</v>
      </c>
      <c r="J37" s="78">
        <v>100</v>
      </c>
      <c r="K37" s="90"/>
    </row>
    <row r="38" spans="1:11" x14ac:dyDescent="0.3">
      <c r="A38" s="304" t="s">
        <v>402</v>
      </c>
      <c r="B38" s="95" t="s">
        <v>40</v>
      </c>
      <c r="C38" s="212">
        <v>37594</v>
      </c>
      <c r="D38" s="212">
        <v>53.9</v>
      </c>
      <c r="E38" s="212">
        <v>15618</v>
      </c>
      <c r="F38" s="212">
        <v>22.4</v>
      </c>
      <c r="G38" s="212">
        <v>16561</v>
      </c>
      <c r="H38" s="212">
        <v>23.7</v>
      </c>
      <c r="I38" s="212">
        <v>69773</v>
      </c>
      <c r="J38" s="213">
        <v>100</v>
      </c>
      <c r="K38" s="90"/>
    </row>
    <row r="39" spans="1:11" x14ac:dyDescent="0.3">
      <c r="A39" s="305"/>
      <c r="B39" s="95" t="s">
        <v>57</v>
      </c>
      <c r="C39" s="212">
        <v>2424</v>
      </c>
      <c r="D39" s="212">
        <v>5.8</v>
      </c>
      <c r="E39" s="212">
        <v>8148</v>
      </c>
      <c r="F39" s="212">
        <v>19.7</v>
      </c>
      <c r="G39" s="212">
        <v>30885</v>
      </c>
      <c r="H39" s="212">
        <v>74.5</v>
      </c>
      <c r="I39" s="212">
        <v>41457</v>
      </c>
      <c r="J39" s="213">
        <v>100</v>
      </c>
      <c r="K39" s="90"/>
    </row>
    <row r="40" spans="1:11" x14ac:dyDescent="0.3">
      <c r="A40" s="305"/>
      <c r="B40" s="95" t="s">
        <v>52</v>
      </c>
      <c r="C40" s="212">
        <v>980</v>
      </c>
      <c r="D40" s="212">
        <v>2.8</v>
      </c>
      <c r="E40" s="212">
        <v>20549</v>
      </c>
      <c r="F40" s="212">
        <v>58.7</v>
      </c>
      <c r="G40" s="212">
        <v>13505</v>
      </c>
      <c r="H40" s="212">
        <v>38.5</v>
      </c>
      <c r="I40" s="212">
        <v>35034</v>
      </c>
      <c r="J40" s="213">
        <v>100</v>
      </c>
      <c r="K40" s="90"/>
    </row>
    <row r="41" spans="1:11" x14ac:dyDescent="0.3">
      <c r="A41" s="305"/>
      <c r="B41" s="95" t="s">
        <v>63</v>
      </c>
      <c r="C41" s="258" t="s">
        <v>372</v>
      </c>
      <c r="D41" s="258" t="s">
        <v>372</v>
      </c>
      <c r="E41" s="259">
        <v>1471</v>
      </c>
      <c r="F41" s="259">
        <v>8.9</v>
      </c>
      <c r="G41" s="259">
        <v>15053</v>
      </c>
      <c r="H41" s="259">
        <v>91.1</v>
      </c>
      <c r="I41" s="259">
        <v>16524</v>
      </c>
      <c r="J41" s="213">
        <v>100</v>
      </c>
      <c r="K41" s="90"/>
    </row>
    <row r="42" spans="1:11" x14ac:dyDescent="0.3">
      <c r="A42" s="305"/>
      <c r="B42" s="95" t="s">
        <v>41</v>
      </c>
      <c r="C42" s="259">
        <v>8463</v>
      </c>
      <c r="D42" s="259">
        <v>86.4</v>
      </c>
      <c r="E42" s="259">
        <v>1107</v>
      </c>
      <c r="F42" s="259">
        <v>11.3</v>
      </c>
      <c r="G42" s="259">
        <v>229</v>
      </c>
      <c r="H42" s="259">
        <v>2.2999999999999998</v>
      </c>
      <c r="I42" s="259">
        <v>9799</v>
      </c>
      <c r="J42" s="213">
        <v>100</v>
      </c>
      <c r="K42" s="90"/>
    </row>
    <row r="43" spans="1:11" x14ac:dyDescent="0.3">
      <c r="A43" s="305"/>
      <c r="B43" s="95" t="s">
        <v>44</v>
      </c>
      <c r="C43" s="259">
        <v>148</v>
      </c>
      <c r="D43" s="259">
        <v>2.5</v>
      </c>
      <c r="E43" s="259">
        <v>520</v>
      </c>
      <c r="F43" s="259">
        <v>8.9</v>
      </c>
      <c r="G43" s="259">
        <v>5205</v>
      </c>
      <c r="H43" s="259">
        <v>88.6</v>
      </c>
      <c r="I43" s="259">
        <v>5873</v>
      </c>
      <c r="J43" s="213">
        <v>100</v>
      </c>
      <c r="K43" s="90"/>
    </row>
    <row r="44" spans="1:11" x14ac:dyDescent="0.3">
      <c r="A44" s="305"/>
      <c r="B44" s="95" t="s">
        <v>253</v>
      </c>
      <c r="C44" s="259">
        <v>8104</v>
      </c>
      <c r="D44" s="259">
        <v>21</v>
      </c>
      <c r="E44" s="259">
        <v>11541</v>
      </c>
      <c r="F44" s="259">
        <v>29.9</v>
      </c>
      <c r="G44" s="259">
        <v>18950</v>
      </c>
      <c r="H44" s="259">
        <v>49.1</v>
      </c>
      <c r="I44" s="259">
        <v>38596</v>
      </c>
      <c r="J44" s="213">
        <v>100</v>
      </c>
      <c r="K44" s="90"/>
    </row>
    <row r="45" spans="1:11" x14ac:dyDescent="0.3">
      <c r="A45" s="306"/>
      <c r="B45" s="97" t="s">
        <v>789</v>
      </c>
      <c r="C45" s="260">
        <v>57714</v>
      </c>
      <c r="D45" s="214">
        <v>26.6</v>
      </c>
      <c r="E45" s="214">
        <v>58953</v>
      </c>
      <c r="F45" s="214">
        <v>27.2</v>
      </c>
      <c r="G45" s="260">
        <v>100389</v>
      </c>
      <c r="H45" s="214">
        <v>46.2</v>
      </c>
      <c r="I45" s="214">
        <v>217056</v>
      </c>
      <c r="J45" s="215">
        <v>100</v>
      </c>
      <c r="K45" s="90"/>
    </row>
    <row r="47" spans="1:11" x14ac:dyDescent="0.3">
      <c r="A47" t="s">
        <v>790</v>
      </c>
    </row>
    <row r="48" spans="1:11" x14ac:dyDescent="0.3">
      <c r="A48" t="s">
        <v>791</v>
      </c>
    </row>
    <row r="50" spans="3:10" x14ac:dyDescent="0.3">
      <c r="C50" s="90"/>
      <c r="D50" s="90"/>
      <c r="E50" s="90"/>
      <c r="F50" s="90"/>
      <c r="G50" s="90"/>
      <c r="H50" s="90"/>
      <c r="I50" s="90"/>
      <c r="J50" s="90"/>
    </row>
    <row r="51" spans="3:10" x14ac:dyDescent="0.3">
      <c r="C51" s="91"/>
      <c r="D51" s="91"/>
      <c r="E51" s="91"/>
      <c r="F51" s="91"/>
      <c r="G51" s="91"/>
      <c r="H51" s="91"/>
      <c r="I51" s="91"/>
      <c r="J51" s="91"/>
    </row>
    <row r="52" spans="3:10" x14ac:dyDescent="0.3">
      <c r="C52" s="91"/>
      <c r="D52" s="91"/>
      <c r="E52" s="91"/>
      <c r="F52" s="91"/>
      <c r="G52" s="91"/>
      <c r="H52" s="91"/>
      <c r="I52" s="91"/>
      <c r="J52" s="91"/>
    </row>
    <row r="53" spans="3:10" x14ac:dyDescent="0.3">
      <c r="C53" s="91"/>
      <c r="D53" s="91"/>
      <c r="E53" s="91"/>
      <c r="F53" s="91"/>
      <c r="G53" s="91"/>
      <c r="H53" s="91"/>
      <c r="I53" s="91"/>
      <c r="J53" s="91"/>
    </row>
    <row r="54" spans="3:10" x14ac:dyDescent="0.3">
      <c r="C54" s="91"/>
      <c r="D54" s="91"/>
      <c r="E54" s="91"/>
      <c r="F54" s="91"/>
      <c r="G54" s="91"/>
      <c r="H54" s="91"/>
      <c r="I54" s="91"/>
      <c r="J54" s="91"/>
    </row>
    <row r="55" spans="3:10" x14ac:dyDescent="0.3">
      <c r="C55" s="91"/>
      <c r="D55" s="91"/>
      <c r="E55" s="91"/>
      <c r="F55" s="91"/>
      <c r="G55" s="91"/>
      <c r="H55" s="91"/>
      <c r="I55" s="91"/>
      <c r="J55" s="91"/>
    </row>
    <row r="56" spans="3:10" x14ac:dyDescent="0.3">
      <c r="C56" s="91"/>
      <c r="D56" s="91"/>
      <c r="E56" s="91"/>
      <c r="F56" s="91"/>
      <c r="G56" s="91"/>
      <c r="H56" s="91"/>
      <c r="I56" s="91"/>
      <c r="J56" s="91"/>
    </row>
    <row r="57" spans="3:10" x14ac:dyDescent="0.3">
      <c r="C57" s="91"/>
      <c r="D57" s="91"/>
      <c r="E57" s="91"/>
      <c r="F57" s="91"/>
      <c r="G57" s="91"/>
      <c r="H57" s="91"/>
      <c r="I57" s="91"/>
      <c r="J57" s="91"/>
    </row>
    <row r="58" spans="3:10" x14ac:dyDescent="0.3">
      <c r="C58" s="91"/>
      <c r="D58" s="91"/>
      <c r="E58" s="91"/>
      <c r="F58" s="91"/>
      <c r="G58" s="91"/>
      <c r="H58" s="91"/>
      <c r="I58" s="91"/>
      <c r="J58" s="91"/>
    </row>
    <row r="59" spans="3:10" x14ac:dyDescent="0.3">
      <c r="C59" s="91"/>
      <c r="D59" s="91"/>
      <c r="E59" s="91"/>
      <c r="F59" s="91"/>
      <c r="G59" s="91"/>
      <c r="H59" s="91"/>
      <c r="I59" s="91"/>
      <c r="J59" s="91"/>
    </row>
    <row r="60" spans="3:10" x14ac:dyDescent="0.3">
      <c r="C60" s="91"/>
      <c r="D60" s="91"/>
      <c r="E60" s="91"/>
      <c r="F60" s="91"/>
      <c r="G60" s="91"/>
      <c r="H60" s="91"/>
      <c r="I60" s="91"/>
      <c r="J60" s="91"/>
    </row>
    <row r="61" spans="3:10" x14ac:dyDescent="0.3">
      <c r="C61" s="91"/>
      <c r="D61" s="91"/>
      <c r="E61" s="91"/>
      <c r="F61" s="91"/>
      <c r="G61" s="91"/>
      <c r="H61" s="91"/>
      <c r="I61" s="91"/>
      <c r="J61" s="91"/>
    </row>
    <row r="62" spans="3:10" x14ac:dyDescent="0.3">
      <c r="C62" s="91"/>
      <c r="D62" s="91"/>
      <c r="E62" s="91"/>
      <c r="F62" s="91"/>
      <c r="G62" s="91"/>
      <c r="H62" s="91"/>
      <c r="I62" s="91"/>
      <c r="J62" s="91"/>
    </row>
    <row r="63" spans="3:10" x14ac:dyDescent="0.3">
      <c r="C63" s="91"/>
      <c r="D63" s="91"/>
      <c r="E63" s="91"/>
      <c r="F63" s="91"/>
      <c r="G63" s="91"/>
      <c r="H63" s="91"/>
      <c r="I63" s="91"/>
      <c r="J63" s="91"/>
    </row>
    <row r="64" spans="3:10" x14ac:dyDescent="0.3">
      <c r="C64" s="91"/>
      <c r="D64" s="91"/>
      <c r="E64" s="91"/>
      <c r="F64" s="91"/>
      <c r="G64" s="91"/>
      <c r="H64" s="91"/>
      <c r="I64" s="91"/>
      <c r="J64" s="91"/>
    </row>
    <row r="65" spans="3:10" x14ac:dyDescent="0.3">
      <c r="C65" s="91"/>
      <c r="D65" s="91"/>
      <c r="E65" s="91"/>
      <c r="F65" s="91"/>
      <c r="G65" s="91"/>
      <c r="H65" s="91"/>
      <c r="I65" s="91"/>
      <c r="J65" s="91"/>
    </row>
    <row r="66" spans="3:10" x14ac:dyDescent="0.3">
      <c r="C66" s="91"/>
      <c r="D66" s="91"/>
      <c r="E66" s="91"/>
      <c r="F66" s="91"/>
      <c r="G66" s="91"/>
      <c r="H66" s="91"/>
      <c r="I66" s="91"/>
      <c r="J66" s="91"/>
    </row>
    <row r="67" spans="3:10" x14ac:dyDescent="0.3">
      <c r="C67" s="91"/>
      <c r="D67" s="91"/>
      <c r="E67" s="91"/>
      <c r="F67" s="91"/>
      <c r="G67" s="91"/>
      <c r="H67" s="91"/>
      <c r="I67" s="91"/>
      <c r="J67" s="91"/>
    </row>
    <row r="68" spans="3:10" x14ac:dyDescent="0.3">
      <c r="C68" s="91"/>
      <c r="D68" s="91"/>
      <c r="E68" s="91"/>
      <c r="F68" s="91"/>
      <c r="G68" s="91"/>
      <c r="H68" s="91"/>
      <c r="I68" s="91"/>
      <c r="J68" s="91"/>
    </row>
    <row r="69" spans="3:10" x14ac:dyDescent="0.3">
      <c r="C69" s="91"/>
      <c r="D69" s="91"/>
      <c r="E69" s="91"/>
      <c r="F69" s="91"/>
      <c r="G69" s="91"/>
      <c r="H69" s="91"/>
      <c r="I69" s="91"/>
      <c r="J69" s="91"/>
    </row>
    <row r="70" spans="3:10" x14ac:dyDescent="0.3">
      <c r="C70" s="91"/>
      <c r="D70" s="91"/>
      <c r="E70" s="91"/>
      <c r="F70" s="91"/>
      <c r="G70" s="91"/>
      <c r="H70" s="91"/>
      <c r="I70" s="91"/>
      <c r="J70" s="91"/>
    </row>
    <row r="71" spans="3:10" x14ac:dyDescent="0.3">
      <c r="C71" s="91"/>
      <c r="D71" s="91"/>
      <c r="E71" s="91"/>
      <c r="F71" s="91"/>
      <c r="G71" s="91"/>
      <c r="H71" s="91"/>
      <c r="I71" s="91"/>
      <c r="J71" s="91"/>
    </row>
    <row r="72" spans="3:10" x14ac:dyDescent="0.3">
      <c r="C72" s="91"/>
      <c r="D72" s="91"/>
      <c r="E72" s="91"/>
      <c r="F72" s="91"/>
      <c r="G72" s="91"/>
      <c r="H72" s="91"/>
      <c r="I72" s="91"/>
      <c r="J72" s="91"/>
    </row>
    <row r="73" spans="3:10" x14ac:dyDescent="0.3">
      <c r="C73" s="91"/>
      <c r="D73" s="91"/>
      <c r="E73" s="91"/>
      <c r="F73" s="91"/>
      <c r="G73" s="91"/>
      <c r="H73" s="91"/>
      <c r="I73" s="91"/>
      <c r="J73" s="91"/>
    </row>
    <row r="74" spans="3:10" x14ac:dyDescent="0.3">
      <c r="C74" s="91"/>
      <c r="D74" s="91"/>
      <c r="E74" s="91"/>
      <c r="F74" s="91"/>
      <c r="G74" s="91"/>
      <c r="H74" s="91"/>
      <c r="I74" s="91"/>
      <c r="J74" s="91"/>
    </row>
    <row r="75" spans="3:10" x14ac:dyDescent="0.3">
      <c r="C75" s="91"/>
      <c r="D75" s="91"/>
      <c r="E75" s="91"/>
      <c r="F75" s="91"/>
      <c r="G75" s="91"/>
      <c r="H75" s="91"/>
      <c r="I75" s="91"/>
      <c r="J75" s="91"/>
    </row>
    <row r="76" spans="3:10" x14ac:dyDescent="0.3">
      <c r="C76" s="91"/>
      <c r="D76" s="91"/>
      <c r="E76" s="91"/>
      <c r="F76" s="91"/>
      <c r="G76" s="91"/>
      <c r="H76" s="91"/>
      <c r="I76" s="91"/>
      <c r="J76" s="91"/>
    </row>
    <row r="77" spans="3:10" x14ac:dyDescent="0.3">
      <c r="C77" s="91"/>
      <c r="D77" s="91"/>
      <c r="E77" s="91"/>
      <c r="F77" s="91"/>
      <c r="G77" s="91"/>
      <c r="H77" s="91"/>
      <c r="I77" s="91"/>
      <c r="J77" s="91"/>
    </row>
    <row r="78" spans="3:10" x14ac:dyDescent="0.3">
      <c r="C78" s="91"/>
      <c r="D78" s="91"/>
      <c r="E78" s="91"/>
      <c r="F78" s="91"/>
      <c r="G78" s="91"/>
      <c r="H78" s="91"/>
      <c r="I78" s="91"/>
      <c r="J78" s="91"/>
    </row>
    <row r="79" spans="3:10" x14ac:dyDescent="0.3">
      <c r="C79" s="91"/>
      <c r="D79" s="91"/>
      <c r="E79" s="91"/>
      <c r="F79" s="91"/>
      <c r="G79" s="91"/>
      <c r="H79" s="91"/>
      <c r="I79" s="91"/>
      <c r="J79" s="91"/>
    </row>
    <row r="80" spans="3:10" x14ac:dyDescent="0.3">
      <c r="C80" s="91"/>
      <c r="D80" s="91"/>
      <c r="E80" s="91"/>
      <c r="F80" s="91"/>
      <c r="G80" s="91"/>
      <c r="H80" s="91"/>
      <c r="I80" s="91"/>
      <c r="J80" s="91"/>
    </row>
    <row r="81" spans="3:10" x14ac:dyDescent="0.3">
      <c r="C81" s="91"/>
      <c r="D81" s="91"/>
      <c r="E81" s="91"/>
      <c r="F81" s="91"/>
      <c r="G81" s="91"/>
      <c r="H81" s="91"/>
      <c r="I81" s="91"/>
      <c r="J81" s="91"/>
    </row>
    <row r="82" spans="3:10" x14ac:dyDescent="0.3">
      <c r="C82" s="91"/>
      <c r="D82" s="91"/>
      <c r="E82" s="91"/>
      <c r="F82" s="91"/>
      <c r="G82" s="91"/>
      <c r="H82" s="91"/>
      <c r="I82" s="91"/>
      <c r="J82" s="91"/>
    </row>
    <row r="83" spans="3:10" x14ac:dyDescent="0.3">
      <c r="C83" s="91"/>
      <c r="D83" s="91"/>
      <c r="E83" s="91"/>
      <c r="F83" s="91"/>
      <c r="G83" s="91"/>
      <c r="H83" s="91"/>
      <c r="I83" s="91"/>
      <c r="J83" s="91"/>
    </row>
    <row r="84" spans="3:10" x14ac:dyDescent="0.3">
      <c r="C84" s="91"/>
      <c r="D84" s="91"/>
      <c r="E84" s="91"/>
      <c r="F84" s="91"/>
      <c r="G84" s="91"/>
      <c r="H84" s="91"/>
      <c r="I84" s="91"/>
      <c r="J84" s="91"/>
    </row>
    <row r="85" spans="3:10" x14ac:dyDescent="0.3">
      <c r="C85" s="91"/>
      <c r="D85" s="91"/>
      <c r="E85" s="91"/>
      <c r="F85" s="91"/>
      <c r="G85" s="91"/>
      <c r="H85" s="91"/>
      <c r="I85" s="91"/>
      <c r="J85" s="91"/>
    </row>
    <row r="86" spans="3:10" x14ac:dyDescent="0.3">
      <c r="C86" s="91"/>
      <c r="D86" s="91"/>
      <c r="E86" s="91"/>
      <c r="F86" s="91"/>
      <c r="G86" s="91"/>
      <c r="H86" s="91"/>
      <c r="I86" s="91"/>
      <c r="J86" s="91"/>
    </row>
    <row r="87" spans="3:10" x14ac:dyDescent="0.3">
      <c r="C87" s="91"/>
      <c r="D87" s="91"/>
      <c r="E87" s="91"/>
      <c r="F87" s="91"/>
      <c r="G87" s="91"/>
      <c r="H87" s="91"/>
      <c r="I87" s="91"/>
      <c r="J87" s="91"/>
    </row>
    <row r="88" spans="3:10" x14ac:dyDescent="0.3">
      <c r="C88" s="91"/>
      <c r="D88" s="91"/>
      <c r="E88" s="91"/>
      <c r="F88" s="91"/>
      <c r="G88" s="91"/>
      <c r="H88" s="91"/>
      <c r="I88" s="91"/>
      <c r="J88" s="91"/>
    </row>
    <row r="89" spans="3:10" x14ac:dyDescent="0.3">
      <c r="C89" s="91"/>
      <c r="D89" s="91"/>
      <c r="E89" s="91"/>
      <c r="F89" s="91"/>
      <c r="G89" s="91"/>
      <c r="H89" s="91"/>
      <c r="I89" s="91"/>
      <c r="J89" s="91"/>
    </row>
  </sheetData>
  <mergeCells count="11">
    <mergeCell ref="I4:J4"/>
    <mergeCell ref="A4:A5"/>
    <mergeCell ref="B4:B5"/>
    <mergeCell ref="C4:D4"/>
    <mergeCell ref="E4:F4"/>
    <mergeCell ref="G4:H4"/>
    <mergeCell ref="A6:A13"/>
    <mergeCell ref="A14:A21"/>
    <mergeCell ref="A22:A29"/>
    <mergeCell ref="A30:A37"/>
    <mergeCell ref="A38:A45"/>
  </mergeCells>
  <phoneticPr fontId="1" type="noConversion"/>
  <hyperlinks>
    <hyperlink ref="H1" location="목차!A1" display="목차" xr:uid="{6BB8FEB8-2D70-40AD-AF5C-B6265F102FD3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D677-A0A5-43C0-870B-EBA224E514C2}">
  <sheetPr>
    <tabColor theme="1" tint="0.499984740745262"/>
  </sheetPr>
  <dimension ref="A1:N269"/>
  <sheetViews>
    <sheetView topLeftCell="A52" zoomScale="55" zoomScaleNormal="55" workbookViewId="0">
      <selection activeCell="A6" sqref="A6:A81"/>
    </sheetView>
  </sheetViews>
  <sheetFormatPr defaultRowHeight="16.5" x14ac:dyDescent="0.3"/>
  <cols>
    <col min="1" max="1" width="22.25" customWidth="1"/>
    <col min="2" max="2" width="13.75" customWidth="1"/>
    <col min="3" max="14" width="9.75" customWidth="1"/>
  </cols>
  <sheetData>
    <row r="1" spans="1:14" ht="17.25" x14ac:dyDescent="0.3">
      <c r="A1" s="7" t="s">
        <v>1063</v>
      </c>
      <c r="B1" s="2"/>
      <c r="C1" s="2"/>
      <c r="D1" s="2"/>
      <c r="E1" s="2"/>
      <c r="F1" s="2"/>
      <c r="H1" s="72" t="s">
        <v>367</v>
      </c>
    </row>
    <row r="2" spans="1:14" ht="17.25" x14ac:dyDescent="0.3">
      <c r="A2" s="189"/>
    </row>
    <row r="3" spans="1:14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3" t="s">
        <v>87</v>
      </c>
    </row>
    <row r="4" spans="1:14" ht="17.25" thickBot="1" x14ac:dyDescent="0.35">
      <c r="A4" s="312" t="s">
        <v>0</v>
      </c>
      <c r="B4" s="313"/>
      <c r="C4" s="318" t="s">
        <v>8</v>
      </c>
      <c r="D4" s="320"/>
      <c r="E4" s="318" t="s">
        <v>9</v>
      </c>
      <c r="F4" s="320"/>
      <c r="G4" s="318" t="s">
        <v>10</v>
      </c>
      <c r="H4" s="320"/>
      <c r="I4" s="318" t="s">
        <v>369</v>
      </c>
      <c r="J4" s="320"/>
      <c r="K4" s="318" t="s">
        <v>402</v>
      </c>
      <c r="L4" s="320"/>
      <c r="M4" s="318" t="s">
        <v>32</v>
      </c>
      <c r="N4" s="319"/>
    </row>
    <row r="5" spans="1:14" ht="17.25" thickTop="1" x14ac:dyDescent="0.3">
      <c r="A5" s="312"/>
      <c r="B5" s="313"/>
      <c r="C5" s="173" t="s">
        <v>77</v>
      </c>
      <c r="D5" s="173" t="s">
        <v>36</v>
      </c>
      <c r="E5" s="173" t="s">
        <v>77</v>
      </c>
      <c r="F5" s="173" t="s">
        <v>36</v>
      </c>
      <c r="G5" s="173" t="s">
        <v>73</v>
      </c>
      <c r="H5" s="173" t="s">
        <v>36</v>
      </c>
      <c r="I5" s="173" t="s">
        <v>74</v>
      </c>
      <c r="J5" s="173" t="s">
        <v>36</v>
      </c>
      <c r="K5" s="173" t="s">
        <v>74</v>
      </c>
      <c r="L5" s="173" t="s">
        <v>36</v>
      </c>
      <c r="M5" s="173" t="s">
        <v>37</v>
      </c>
      <c r="N5" s="174" t="s">
        <v>38</v>
      </c>
    </row>
    <row r="6" spans="1:14" ht="16.5" customHeight="1" x14ac:dyDescent="0.3">
      <c r="A6" s="305" t="s">
        <v>792</v>
      </c>
      <c r="B6" s="169" t="s">
        <v>107</v>
      </c>
      <c r="C6" s="201">
        <v>29232</v>
      </c>
      <c r="D6" s="201">
        <v>60.2</v>
      </c>
      <c r="E6" s="201">
        <v>32335</v>
      </c>
      <c r="F6" s="201">
        <v>58</v>
      </c>
      <c r="G6" s="201">
        <v>33929</v>
      </c>
      <c r="H6" s="201">
        <v>54.6</v>
      </c>
      <c r="I6" s="201">
        <v>37523</v>
      </c>
      <c r="J6" s="201">
        <v>55.8</v>
      </c>
      <c r="K6" s="202">
        <v>37594</v>
      </c>
      <c r="L6" s="201">
        <v>53.9</v>
      </c>
      <c r="M6" s="202">
        <v>71</v>
      </c>
      <c r="N6" s="203">
        <v>0.2</v>
      </c>
    </row>
    <row r="7" spans="1:14" x14ac:dyDescent="0.3">
      <c r="A7" s="305"/>
      <c r="B7" s="95" t="s">
        <v>108</v>
      </c>
      <c r="C7" s="204">
        <v>8313</v>
      </c>
      <c r="D7" s="204">
        <v>17.100000000000001</v>
      </c>
      <c r="E7" s="204">
        <v>9814</v>
      </c>
      <c r="F7" s="204">
        <v>17.600000000000001</v>
      </c>
      <c r="G7" s="204">
        <v>12846</v>
      </c>
      <c r="H7" s="204">
        <v>20.7</v>
      </c>
      <c r="I7" s="204">
        <v>14328</v>
      </c>
      <c r="J7" s="204">
        <v>21.3</v>
      </c>
      <c r="K7" s="205">
        <v>15618</v>
      </c>
      <c r="L7" s="204">
        <v>22.4</v>
      </c>
      <c r="M7" s="205">
        <v>1290</v>
      </c>
      <c r="N7" s="206">
        <v>9</v>
      </c>
    </row>
    <row r="8" spans="1:14" x14ac:dyDescent="0.3">
      <c r="A8" s="305"/>
      <c r="B8" s="95" t="s">
        <v>109</v>
      </c>
      <c r="C8" s="204">
        <v>10991</v>
      </c>
      <c r="D8" s="204">
        <v>22.6</v>
      </c>
      <c r="E8" s="204">
        <v>13648</v>
      </c>
      <c r="F8" s="204">
        <v>24.5</v>
      </c>
      <c r="G8" s="204">
        <v>15408</v>
      </c>
      <c r="H8" s="204">
        <v>24.8</v>
      </c>
      <c r="I8" s="204">
        <v>15441</v>
      </c>
      <c r="J8" s="204">
        <v>22.9</v>
      </c>
      <c r="K8" s="205">
        <v>16561</v>
      </c>
      <c r="L8" s="204">
        <v>23.7</v>
      </c>
      <c r="M8" s="205">
        <v>1119</v>
      </c>
      <c r="N8" s="206">
        <v>7.2</v>
      </c>
    </row>
    <row r="9" spans="1:14" x14ac:dyDescent="0.3">
      <c r="A9" s="306"/>
      <c r="B9" s="97" t="s">
        <v>86</v>
      </c>
      <c r="C9" s="207">
        <v>48537</v>
      </c>
      <c r="D9" s="207">
        <v>100</v>
      </c>
      <c r="E9" s="207">
        <v>55797</v>
      </c>
      <c r="F9" s="207">
        <v>100</v>
      </c>
      <c r="G9" s="207">
        <v>62184</v>
      </c>
      <c r="H9" s="207">
        <v>100</v>
      </c>
      <c r="I9" s="207">
        <v>67292</v>
      </c>
      <c r="J9" s="207">
        <v>100</v>
      </c>
      <c r="K9" s="208">
        <v>69773</v>
      </c>
      <c r="L9" s="207">
        <v>100</v>
      </c>
      <c r="M9" s="208">
        <v>2481</v>
      </c>
      <c r="N9" s="209">
        <v>3.7</v>
      </c>
    </row>
    <row r="10" spans="1:14" x14ac:dyDescent="0.3">
      <c r="A10" s="304" t="s">
        <v>41</v>
      </c>
      <c r="B10" s="95" t="s">
        <v>107</v>
      </c>
      <c r="C10" s="204">
        <v>6480</v>
      </c>
      <c r="D10" s="204">
        <v>94</v>
      </c>
      <c r="E10" s="204">
        <v>6986</v>
      </c>
      <c r="F10" s="204">
        <v>91.2</v>
      </c>
      <c r="G10" s="204">
        <v>8073</v>
      </c>
      <c r="H10" s="204">
        <v>88.8</v>
      </c>
      <c r="I10" s="204">
        <v>8141</v>
      </c>
      <c r="J10" s="204">
        <v>88.1</v>
      </c>
      <c r="K10" s="205">
        <v>8463</v>
      </c>
      <c r="L10" s="204">
        <v>86.4</v>
      </c>
      <c r="M10" s="205">
        <v>322</v>
      </c>
      <c r="N10" s="206">
        <v>4</v>
      </c>
    </row>
    <row r="11" spans="1:14" x14ac:dyDescent="0.3">
      <c r="A11" s="305"/>
      <c r="B11" s="95" t="s">
        <v>108</v>
      </c>
      <c r="C11" s="204">
        <v>317</v>
      </c>
      <c r="D11" s="204">
        <v>4.5999999999999996</v>
      </c>
      <c r="E11" s="204">
        <v>572</v>
      </c>
      <c r="F11" s="204">
        <v>7.5</v>
      </c>
      <c r="G11" s="204">
        <v>876</v>
      </c>
      <c r="H11" s="204">
        <v>9.6</v>
      </c>
      <c r="I11" s="204">
        <v>948</v>
      </c>
      <c r="J11" s="204">
        <v>10.3</v>
      </c>
      <c r="K11" s="205">
        <v>1107</v>
      </c>
      <c r="L11" s="204">
        <v>11.3</v>
      </c>
      <c r="M11" s="205">
        <v>159</v>
      </c>
      <c r="N11" s="206">
        <v>16.8</v>
      </c>
    </row>
    <row r="12" spans="1:14" x14ac:dyDescent="0.3">
      <c r="A12" s="305"/>
      <c r="B12" s="95" t="s">
        <v>109</v>
      </c>
      <c r="C12" s="204">
        <v>97</v>
      </c>
      <c r="D12" s="204">
        <v>1.4</v>
      </c>
      <c r="E12" s="204">
        <v>106</v>
      </c>
      <c r="F12" s="204">
        <v>1.4</v>
      </c>
      <c r="G12" s="204">
        <v>144</v>
      </c>
      <c r="H12" s="204">
        <v>1.6</v>
      </c>
      <c r="I12" s="204">
        <v>153</v>
      </c>
      <c r="J12" s="204">
        <v>1.7</v>
      </c>
      <c r="K12" s="205">
        <v>229</v>
      </c>
      <c r="L12" s="204">
        <v>2.2999999999999998</v>
      </c>
      <c r="M12" s="205">
        <v>76</v>
      </c>
      <c r="N12" s="206">
        <v>49.9</v>
      </c>
    </row>
    <row r="13" spans="1:14" x14ac:dyDescent="0.3">
      <c r="A13" s="306"/>
      <c r="B13" s="97" t="s">
        <v>86</v>
      </c>
      <c r="C13" s="207">
        <v>6894</v>
      </c>
      <c r="D13" s="207">
        <v>100</v>
      </c>
      <c r="E13" s="207">
        <v>7664</v>
      </c>
      <c r="F13" s="207">
        <v>100</v>
      </c>
      <c r="G13" s="207">
        <v>9093</v>
      </c>
      <c r="H13" s="207">
        <v>100</v>
      </c>
      <c r="I13" s="207">
        <v>9241</v>
      </c>
      <c r="J13" s="207">
        <v>100</v>
      </c>
      <c r="K13" s="208">
        <v>9799</v>
      </c>
      <c r="L13" s="207">
        <v>100</v>
      </c>
      <c r="M13" s="208">
        <v>557</v>
      </c>
      <c r="N13" s="209">
        <v>6</v>
      </c>
    </row>
    <row r="14" spans="1:14" ht="16.5" customHeight="1" x14ac:dyDescent="0.3">
      <c r="A14" s="304" t="s">
        <v>793</v>
      </c>
      <c r="B14" s="95" t="s">
        <v>107</v>
      </c>
      <c r="C14" s="204">
        <v>279</v>
      </c>
      <c r="D14" s="204">
        <v>48.6</v>
      </c>
      <c r="E14" s="204">
        <v>182</v>
      </c>
      <c r="F14" s="204">
        <v>39</v>
      </c>
      <c r="G14" s="204">
        <v>370</v>
      </c>
      <c r="H14" s="204">
        <v>43.9</v>
      </c>
      <c r="I14" s="204">
        <v>616</v>
      </c>
      <c r="J14" s="204">
        <v>67.3</v>
      </c>
      <c r="K14" s="205">
        <v>587</v>
      </c>
      <c r="L14" s="204">
        <v>55.1</v>
      </c>
      <c r="M14" s="205" t="s">
        <v>799</v>
      </c>
      <c r="N14" s="206" t="s">
        <v>1064</v>
      </c>
    </row>
    <row r="15" spans="1:14" x14ac:dyDescent="0.3">
      <c r="A15" s="305"/>
      <c r="B15" s="95" t="s">
        <v>108</v>
      </c>
      <c r="C15" s="204">
        <v>244</v>
      </c>
      <c r="D15" s="204">
        <v>42.5</v>
      </c>
      <c r="E15" s="204">
        <v>242</v>
      </c>
      <c r="F15" s="204">
        <v>51.7</v>
      </c>
      <c r="G15" s="204">
        <v>394</v>
      </c>
      <c r="H15" s="204">
        <v>46.8</v>
      </c>
      <c r="I15" s="204">
        <v>231</v>
      </c>
      <c r="J15" s="204">
        <v>25.2</v>
      </c>
      <c r="K15" s="205">
        <v>456</v>
      </c>
      <c r="L15" s="204">
        <v>42.8</v>
      </c>
      <c r="M15" s="205">
        <v>225</v>
      </c>
      <c r="N15" s="206">
        <v>97.5</v>
      </c>
    </row>
    <row r="16" spans="1:14" x14ac:dyDescent="0.3">
      <c r="A16" s="305"/>
      <c r="B16" s="95" t="s">
        <v>109</v>
      </c>
      <c r="C16" s="204">
        <v>51</v>
      </c>
      <c r="D16" s="204">
        <v>8.9</v>
      </c>
      <c r="E16" s="204">
        <v>44</v>
      </c>
      <c r="F16" s="204">
        <v>9.3000000000000007</v>
      </c>
      <c r="G16" s="204">
        <v>79</v>
      </c>
      <c r="H16" s="204">
        <v>9.3000000000000007</v>
      </c>
      <c r="I16" s="204">
        <v>68</v>
      </c>
      <c r="J16" s="204">
        <v>7.4</v>
      </c>
      <c r="K16" s="205">
        <v>22</v>
      </c>
      <c r="L16" s="204">
        <v>2</v>
      </c>
      <c r="M16" s="205" t="s">
        <v>1065</v>
      </c>
      <c r="N16" s="206" t="s">
        <v>1066</v>
      </c>
    </row>
    <row r="17" spans="1:14" x14ac:dyDescent="0.3">
      <c r="A17" s="306"/>
      <c r="B17" s="97" t="s">
        <v>86</v>
      </c>
      <c r="C17" s="207">
        <v>575</v>
      </c>
      <c r="D17" s="207">
        <v>100</v>
      </c>
      <c r="E17" s="207">
        <v>467</v>
      </c>
      <c r="F17" s="207">
        <v>100</v>
      </c>
      <c r="G17" s="207">
        <v>842</v>
      </c>
      <c r="H17" s="207">
        <v>100</v>
      </c>
      <c r="I17" s="207">
        <v>915</v>
      </c>
      <c r="J17" s="207">
        <v>100</v>
      </c>
      <c r="K17" s="208">
        <v>1065</v>
      </c>
      <c r="L17" s="207">
        <v>100</v>
      </c>
      <c r="M17" s="208">
        <v>150</v>
      </c>
      <c r="N17" s="209">
        <v>16.399999999999999</v>
      </c>
    </row>
    <row r="18" spans="1:14" ht="16.5" customHeight="1" x14ac:dyDescent="0.3">
      <c r="A18" s="304" t="s">
        <v>796</v>
      </c>
      <c r="B18" s="95" t="s">
        <v>107</v>
      </c>
      <c r="C18" s="204">
        <v>290</v>
      </c>
      <c r="D18" s="204">
        <v>6.3</v>
      </c>
      <c r="E18" s="204">
        <v>210</v>
      </c>
      <c r="F18" s="204">
        <v>4.3</v>
      </c>
      <c r="G18" s="204">
        <v>231</v>
      </c>
      <c r="H18" s="204">
        <v>4</v>
      </c>
      <c r="I18" s="204">
        <v>225</v>
      </c>
      <c r="J18" s="204">
        <v>4.2</v>
      </c>
      <c r="K18" s="205">
        <v>148</v>
      </c>
      <c r="L18" s="204">
        <v>2.5</v>
      </c>
      <c r="M18" s="205" t="s">
        <v>1067</v>
      </c>
      <c r="N18" s="206" t="s">
        <v>1068</v>
      </c>
    </row>
    <row r="19" spans="1:14" x14ac:dyDescent="0.3">
      <c r="A19" s="305"/>
      <c r="B19" s="95" t="s">
        <v>108</v>
      </c>
      <c r="C19" s="204">
        <v>804</v>
      </c>
      <c r="D19" s="204">
        <v>17.399999999999999</v>
      </c>
      <c r="E19" s="204">
        <v>851</v>
      </c>
      <c r="F19" s="204">
        <v>17.3</v>
      </c>
      <c r="G19" s="204">
        <v>826</v>
      </c>
      <c r="H19" s="204">
        <v>14.5</v>
      </c>
      <c r="I19" s="204">
        <v>458</v>
      </c>
      <c r="J19" s="204">
        <v>8.6</v>
      </c>
      <c r="K19" s="205">
        <v>520</v>
      </c>
      <c r="L19" s="204">
        <v>8.9</v>
      </c>
      <c r="M19" s="205">
        <v>62</v>
      </c>
      <c r="N19" s="206">
        <v>13.6</v>
      </c>
    </row>
    <row r="20" spans="1:14" x14ac:dyDescent="0.3">
      <c r="A20" s="305"/>
      <c r="B20" s="95" t="s">
        <v>109</v>
      </c>
      <c r="C20" s="204">
        <v>3520</v>
      </c>
      <c r="D20" s="204">
        <v>76.3</v>
      </c>
      <c r="E20" s="204">
        <v>3863</v>
      </c>
      <c r="F20" s="204">
        <v>78.5</v>
      </c>
      <c r="G20" s="204">
        <v>4646</v>
      </c>
      <c r="H20" s="204">
        <v>81.5</v>
      </c>
      <c r="I20" s="204">
        <v>4617</v>
      </c>
      <c r="J20" s="204">
        <v>87.1</v>
      </c>
      <c r="K20" s="205">
        <v>5205</v>
      </c>
      <c r="L20" s="204">
        <v>88.6</v>
      </c>
      <c r="M20" s="205">
        <v>588</v>
      </c>
      <c r="N20" s="206">
        <v>12.7</v>
      </c>
    </row>
    <row r="21" spans="1:14" x14ac:dyDescent="0.3">
      <c r="A21" s="306"/>
      <c r="B21" s="97" t="s">
        <v>86</v>
      </c>
      <c r="C21" s="207">
        <v>4614</v>
      </c>
      <c r="D21" s="207">
        <v>100</v>
      </c>
      <c r="E21" s="207">
        <v>4924</v>
      </c>
      <c r="F21" s="207">
        <v>100</v>
      </c>
      <c r="G21" s="207">
        <v>5703</v>
      </c>
      <c r="H21" s="207">
        <v>100</v>
      </c>
      <c r="I21" s="207">
        <v>5300</v>
      </c>
      <c r="J21" s="207">
        <v>100</v>
      </c>
      <c r="K21" s="208">
        <v>5873</v>
      </c>
      <c r="L21" s="207">
        <v>100</v>
      </c>
      <c r="M21" s="208">
        <v>573</v>
      </c>
      <c r="N21" s="209">
        <v>10.8</v>
      </c>
    </row>
    <row r="22" spans="1:14" x14ac:dyDescent="0.3">
      <c r="A22" s="304" t="s">
        <v>45</v>
      </c>
      <c r="B22" s="95" t="s">
        <v>107</v>
      </c>
      <c r="C22" s="204">
        <v>521</v>
      </c>
      <c r="D22" s="204">
        <v>52.5</v>
      </c>
      <c r="E22" s="204">
        <v>436</v>
      </c>
      <c r="F22" s="204">
        <v>50.1</v>
      </c>
      <c r="G22" s="204">
        <v>137</v>
      </c>
      <c r="H22" s="204">
        <v>13.2</v>
      </c>
      <c r="I22" s="204">
        <v>137</v>
      </c>
      <c r="J22" s="204">
        <v>12.5</v>
      </c>
      <c r="K22" s="205">
        <v>57</v>
      </c>
      <c r="L22" s="204">
        <v>5.3</v>
      </c>
      <c r="M22" s="205" t="s">
        <v>1069</v>
      </c>
      <c r="N22" s="206" t="s">
        <v>1070</v>
      </c>
    </row>
    <row r="23" spans="1:14" x14ac:dyDescent="0.3">
      <c r="A23" s="305"/>
      <c r="B23" s="95" t="s">
        <v>108</v>
      </c>
      <c r="C23" s="204">
        <v>314</v>
      </c>
      <c r="D23" s="204">
        <v>31.6</v>
      </c>
      <c r="E23" s="204">
        <v>301</v>
      </c>
      <c r="F23" s="204">
        <v>34.6</v>
      </c>
      <c r="G23" s="204">
        <v>800</v>
      </c>
      <c r="H23" s="204">
        <v>77.2</v>
      </c>
      <c r="I23" s="204">
        <v>840</v>
      </c>
      <c r="J23" s="204">
        <v>76.900000000000006</v>
      </c>
      <c r="K23" s="205">
        <v>889</v>
      </c>
      <c r="L23" s="204">
        <v>82.1</v>
      </c>
      <c r="M23" s="205">
        <v>49</v>
      </c>
      <c r="N23" s="206">
        <v>5.8</v>
      </c>
    </row>
    <row r="24" spans="1:14" x14ac:dyDescent="0.3">
      <c r="A24" s="305"/>
      <c r="B24" s="95" t="s">
        <v>109</v>
      </c>
      <c r="C24" s="204">
        <v>158</v>
      </c>
      <c r="D24" s="204">
        <v>15.9</v>
      </c>
      <c r="E24" s="204">
        <v>134</v>
      </c>
      <c r="F24" s="204">
        <v>15.4</v>
      </c>
      <c r="G24" s="204">
        <v>100</v>
      </c>
      <c r="H24" s="204">
        <v>9.6</v>
      </c>
      <c r="I24" s="204">
        <v>115</v>
      </c>
      <c r="J24" s="204">
        <v>10.5</v>
      </c>
      <c r="K24" s="205">
        <v>136</v>
      </c>
      <c r="L24" s="204">
        <v>12.6</v>
      </c>
      <c r="M24" s="205">
        <v>21</v>
      </c>
      <c r="N24" s="206">
        <v>18.2</v>
      </c>
    </row>
    <row r="25" spans="1:14" x14ac:dyDescent="0.3">
      <c r="A25" s="306"/>
      <c r="B25" s="97" t="s">
        <v>86</v>
      </c>
      <c r="C25" s="207">
        <v>994</v>
      </c>
      <c r="D25" s="207">
        <v>100</v>
      </c>
      <c r="E25" s="207">
        <v>871</v>
      </c>
      <c r="F25" s="207">
        <v>100</v>
      </c>
      <c r="G25" s="207">
        <v>1037</v>
      </c>
      <c r="H25" s="207">
        <v>100</v>
      </c>
      <c r="I25" s="207">
        <v>1092</v>
      </c>
      <c r="J25" s="207">
        <v>100</v>
      </c>
      <c r="K25" s="208">
        <v>1082</v>
      </c>
      <c r="L25" s="207">
        <v>100</v>
      </c>
      <c r="M25" s="208" t="s">
        <v>814</v>
      </c>
      <c r="N25" s="209" t="s">
        <v>811</v>
      </c>
    </row>
    <row r="26" spans="1:14" ht="16.5" customHeight="1" x14ac:dyDescent="0.3">
      <c r="A26" s="304" t="s">
        <v>47</v>
      </c>
      <c r="B26" s="95" t="s">
        <v>107</v>
      </c>
      <c r="C26" s="204">
        <v>239</v>
      </c>
      <c r="D26" s="204">
        <v>15</v>
      </c>
      <c r="E26" s="204">
        <v>234</v>
      </c>
      <c r="F26" s="204">
        <v>14.7</v>
      </c>
      <c r="G26" s="204">
        <v>245</v>
      </c>
      <c r="H26" s="204">
        <v>13.4</v>
      </c>
      <c r="I26" s="204">
        <v>296</v>
      </c>
      <c r="J26" s="204">
        <v>13.6</v>
      </c>
      <c r="K26" s="205">
        <v>313</v>
      </c>
      <c r="L26" s="204">
        <v>15.3</v>
      </c>
      <c r="M26" s="205">
        <v>17</v>
      </c>
      <c r="N26" s="206">
        <v>5.6</v>
      </c>
    </row>
    <row r="27" spans="1:14" x14ac:dyDescent="0.3">
      <c r="A27" s="305"/>
      <c r="B27" s="95" t="s">
        <v>108</v>
      </c>
      <c r="C27" s="204">
        <v>430</v>
      </c>
      <c r="D27" s="204">
        <v>27</v>
      </c>
      <c r="E27" s="204">
        <v>431</v>
      </c>
      <c r="F27" s="204">
        <v>27.1</v>
      </c>
      <c r="G27" s="204">
        <v>465</v>
      </c>
      <c r="H27" s="204">
        <v>25.4</v>
      </c>
      <c r="I27" s="204">
        <v>557</v>
      </c>
      <c r="J27" s="204">
        <v>25.5</v>
      </c>
      <c r="K27" s="205">
        <v>543</v>
      </c>
      <c r="L27" s="204">
        <v>26.6</v>
      </c>
      <c r="M27" s="205" t="s">
        <v>807</v>
      </c>
      <c r="N27" s="206" t="s">
        <v>376</v>
      </c>
    </row>
    <row r="28" spans="1:14" x14ac:dyDescent="0.3">
      <c r="A28" s="305"/>
      <c r="B28" s="95" t="s">
        <v>109</v>
      </c>
      <c r="C28" s="204">
        <v>923</v>
      </c>
      <c r="D28" s="204">
        <v>58</v>
      </c>
      <c r="E28" s="204">
        <v>925</v>
      </c>
      <c r="F28" s="204">
        <v>58.2</v>
      </c>
      <c r="G28" s="204">
        <v>1120</v>
      </c>
      <c r="H28" s="204">
        <v>61.2</v>
      </c>
      <c r="I28" s="204">
        <v>1334</v>
      </c>
      <c r="J28" s="204">
        <v>61</v>
      </c>
      <c r="K28" s="205">
        <v>1186</v>
      </c>
      <c r="L28" s="204">
        <v>58.1</v>
      </c>
      <c r="M28" s="205" t="s">
        <v>1071</v>
      </c>
      <c r="N28" s="206" t="s">
        <v>1072</v>
      </c>
    </row>
    <row r="29" spans="1:14" x14ac:dyDescent="0.3">
      <c r="A29" s="306"/>
      <c r="B29" s="97" t="s">
        <v>86</v>
      </c>
      <c r="C29" s="207">
        <v>1592</v>
      </c>
      <c r="D29" s="207">
        <v>100</v>
      </c>
      <c r="E29" s="207">
        <v>1590</v>
      </c>
      <c r="F29" s="207">
        <v>100</v>
      </c>
      <c r="G29" s="207">
        <v>1830</v>
      </c>
      <c r="H29" s="207">
        <v>100</v>
      </c>
      <c r="I29" s="207">
        <v>2187</v>
      </c>
      <c r="J29" s="207">
        <v>100</v>
      </c>
      <c r="K29" s="208">
        <v>2043</v>
      </c>
      <c r="L29" s="207">
        <v>100</v>
      </c>
      <c r="M29" s="208" t="s">
        <v>1073</v>
      </c>
      <c r="N29" s="209" t="s">
        <v>1074</v>
      </c>
    </row>
    <row r="30" spans="1:14" ht="16.5" customHeight="1" x14ac:dyDescent="0.3">
      <c r="A30" s="304" t="s">
        <v>800</v>
      </c>
      <c r="B30" s="95" t="s">
        <v>107</v>
      </c>
      <c r="C30" s="204">
        <v>409</v>
      </c>
      <c r="D30" s="204">
        <v>12.1</v>
      </c>
      <c r="E30" s="204">
        <v>280</v>
      </c>
      <c r="F30" s="204">
        <v>7.5</v>
      </c>
      <c r="G30" s="204">
        <v>388</v>
      </c>
      <c r="H30" s="204">
        <v>8.9</v>
      </c>
      <c r="I30" s="204">
        <v>435</v>
      </c>
      <c r="J30" s="204">
        <v>9</v>
      </c>
      <c r="K30" s="205">
        <v>683</v>
      </c>
      <c r="L30" s="204">
        <v>14.8</v>
      </c>
      <c r="M30" s="205">
        <v>247</v>
      </c>
      <c r="N30" s="206">
        <v>56.8</v>
      </c>
    </row>
    <row r="31" spans="1:14" x14ac:dyDescent="0.3">
      <c r="A31" s="305"/>
      <c r="B31" s="95" t="s">
        <v>108</v>
      </c>
      <c r="C31" s="204">
        <v>2006</v>
      </c>
      <c r="D31" s="204">
        <v>59.4</v>
      </c>
      <c r="E31" s="204">
        <v>2461</v>
      </c>
      <c r="F31" s="204">
        <v>65.599999999999994</v>
      </c>
      <c r="G31" s="204">
        <v>2805</v>
      </c>
      <c r="H31" s="204">
        <v>64.2</v>
      </c>
      <c r="I31" s="204">
        <v>3166</v>
      </c>
      <c r="J31" s="204">
        <v>65.5</v>
      </c>
      <c r="K31" s="205">
        <v>2664</v>
      </c>
      <c r="L31" s="204">
        <v>57.8</v>
      </c>
      <c r="M31" s="205" t="s">
        <v>1075</v>
      </c>
      <c r="N31" s="206" t="s">
        <v>1076</v>
      </c>
    </row>
    <row r="32" spans="1:14" x14ac:dyDescent="0.3">
      <c r="A32" s="305"/>
      <c r="B32" s="95" t="s">
        <v>109</v>
      </c>
      <c r="C32" s="204">
        <v>964</v>
      </c>
      <c r="D32" s="204">
        <v>28.5</v>
      </c>
      <c r="E32" s="204">
        <v>1011</v>
      </c>
      <c r="F32" s="204">
        <v>27</v>
      </c>
      <c r="G32" s="204">
        <v>1180</v>
      </c>
      <c r="H32" s="204">
        <v>27</v>
      </c>
      <c r="I32" s="204">
        <v>1234</v>
      </c>
      <c r="J32" s="204">
        <v>25.5</v>
      </c>
      <c r="K32" s="205">
        <v>1261</v>
      </c>
      <c r="L32" s="204">
        <v>27.4</v>
      </c>
      <c r="M32" s="205">
        <v>27</v>
      </c>
      <c r="N32" s="206">
        <v>2.2000000000000002</v>
      </c>
    </row>
    <row r="33" spans="1:14" x14ac:dyDescent="0.3">
      <c r="A33" s="306"/>
      <c r="B33" s="97" t="s">
        <v>86</v>
      </c>
      <c r="C33" s="207">
        <v>3378</v>
      </c>
      <c r="D33" s="207">
        <v>100</v>
      </c>
      <c r="E33" s="207">
        <v>3751</v>
      </c>
      <c r="F33" s="207">
        <v>100</v>
      </c>
      <c r="G33" s="207">
        <v>4372</v>
      </c>
      <c r="H33" s="207">
        <v>100</v>
      </c>
      <c r="I33" s="207">
        <v>4835</v>
      </c>
      <c r="J33" s="207">
        <v>100</v>
      </c>
      <c r="K33" s="208">
        <v>4607</v>
      </c>
      <c r="L33" s="207">
        <v>100</v>
      </c>
      <c r="M33" s="208" t="s">
        <v>1077</v>
      </c>
      <c r="N33" s="209" t="s">
        <v>1064</v>
      </c>
    </row>
    <row r="34" spans="1:14" x14ac:dyDescent="0.3">
      <c r="A34" s="304" t="s">
        <v>50</v>
      </c>
      <c r="B34" s="95" t="s">
        <v>107</v>
      </c>
      <c r="C34" s="204">
        <v>153</v>
      </c>
      <c r="D34" s="204">
        <v>92.8</v>
      </c>
      <c r="E34" s="204">
        <v>187</v>
      </c>
      <c r="F34" s="204">
        <v>92.5</v>
      </c>
      <c r="G34" s="204">
        <v>8</v>
      </c>
      <c r="H34" s="204">
        <v>9.1999999999999993</v>
      </c>
      <c r="I34" s="204">
        <v>203</v>
      </c>
      <c r="J34" s="204">
        <v>58.6</v>
      </c>
      <c r="K34" s="205">
        <v>208</v>
      </c>
      <c r="L34" s="204">
        <v>55.1</v>
      </c>
      <c r="M34" s="205">
        <v>5</v>
      </c>
      <c r="N34" s="206">
        <v>2.5</v>
      </c>
    </row>
    <row r="35" spans="1:14" x14ac:dyDescent="0.3">
      <c r="A35" s="305"/>
      <c r="B35" s="95" t="s">
        <v>108</v>
      </c>
      <c r="C35" s="204">
        <v>12</v>
      </c>
      <c r="D35" s="204">
        <v>7.2</v>
      </c>
      <c r="E35" s="204">
        <v>12</v>
      </c>
      <c r="F35" s="204">
        <v>5.7</v>
      </c>
      <c r="G35" s="210" t="s">
        <v>372</v>
      </c>
      <c r="H35" s="210" t="s">
        <v>372</v>
      </c>
      <c r="I35" s="204">
        <v>21</v>
      </c>
      <c r="J35" s="204">
        <v>6</v>
      </c>
      <c r="K35" s="205">
        <v>21</v>
      </c>
      <c r="L35" s="204">
        <v>5.6</v>
      </c>
      <c r="M35" s="211">
        <v>0</v>
      </c>
      <c r="N35" s="210">
        <v>2</v>
      </c>
    </row>
    <row r="36" spans="1:14" x14ac:dyDescent="0.3">
      <c r="A36" s="305"/>
      <c r="B36" s="95" t="s">
        <v>109</v>
      </c>
      <c r="C36" s="210" t="s">
        <v>372</v>
      </c>
      <c r="D36" s="210" t="s">
        <v>372</v>
      </c>
      <c r="E36" s="204">
        <v>3</v>
      </c>
      <c r="F36" s="204">
        <v>1.7</v>
      </c>
      <c r="G36" s="204">
        <v>83</v>
      </c>
      <c r="H36" s="204">
        <v>90.8</v>
      </c>
      <c r="I36" s="204">
        <v>123</v>
      </c>
      <c r="J36" s="204">
        <v>35.4</v>
      </c>
      <c r="K36" s="205">
        <v>149</v>
      </c>
      <c r="L36" s="204">
        <v>39.299999999999997</v>
      </c>
      <c r="M36" s="205">
        <v>26</v>
      </c>
      <c r="N36" s="206">
        <v>21</v>
      </c>
    </row>
    <row r="37" spans="1:14" x14ac:dyDescent="0.3">
      <c r="A37" s="306"/>
      <c r="B37" s="97" t="s">
        <v>86</v>
      </c>
      <c r="C37" s="207">
        <v>165</v>
      </c>
      <c r="D37" s="207">
        <v>100</v>
      </c>
      <c r="E37" s="207">
        <v>202</v>
      </c>
      <c r="F37" s="207">
        <v>100</v>
      </c>
      <c r="G37" s="207">
        <v>91</v>
      </c>
      <c r="H37" s="207">
        <v>100</v>
      </c>
      <c r="I37" s="207">
        <v>347</v>
      </c>
      <c r="J37" s="207">
        <v>100</v>
      </c>
      <c r="K37" s="208">
        <v>378</v>
      </c>
      <c r="L37" s="207">
        <v>100</v>
      </c>
      <c r="M37" s="208">
        <v>31</v>
      </c>
      <c r="N37" s="209">
        <v>9.1</v>
      </c>
    </row>
    <row r="38" spans="1:14" ht="16.5" customHeight="1" x14ac:dyDescent="0.3">
      <c r="A38" s="304" t="s">
        <v>51</v>
      </c>
      <c r="B38" s="95" t="s">
        <v>107</v>
      </c>
      <c r="C38" s="204">
        <v>4</v>
      </c>
      <c r="D38" s="204">
        <v>1.2</v>
      </c>
      <c r="E38" s="204">
        <v>5</v>
      </c>
      <c r="F38" s="204">
        <v>1.7</v>
      </c>
      <c r="G38" s="204">
        <v>38</v>
      </c>
      <c r="H38" s="204">
        <v>13.4</v>
      </c>
      <c r="I38" s="204">
        <v>5</v>
      </c>
      <c r="J38" s="204">
        <v>0.4</v>
      </c>
      <c r="K38" s="205">
        <v>11</v>
      </c>
      <c r="L38" s="204">
        <v>2.2000000000000002</v>
      </c>
      <c r="M38" s="205">
        <v>6</v>
      </c>
      <c r="N38" s="206">
        <v>120</v>
      </c>
    </row>
    <row r="39" spans="1:14" x14ac:dyDescent="0.3">
      <c r="A39" s="305"/>
      <c r="B39" s="95" t="s">
        <v>108</v>
      </c>
      <c r="C39" s="204">
        <v>87</v>
      </c>
      <c r="D39" s="204">
        <v>28.9</v>
      </c>
      <c r="E39" s="204">
        <v>95</v>
      </c>
      <c r="F39" s="204">
        <v>31.8</v>
      </c>
      <c r="G39" s="204">
        <v>77</v>
      </c>
      <c r="H39" s="204">
        <v>27.3</v>
      </c>
      <c r="I39" s="204">
        <v>559</v>
      </c>
      <c r="J39" s="204">
        <v>45.9</v>
      </c>
      <c r="K39" s="205">
        <v>234</v>
      </c>
      <c r="L39" s="204">
        <v>47.9</v>
      </c>
      <c r="M39" s="205" t="s">
        <v>1078</v>
      </c>
      <c r="N39" s="206" t="s">
        <v>1070</v>
      </c>
    </row>
    <row r="40" spans="1:14" x14ac:dyDescent="0.3">
      <c r="A40" s="305"/>
      <c r="B40" s="95" t="s">
        <v>109</v>
      </c>
      <c r="C40" s="204">
        <v>211</v>
      </c>
      <c r="D40" s="204">
        <v>69.900000000000006</v>
      </c>
      <c r="E40" s="204">
        <v>199</v>
      </c>
      <c r="F40" s="204">
        <v>66.5</v>
      </c>
      <c r="G40" s="204">
        <v>167</v>
      </c>
      <c r="H40" s="204">
        <v>59.2</v>
      </c>
      <c r="I40" s="204">
        <v>655</v>
      </c>
      <c r="J40" s="204">
        <v>53.7</v>
      </c>
      <c r="K40" s="205">
        <v>244</v>
      </c>
      <c r="L40" s="204">
        <v>49.9</v>
      </c>
      <c r="M40" s="205" t="s">
        <v>1079</v>
      </c>
      <c r="N40" s="206" t="s">
        <v>1080</v>
      </c>
    </row>
    <row r="41" spans="1:14" x14ac:dyDescent="0.3">
      <c r="A41" s="306"/>
      <c r="B41" s="97" t="s">
        <v>86</v>
      </c>
      <c r="C41" s="207">
        <v>303</v>
      </c>
      <c r="D41" s="207">
        <v>100</v>
      </c>
      <c r="E41" s="207">
        <v>299</v>
      </c>
      <c r="F41" s="207">
        <v>100</v>
      </c>
      <c r="G41" s="207">
        <v>283</v>
      </c>
      <c r="H41" s="207">
        <v>100</v>
      </c>
      <c r="I41" s="207">
        <v>1219</v>
      </c>
      <c r="J41" s="207">
        <v>100</v>
      </c>
      <c r="K41" s="208">
        <v>489</v>
      </c>
      <c r="L41" s="207">
        <v>100</v>
      </c>
      <c r="M41" s="208" t="s">
        <v>1081</v>
      </c>
      <c r="N41" s="209" t="s">
        <v>1082</v>
      </c>
    </row>
    <row r="42" spans="1:14" ht="16.5" customHeight="1" x14ac:dyDescent="0.3">
      <c r="A42" s="304" t="s">
        <v>801</v>
      </c>
      <c r="B42" s="95" t="s">
        <v>107</v>
      </c>
      <c r="C42" s="204">
        <v>627</v>
      </c>
      <c r="D42" s="204">
        <v>2.5</v>
      </c>
      <c r="E42" s="204">
        <v>704</v>
      </c>
      <c r="F42" s="204">
        <v>2.2999999999999998</v>
      </c>
      <c r="G42" s="204">
        <v>997</v>
      </c>
      <c r="H42" s="204">
        <v>3.2</v>
      </c>
      <c r="I42" s="204">
        <v>1048</v>
      </c>
      <c r="J42" s="204">
        <v>3.4</v>
      </c>
      <c r="K42" s="205">
        <v>980</v>
      </c>
      <c r="L42" s="204">
        <v>2.8</v>
      </c>
      <c r="M42" s="205" t="s">
        <v>1083</v>
      </c>
      <c r="N42" s="206" t="s">
        <v>836</v>
      </c>
    </row>
    <row r="43" spans="1:14" x14ac:dyDescent="0.3">
      <c r="A43" s="305"/>
      <c r="B43" s="95" t="s">
        <v>108</v>
      </c>
      <c r="C43" s="204">
        <v>7590</v>
      </c>
      <c r="D43" s="204">
        <v>29.9</v>
      </c>
      <c r="E43" s="204">
        <v>7686</v>
      </c>
      <c r="F43" s="204">
        <v>25</v>
      </c>
      <c r="G43" s="204">
        <v>9302</v>
      </c>
      <c r="H43" s="204">
        <v>30.1</v>
      </c>
      <c r="I43" s="204">
        <v>13957</v>
      </c>
      <c r="J43" s="204">
        <v>44.7</v>
      </c>
      <c r="K43" s="205">
        <v>20549</v>
      </c>
      <c r="L43" s="204">
        <v>58.7</v>
      </c>
      <c r="M43" s="205">
        <v>6592</v>
      </c>
      <c r="N43" s="206">
        <v>47.2</v>
      </c>
    </row>
    <row r="44" spans="1:14" x14ac:dyDescent="0.3">
      <c r="A44" s="305"/>
      <c r="B44" s="95" t="s">
        <v>109</v>
      </c>
      <c r="C44" s="204">
        <v>17146</v>
      </c>
      <c r="D44" s="204">
        <v>67.599999999999994</v>
      </c>
      <c r="E44" s="204">
        <v>22296</v>
      </c>
      <c r="F44" s="204">
        <v>72.7</v>
      </c>
      <c r="G44" s="204">
        <v>20607</v>
      </c>
      <c r="H44" s="204">
        <v>66.7</v>
      </c>
      <c r="I44" s="204">
        <v>16244</v>
      </c>
      <c r="J44" s="204">
        <v>52</v>
      </c>
      <c r="K44" s="205">
        <v>13505</v>
      </c>
      <c r="L44" s="204">
        <v>38.5</v>
      </c>
      <c r="M44" s="205" t="s">
        <v>1101</v>
      </c>
      <c r="N44" s="206" t="s">
        <v>1084</v>
      </c>
    </row>
    <row r="45" spans="1:14" x14ac:dyDescent="0.3">
      <c r="A45" s="306"/>
      <c r="B45" s="97" t="s">
        <v>86</v>
      </c>
      <c r="C45" s="207">
        <v>25363</v>
      </c>
      <c r="D45" s="207">
        <v>100</v>
      </c>
      <c r="E45" s="207">
        <v>30686</v>
      </c>
      <c r="F45" s="207">
        <v>100</v>
      </c>
      <c r="G45" s="207">
        <v>30905</v>
      </c>
      <c r="H45" s="207">
        <v>100</v>
      </c>
      <c r="I45" s="207">
        <v>31248</v>
      </c>
      <c r="J45" s="207">
        <v>100</v>
      </c>
      <c r="K45" s="208">
        <v>35034</v>
      </c>
      <c r="L45" s="207">
        <v>100</v>
      </c>
      <c r="M45" s="208">
        <v>3786</v>
      </c>
      <c r="N45" s="207">
        <v>12.1</v>
      </c>
    </row>
    <row r="46" spans="1:14" x14ac:dyDescent="0.3">
      <c r="A46" s="304" t="s">
        <v>49</v>
      </c>
      <c r="B46" s="95" t="s">
        <v>107</v>
      </c>
      <c r="C46" s="204">
        <v>797</v>
      </c>
      <c r="D46" s="204">
        <v>27.9</v>
      </c>
      <c r="E46" s="204">
        <v>1145</v>
      </c>
      <c r="F46" s="204">
        <v>26.9</v>
      </c>
      <c r="G46" s="204">
        <v>1785</v>
      </c>
      <c r="H46" s="204">
        <v>22.4</v>
      </c>
      <c r="I46" s="204">
        <v>1678</v>
      </c>
      <c r="J46" s="204">
        <v>20.3</v>
      </c>
      <c r="K46" s="205">
        <v>1515</v>
      </c>
      <c r="L46" s="204">
        <v>17.600000000000001</v>
      </c>
      <c r="M46" s="205" t="s">
        <v>794</v>
      </c>
      <c r="N46" s="206" t="s">
        <v>1085</v>
      </c>
    </row>
    <row r="47" spans="1:14" x14ac:dyDescent="0.3">
      <c r="A47" s="305"/>
      <c r="B47" s="95" t="s">
        <v>108</v>
      </c>
      <c r="C47" s="204">
        <v>270</v>
      </c>
      <c r="D47" s="204">
        <v>9.4</v>
      </c>
      <c r="E47" s="204">
        <v>362</v>
      </c>
      <c r="F47" s="204">
        <v>8.5</v>
      </c>
      <c r="G47" s="204">
        <v>1073</v>
      </c>
      <c r="H47" s="204">
        <v>13.4</v>
      </c>
      <c r="I47" s="204">
        <v>1204</v>
      </c>
      <c r="J47" s="204">
        <v>14.6</v>
      </c>
      <c r="K47" s="205">
        <v>1277</v>
      </c>
      <c r="L47" s="204">
        <v>14.9</v>
      </c>
      <c r="M47" s="205">
        <v>73</v>
      </c>
      <c r="N47" s="206">
        <v>6.1</v>
      </c>
    </row>
    <row r="48" spans="1:14" x14ac:dyDescent="0.3">
      <c r="A48" s="305"/>
      <c r="B48" s="95" t="s">
        <v>109</v>
      </c>
      <c r="C48" s="204">
        <v>1795</v>
      </c>
      <c r="D48" s="204">
        <v>62.7</v>
      </c>
      <c r="E48" s="204">
        <v>2748</v>
      </c>
      <c r="F48" s="204">
        <v>64.599999999999994</v>
      </c>
      <c r="G48" s="204">
        <v>5118</v>
      </c>
      <c r="H48" s="204">
        <v>64.2</v>
      </c>
      <c r="I48" s="204">
        <v>5365</v>
      </c>
      <c r="J48" s="204">
        <v>65.099999999999994</v>
      </c>
      <c r="K48" s="205">
        <v>5797</v>
      </c>
      <c r="L48" s="204">
        <v>67.5</v>
      </c>
      <c r="M48" s="205">
        <v>433</v>
      </c>
      <c r="N48" s="206">
        <v>8.1</v>
      </c>
    </row>
    <row r="49" spans="1:14" x14ac:dyDescent="0.3">
      <c r="A49" s="306"/>
      <c r="B49" s="97" t="s">
        <v>86</v>
      </c>
      <c r="C49" s="207">
        <v>2862</v>
      </c>
      <c r="D49" s="207">
        <v>100</v>
      </c>
      <c r="E49" s="207">
        <v>4254</v>
      </c>
      <c r="F49" s="207">
        <v>100</v>
      </c>
      <c r="G49" s="207">
        <v>7976</v>
      </c>
      <c r="H49" s="207">
        <v>100</v>
      </c>
      <c r="I49" s="207">
        <v>8246</v>
      </c>
      <c r="J49" s="207">
        <v>100</v>
      </c>
      <c r="K49" s="208">
        <v>8589</v>
      </c>
      <c r="L49" s="207">
        <v>100</v>
      </c>
      <c r="M49" s="208">
        <v>342</v>
      </c>
      <c r="N49" s="207">
        <v>4.2</v>
      </c>
    </row>
    <row r="50" spans="1:14" ht="16.5" customHeight="1" x14ac:dyDescent="0.3">
      <c r="A50" s="304" t="s">
        <v>802</v>
      </c>
      <c r="B50" s="95" t="s">
        <v>107</v>
      </c>
      <c r="C50" s="204">
        <v>927</v>
      </c>
      <c r="D50" s="204">
        <v>24.9</v>
      </c>
      <c r="E50" s="204">
        <v>862</v>
      </c>
      <c r="F50" s="204">
        <v>19</v>
      </c>
      <c r="G50" s="204">
        <v>563</v>
      </c>
      <c r="H50" s="204">
        <v>13.4</v>
      </c>
      <c r="I50" s="204">
        <v>541</v>
      </c>
      <c r="J50" s="204">
        <v>14.4</v>
      </c>
      <c r="K50" s="205">
        <v>208</v>
      </c>
      <c r="L50" s="204">
        <v>6</v>
      </c>
      <c r="M50" s="205" t="s">
        <v>1086</v>
      </c>
      <c r="N50" s="206" t="s">
        <v>1087</v>
      </c>
    </row>
    <row r="51" spans="1:14" x14ac:dyDescent="0.3">
      <c r="A51" s="305"/>
      <c r="B51" s="95" t="s">
        <v>108</v>
      </c>
      <c r="C51" s="204">
        <v>1013</v>
      </c>
      <c r="D51" s="204">
        <v>27.2</v>
      </c>
      <c r="E51" s="204">
        <v>1103</v>
      </c>
      <c r="F51" s="204">
        <v>24.3</v>
      </c>
      <c r="G51" s="204">
        <v>1161</v>
      </c>
      <c r="H51" s="204">
        <v>27.6</v>
      </c>
      <c r="I51" s="204">
        <v>1133</v>
      </c>
      <c r="J51" s="204">
        <v>30.2</v>
      </c>
      <c r="K51" s="205">
        <v>927</v>
      </c>
      <c r="L51" s="204">
        <v>26.8</v>
      </c>
      <c r="M51" s="205" t="s">
        <v>1088</v>
      </c>
      <c r="N51" s="206" t="s">
        <v>1089</v>
      </c>
    </row>
    <row r="52" spans="1:14" x14ac:dyDescent="0.3">
      <c r="A52" s="305"/>
      <c r="B52" s="95" t="s">
        <v>109</v>
      </c>
      <c r="C52" s="204">
        <v>1778</v>
      </c>
      <c r="D52" s="204">
        <v>47.8</v>
      </c>
      <c r="E52" s="204">
        <v>2576</v>
      </c>
      <c r="F52" s="204">
        <v>56.7</v>
      </c>
      <c r="G52" s="204">
        <v>2483</v>
      </c>
      <c r="H52" s="204">
        <v>59</v>
      </c>
      <c r="I52" s="204">
        <v>2082</v>
      </c>
      <c r="J52" s="204">
        <v>55.4</v>
      </c>
      <c r="K52" s="205">
        <v>2318</v>
      </c>
      <c r="L52" s="204">
        <v>67.099999999999994</v>
      </c>
      <c r="M52" s="205">
        <v>236</v>
      </c>
      <c r="N52" s="206">
        <v>11.3</v>
      </c>
    </row>
    <row r="53" spans="1:14" x14ac:dyDescent="0.3">
      <c r="A53" s="306"/>
      <c r="B53" s="97" t="s">
        <v>86</v>
      </c>
      <c r="C53" s="207">
        <v>3718</v>
      </c>
      <c r="D53" s="207">
        <v>100</v>
      </c>
      <c r="E53" s="207">
        <v>4540</v>
      </c>
      <c r="F53" s="207">
        <v>100</v>
      </c>
      <c r="G53" s="207">
        <v>4207</v>
      </c>
      <c r="H53" s="207">
        <v>100</v>
      </c>
      <c r="I53" s="207">
        <v>3756</v>
      </c>
      <c r="J53" s="207">
        <v>100</v>
      </c>
      <c r="K53" s="208">
        <v>3454</v>
      </c>
      <c r="L53" s="207">
        <v>100</v>
      </c>
      <c r="M53" s="208" t="s">
        <v>1090</v>
      </c>
      <c r="N53" s="209" t="s">
        <v>1091</v>
      </c>
    </row>
    <row r="54" spans="1:14" x14ac:dyDescent="0.3">
      <c r="A54" s="304" t="s">
        <v>56</v>
      </c>
      <c r="B54" s="95" t="s">
        <v>107</v>
      </c>
      <c r="C54" s="204">
        <v>363</v>
      </c>
      <c r="D54" s="204">
        <v>42.7</v>
      </c>
      <c r="E54" s="204">
        <v>388</v>
      </c>
      <c r="F54" s="204">
        <v>42.7</v>
      </c>
      <c r="G54" s="204">
        <v>494</v>
      </c>
      <c r="H54" s="204">
        <v>44.8</v>
      </c>
      <c r="I54" s="204">
        <v>578</v>
      </c>
      <c r="J54" s="204">
        <v>47.2</v>
      </c>
      <c r="K54" s="205">
        <v>550</v>
      </c>
      <c r="L54" s="204">
        <v>42.6</v>
      </c>
      <c r="M54" s="205" t="s">
        <v>1092</v>
      </c>
      <c r="N54" s="206" t="s">
        <v>441</v>
      </c>
    </row>
    <row r="55" spans="1:14" x14ac:dyDescent="0.3">
      <c r="A55" s="305"/>
      <c r="B55" s="95" t="s">
        <v>108</v>
      </c>
      <c r="C55" s="204">
        <v>351</v>
      </c>
      <c r="D55" s="204">
        <v>41.3</v>
      </c>
      <c r="E55" s="204">
        <v>323</v>
      </c>
      <c r="F55" s="204">
        <v>35.6</v>
      </c>
      <c r="G55" s="204">
        <v>355</v>
      </c>
      <c r="H55" s="204">
        <v>32.200000000000003</v>
      </c>
      <c r="I55" s="204">
        <v>400</v>
      </c>
      <c r="J55" s="204">
        <v>32.700000000000003</v>
      </c>
      <c r="K55" s="205">
        <v>450</v>
      </c>
      <c r="L55" s="204">
        <v>34.799999999999997</v>
      </c>
      <c r="M55" s="205">
        <v>50</v>
      </c>
      <c r="N55" s="206">
        <v>12.5</v>
      </c>
    </row>
    <row r="56" spans="1:14" x14ac:dyDescent="0.3">
      <c r="A56" s="305"/>
      <c r="B56" s="95" t="s">
        <v>109</v>
      </c>
      <c r="C56" s="204">
        <v>136</v>
      </c>
      <c r="D56" s="204">
        <v>16</v>
      </c>
      <c r="E56" s="204">
        <v>197</v>
      </c>
      <c r="F56" s="204">
        <v>21.7</v>
      </c>
      <c r="G56" s="204">
        <v>254</v>
      </c>
      <c r="H56" s="204">
        <v>23.1</v>
      </c>
      <c r="I56" s="204">
        <v>247</v>
      </c>
      <c r="J56" s="204">
        <v>20.2</v>
      </c>
      <c r="K56" s="205">
        <v>292</v>
      </c>
      <c r="L56" s="204">
        <v>22.6</v>
      </c>
      <c r="M56" s="205">
        <v>45</v>
      </c>
      <c r="N56" s="206">
        <v>18.399999999999999</v>
      </c>
    </row>
    <row r="57" spans="1:14" x14ac:dyDescent="0.3">
      <c r="A57" s="306"/>
      <c r="B57" s="97" t="s">
        <v>86</v>
      </c>
      <c r="C57" s="207">
        <v>850</v>
      </c>
      <c r="D57" s="207">
        <v>100</v>
      </c>
      <c r="E57" s="207">
        <v>909</v>
      </c>
      <c r="F57" s="207">
        <v>100</v>
      </c>
      <c r="G57" s="207">
        <v>1104</v>
      </c>
      <c r="H57" s="207">
        <v>100</v>
      </c>
      <c r="I57" s="207">
        <v>1225</v>
      </c>
      <c r="J57" s="207">
        <v>100</v>
      </c>
      <c r="K57" s="208">
        <v>1292</v>
      </c>
      <c r="L57" s="207">
        <v>100</v>
      </c>
      <c r="M57" s="208">
        <v>68</v>
      </c>
      <c r="N57" s="209">
        <v>5.5</v>
      </c>
    </row>
    <row r="58" spans="1:14" ht="16.5" customHeight="1" x14ac:dyDescent="0.3">
      <c r="A58" s="304" t="s">
        <v>57</v>
      </c>
      <c r="B58" s="95" t="s">
        <v>107</v>
      </c>
      <c r="C58" s="204">
        <v>2916</v>
      </c>
      <c r="D58" s="204">
        <v>12.3</v>
      </c>
      <c r="E58" s="204">
        <v>3571</v>
      </c>
      <c r="F58" s="204">
        <v>12.2</v>
      </c>
      <c r="G58" s="204">
        <v>2614</v>
      </c>
      <c r="H58" s="204">
        <v>7.4</v>
      </c>
      <c r="I58" s="204">
        <v>2549</v>
      </c>
      <c r="J58" s="204">
        <v>6.7</v>
      </c>
      <c r="K58" s="205">
        <v>2424</v>
      </c>
      <c r="L58" s="204">
        <v>5.8</v>
      </c>
      <c r="M58" s="205" t="s">
        <v>818</v>
      </c>
      <c r="N58" s="206" t="s">
        <v>1093</v>
      </c>
    </row>
    <row r="59" spans="1:14" x14ac:dyDescent="0.3">
      <c r="A59" s="305"/>
      <c r="B59" s="95" t="s">
        <v>108</v>
      </c>
      <c r="C59" s="204">
        <v>6425</v>
      </c>
      <c r="D59" s="204">
        <v>27.1</v>
      </c>
      <c r="E59" s="204">
        <v>11671</v>
      </c>
      <c r="F59" s="204">
        <v>39.799999999999997</v>
      </c>
      <c r="G59" s="204">
        <v>10616</v>
      </c>
      <c r="H59" s="204">
        <v>30.1</v>
      </c>
      <c r="I59" s="204">
        <v>9595</v>
      </c>
      <c r="J59" s="204">
        <v>25.3</v>
      </c>
      <c r="K59" s="205">
        <v>8148</v>
      </c>
      <c r="L59" s="204">
        <v>19.7</v>
      </c>
      <c r="M59" s="205" t="s">
        <v>1102</v>
      </c>
      <c r="N59" s="206" t="s">
        <v>1094</v>
      </c>
    </row>
    <row r="60" spans="1:14" x14ac:dyDescent="0.3">
      <c r="A60" s="305"/>
      <c r="B60" s="95" t="s">
        <v>109</v>
      </c>
      <c r="C60" s="204">
        <v>14334</v>
      </c>
      <c r="D60" s="204">
        <v>60.5</v>
      </c>
      <c r="E60" s="204">
        <v>14046</v>
      </c>
      <c r="F60" s="204">
        <v>48</v>
      </c>
      <c r="G60" s="204">
        <v>22019</v>
      </c>
      <c r="H60" s="204">
        <v>62.5</v>
      </c>
      <c r="I60" s="204">
        <v>25749</v>
      </c>
      <c r="J60" s="204">
        <v>68</v>
      </c>
      <c r="K60" s="205">
        <v>30885</v>
      </c>
      <c r="L60" s="204">
        <v>74.5</v>
      </c>
      <c r="M60" s="205">
        <v>5135</v>
      </c>
      <c r="N60" s="206">
        <v>19.899999999999999</v>
      </c>
    </row>
    <row r="61" spans="1:14" x14ac:dyDescent="0.3">
      <c r="A61" s="306"/>
      <c r="B61" s="97" t="s">
        <v>86</v>
      </c>
      <c r="C61" s="207">
        <v>23675</v>
      </c>
      <c r="D61" s="207">
        <v>100</v>
      </c>
      <c r="E61" s="207">
        <v>29287</v>
      </c>
      <c r="F61" s="207">
        <v>100</v>
      </c>
      <c r="G61" s="207">
        <v>35249</v>
      </c>
      <c r="H61" s="207">
        <v>100</v>
      </c>
      <c r="I61" s="207">
        <v>37893</v>
      </c>
      <c r="J61" s="207">
        <v>100</v>
      </c>
      <c r="K61" s="208">
        <v>41457</v>
      </c>
      <c r="L61" s="207">
        <v>100</v>
      </c>
      <c r="M61" s="208">
        <v>3563</v>
      </c>
      <c r="N61" s="209">
        <v>9.4</v>
      </c>
    </row>
    <row r="62" spans="1:14" ht="16.5" customHeight="1" x14ac:dyDescent="0.3">
      <c r="A62" s="304" t="s">
        <v>806</v>
      </c>
      <c r="B62" s="95" t="s">
        <v>107</v>
      </c>
      <c r="C62" s="204">
        <v>247</v>
      </c>
      <c r="D62" s="204">
        <v>46.7</v>
      </c>
      <c r="E62" s="204">
        <v>334</v>
      </c>
      <c r="F62" s="204">
        <v>52.5</v>
      </c>
      <c r="G62" s="204">
        <v>374</v>
      </c>
      <c r="H62" s="204">
        <v>51.7</v>
      </c>
      <c r="I62" s="204">
        <v>395</v>
      </c>
      <c r="J62" s="204">
        <v>51.7</v>
      </c>
      <c r="K62" s="261">
        <v>531</v>
      </c>
      <c r="L62" s="250">
        <v>56.6</v>
      </c>
      <c r="M62" s="261">
        <v>136</v>
      </c>
      <c r="N62" s="262">
        <v>34.4</v>
      </c>
    </row>
    <row r="63" spans="1:14" x14ac:dyDescent="0.3">
      <c r="A63" s="305"/>
      <c r="B63" s="95" t="s">
        <v>108</v>
      </c>
      <c r="C63" s="204">
        <v>160</v>
      </c>
      <c r="D63" s="204">
        <v>30.4</v>
      </c>
      <c r="E63" s="204">
        <v>171</v>
      </c>
      <c r="F63" s="204">
        <v>26.9</v>
      </c>
      <c r="G63" s="204">
        <v>214</v>
      </c>
      <c r="H63" s="204">
        <v>29.6</v>
      </c>
      <c r="I63" s="204">
        <v>248</v>
      </c>
      <c r="J63" s="204">
        <v>32.4</v>
      </c>
      <c r="K63" s="261">
        <v>239</v>
      </c>
      <c r="L63" s="250">
        <v>25.5</v>
      </c>
      <c r="M63" s="261" t="s">
        <v>814</v>
      </c>
      <c r="N63" s="262" t="s">
        <v>1095</v>
      </c>
    </row>
    <row r="64" spans="1:14" x14ac:dyDescent="0.3">
      <c r="A64" s="305"/>
      <c r="B64" s="95" t="s">
        <v>109</v>
      </c>
      <c r="C64" s="204">
        <v>121</v>
      </c>
      <c r="D64" s="204">
        <v>22.9</v>
      </c>
      <c r="E64" s="204">
        <v>131</v>
      </c>
      <c r="F64" s="204">
        <v>20.6</v>
      </c>
      <c r="G64" s="204">
        <v>135</v>
      </c>
      <c r="H64" s="204">
        <v>18.7</v>
      </c>
      <c r="I64" s="204">
        <v>121</v>
      </c>
      <c r="J64" s="204">
        <v>15.8</v>
      </c>
      <c r="K64" s="261">
        <v>168</v>
      </c>
      <c r="L64" s="250">
        <v>17.899999999999999</v>
      </c>
      <c r="M64" s="261">
        <v>47</v>
      </c>
      <c r="N64" s="262">
        <v>39.200000000000003</v>
      </c>
    </row>
    <row r="65" spans="1:14" x14ac:dyDescent="0.3">
      <c r="A65" s="306"/>
      <c r="B65" s="97" t="s">
        <v>86</v>
      </c>
      <c r="C65" s="207">
        <v>529</v>
      </c>
      <c r="D65" s="207">
        <v>100</v>
      </c>
      <c r="E65" s="207">
        <v>636</v>
      </c>
      <c r="F65" s="207">
        <v>100</v>
      </c>
      <c r="G65" s="207">
        <v>723</v>
      </c>
      <c r="H65" s="207">
        <v>100</v>
      </c>
      <c r="I65" s="207">
        <v>763</v>
      </c>
      <c r="J65" s="207">
        <v>100</v>
      </c>
      <c r="K65" s="263">
        <v>937</v>
      </c>
      <c r="L65" s="251">
        <v>100</v>
      </c>
      <c r="M65" s="263">
        <v>174</v>
      </c>
      <c r="N65" s="264">
        <v>22.8</v>
      </c>
    </row>
    <row r="66" spans="1:14" ht="16.5" customHeight="1" x14ac:dyDescent="0.3">
      <c r="A66" s="304" t="s">
        <v>808</v>
      </c>
      <c r="B66" s="95" t="s">
        <v>107</v>
      </c>
      <c r="C66" s="204">
        <v>146</v>
      </c>
      <c r="D66" s="204">
        <v>29.6</v>
      </c>
      <c r="E66" s="204">
        <v>122</v>
      </c>
      <c r="F66" s="204">
        <v>22.6</v>
      </c>
      <c r="G66" s="204">
        <v>124</v>
      </c>
      <c r="H66" s="204">
        <v>14.3</v>
      </c>
      <c r="I66" s="204">
        <v>112</v>
      </c>
      <c r="J66" s="204">
        <v>14.1</v>
      </c>
      <c r="K66" s="261">
        <v>101</v>
      </c>
      <c r="L66" s="250">
        <v>14</v>
      </c>
      <c r="M66" s="261" t="s">
        <v>795</v>
      </c>
      <c r="N66" s="262" t="s">
        <v>1085</v>
      </c>
    </row>
    <row r="67" spans="1:14" x14ac:dyDescent="0.3">
      <c r="A67" s="305"/>
      <c r="B67" s="95" t="s">
        <v>108</v>
      </c>
      <c r="C67" s="204">
        <v>236</v>
      </c>
      <c r="D67" s="204">
        <v>47.9</v>
      </c>
      <c r="E67" s="204">
        <v>274</v>
      </c>
      <c r="F67" s="204">
        <v>50.8</v>
      </c>
      <c r="G67" s="204">
        <v>356</v>
      </c>
      <c r="H67" s="204">
        <v>41</v>
      </c>
      <c r="I67" s="204">
        <v>302</v>
      </c>
      <c r="J67" s="204">
        <v>37.799999999999997</v>
      </c>
      <c r="K67" s="261">
        <v>306</v>
      </c>
      <c r="L67" s="250">
        <v>42.2</v>
      </c>
      <c r="M67" s="261">
        <v>4</v>
      </c>
      <c r="N67" s="262">
        <v>1.3</v>
      </c>
    </row>
    <row r="68" spans="1:14" x14ac:dyDescent="0.3">
      <c r="A68" s="305"/>
      <c r="B68" s="95" t="s">
        <v>109</v>
      </c>
      <c r="C68" s="204">
        <v>111</v>
      </c>
      <c r="D68" s="204">
        <v>22.5</v>
      </c>
      <c r="E68" s="204">
        <v>144</v>
      </c>
      <c r="F68" s="204">
        <v>26.6</v>
      </c>
      <c r="G68" s="204">
        <v>388</v>
      </c>
      <c r="H68" s="204">
        <v>44.7</v>
      </c>
      <c r="I68" s="204">
        <v>384</v>
      </c>
      <c r="J68" s="204">
        <v>48.1</v>
      </c>
      <c r="K68" s="261">
        <v>318</v>
      </c>
      <c r="L68" s="250">
        <v>43.8</v>
      </c>
      <c r="M68" s="261" t="s">
        <v>1096</v>
      </c>
      <c r="N68" s="262" t="s">
        <v>1097</v>
      </c>
    </row>
    <row r="69" spans="1:14" x14ac:dyDescent="0.3">
      <c r="A69" s="306"/>
      <c r="B69" s="97" t="s">
        <v>86</v>
      </c>
      <c r="C69" s="207">
        <v>494</v>
      </c>
      <c r="D69" s="207">
        <v>100</v>
      </c>
      <c r="E69" s="207">
        <v>540</v>
      </c>
      <c r="F69" s="207">
        <v>100</v>
      </c>
      <c r="G69" s="207">
        <v>867</v>
      </c>
      <c r="H69" s="207">
        <v>100</v>
      </c>
      <c r="I69" s="207">
        <v>799</v>
      </c>
      <c r="J69" s="207">
        <v>100</v>
      </c>
      <c r="K69" s="263">
        <v>725</v>
      </c>
      <c r="L69" s="251">
        <v>100</v>
      </c>
      <c r="M69" s="263" t="s">
        <v>483</v>
      </c>
      <c r="N69" s="264" t="s">
        <v>809</v>
      </c>
    </row>
    <row r="70" spans="1:14" ht="16.5" customHeight="1" x14ac:dyDescent="0.3">
      <c r="A70" s="304" t="s">
        <v>63</v>
      </c>
      <c r="B70" s="95" t="s">
        <v>107</v>
      </c>
      <c r="C70" s="210" t="s">
        <v>372</v>
      </c>
      <c r="D70" s="210" t="s">
        <v>372</v>
      </c>
      <c r="E70" s="210" t="s">
        <v>372</v>
      </c>
      <c r="F70" s="210" t="s">
        <v>372</v>
      </c>
      <c r="G70" s="210" t="s">
        <v>372</v>
      </c>
      <c r="H70" s="210" t="s">
        <v>372</v>
      </c>
      <c r="I70" s="210" t="s">
        <v>372</v>
      </c>
      <c r="J70" s="249">
        <v>0</v>
      </c>
      <c r="K70" s="265">
        <v>0</v>
      </c>
      <c r="L70" s="249">
        <v>0</v>
      </c>
      <c r="M70" s="265">
        <v>0</v>
      </c>
      <c r="N70" s="249" t="s">
        <v>65</v>
      </c>
    </row>
    <row r="71" spans="1:14" x14ac:dyDescent="0.3">
      <c r="A71" s="305"/>
      <c r="B71" s="95" t="s">
        <v>108</v>
      </c>
      <c r="C71" s="204">
        <v>289</v>
      </c>
      <c r="D71" s="204">
        <v>3.1</v>
      </c>
      <c r="E71" s="204">
        <v>344</v>
      </c>
      <c r="F71" s="204">
        <v>2.6</v>
      </c>
      <c r="G71" s="204">
        <v>372</v>
      </c>
      <c r="H71" s="204">
        <v>2.2999999999999998</v>
      </c>
      <c r="I71" s="204">
        <v>208</v>
      </c>
      <c r="J71" s="250">
        <v>1.3</v>
      </c>
      <c r="K71" s="261">
        <v>1471</v>
      </c>
      <c r="L71" s="250">
        <v>8.9</v>
      </c>
      <c r="M71" s="261">
        <v>1263</v>
      </c>
      <c r="N71" s="262">
        <v>605.79999999999995</v>
      </c>
    </row>
    <row r="72" spans="1:14" x14ac:dyDescent="0.3">
      <c r="A72" s="305"/>
      <c r="B72" s="95" t="s">
        <v>109</v>
      </c>
      <c r="C72" s="204">
        <v>9163</v>
      </c>
      <c r="D72" s="204">
        <v>96.9</v>
      </c>
      <c r="E72" s="204">
        <v>12866</v>
      </c>
      <c r="F72" s="204">
        <v>97.4</v>
      </c>
      <c r="G72" s="204">
        <v>15602</v>
      </c>
      <c r="H72" s="204">
        <v>97.7</v>
      </c>
      <c r="I72" s="204">
        <v>15679</v>
      </c>
      <c r="J72" s="250">
        <v>98.7</v>
      </c>
      <c r="K72" s="261">
        <v>15053</v>
      </c>
      <c r="L72" s="250">
        <v>91.1</v>
      </c>
      <c r="M72" s="261" t="s">
        <v>1318</v>
      </c>
      <c r="N72" s="262" t="s">
        <v>1319</v>
      </c>
    </row>
    <row r="73" spans="1:14" x14ac:dyDescent="0.3">
      <c r="A73" s="306"/>
      <c r="B73" s="97" t="s">
        <v>86</v>
      </c>
      <c r="C73" s="207">
        <v>9452</v>
      </c>
      <c r="D73" s="207">
        <v>100</v>
      </c>
      <c r="E73" s="207">
        <v>13210</v>
      </c>
      <c r="F73" s="207">
        <v>100</v>
      </c>
      <c r="G73" s="207">
        <v>15974</v>
      </c>
      <c r="H73" s="207">
        <v>100</v>
      </c>
      <c r="I73" s="207">
        <v>15888</v>
      </c>
      <c r="J73" s="251">
        <v>100</v>
      </c>
      <c r="K73" s="263">
        <v>16524</v>
      </c>
      <c r="L73" s="251">
        <v>100</v>
      </c>
      <c r="M73" s="263">
        <v>637</v>
      </c>
      <c r="N73" s="264">
        <v>4</v>
      </c>
    </row>
    <row r="74" spans="1:14" ht="16.5" customHeight="1" x14ac:dyDescent="0.3">
      <c r="A74" s="304" t="s">
        <v>813</v>
      </c>
      <c r="B74" s="95" t="s">
        <v>107</v>
      </c>
      <c r="C74" s="204">
        <v>1966</v>
      </c>
      <c r="D74" s="204">
        <v>46.5</v>
      </c>
      <c r="E74" s="204">
        <v>2016</v>
      </c>
      <c r="F74" s="204">
        <v>42.4</v>
      </c>
      <c r="G74" s="204">
        <v>1736</v>
      </c>
      <c r="H74" s="204">
        <v>31.8</v>
      </c>
      <c r="I74" s="204">
        <v>1868</v>
      </c>
      <c r="J74" s="204">
        <v>31.2</v>
      </c>
      <c r="K74" s="261">
        <v>1748</v>
      </c>
      <c r="L74" s="250">
        <v>24.9</v>
      </c>
      <c r="M74" s="261" t="s">
        <v>1098</v>
      </c>
      <c r="N74" s="262" t="s">
        <v>836</v>
      </c>
    </row>
    <row r="75" spans="1:14" x14ac:dyDescent="0.3">
      <c r="A75" s="305"/>
      <c r="B75" s="95" t="s">
        <v>108</v>
      </c>
      <c r="C75" s="204">
        <v>676</v>
      </c>
      <c r="D75" s="204">
        <v>16</v>
      </c>
      <c r="E75" s="204">
        <v>889</v>
      </c>
      <c r="F75" s="204">
        <v>18.7</v>
      </c>
      <c r="G75" s="204">
        <v>1410</v>
      </c>
      <c r="H75" s="204">
        <v>25.8</v>
      </c>
      <c r="I75" s="204">
        <v>1237</v>
      </c>
      <c r="J75" s="204">
        <v>20.7</v>
      </c>
      <c r="K75" s="261">
        <v>1621</v>
      </c>
      <c r="L75" s="250">
        <v>23.1</v>
      </c>
      <c r="M75" s="261">
        <v>384</v>
      </c>
      <c r="N75" s="262">
        <v>31.1</v>
      </c>
    </row>
    <row r="76" spans="1:14" x14ac:dyDescent="0.3">
      <c r="A76" s="305"/>
      <c r="B76" s="95" t="s">
        <v>109</v>
      </c>
      <c r="C76" s="204">
        <v>1587</v>
      </c>
      <c r="D76" s="204">
        <v>37.5</v>
      </c>
      <c r="E76" s="204">
        <v>1852</v>
      </c>
      <c r="F76" s="204">
        <v>38.9</v>
      </c>
      <c r="G76" s="204">
        <v>2321</v>
      </c>
      <c r="H76" s="204">
        <v>42.5</v>
      </c>
      <c r="I76" s="204">
        <v>2880</v>
      </c>
      <c r="J76" s="204">
        <v>48.1</v>
      </c>
      <c r="K76" s="261">
        <v>3661</v>
      </c>
      <c r="L76" s="250">
        <v>52.1</v>
      </c>
      <c r="M76" s="261">
        <v>781</v>
      </c>
      <c r="N76" s="262">
        <v>27.1</v>
      </c>
    </row>
    <row r="77" spans="1:14" x14ac:dyDescent="0.3">
      <c r="A77" s="306"/>
      <c r="B77" s="97" t="s">
        <v>86</v>
      </c>
      <c r="C77" s="207">
        <v>4229</v>
      </c>
      <c r="D77" s="207">
        <v>100</v>
      </c>
      <c r="E77" s="207">
        <v>4757</v>
      </c>
      <c r="F77" s="207">
        <v>100</v>
      </c>
      <c r="G77" s="207">
        <v>5467</v>
      </c>
      <c r="H77" s="207">
        <v>100</v>
      </c>
      <c r="I77" s="207">
        <v>5985</v>
      </c>
      <c r="J77" s="207">
        <v>100</v>
      </c>
      <c r="K77" s="263">
        <v>7030</v>
      </c>
      <c r="L77" s="251">
        <v>100</v>
      </c>
      <c r="M77" s="263">
        <v>1045</v>
      </c>
      <c r="N77" s="264">
        <v>17.5</v>
      </c>
    </row>
    <row r="78" spans="1:14" x14ac:dyDescent="0.3">
      <c r="A78" s="304" t="s">
        <v>71</v>
      </c>
      <c r="B78" s="95" t="s">
        <v>107</v>
      </c>
      <c r="C78" s="204">
        <v>631</v>
      </c>
      <c r="D78" s="204">
        <v>24.8</v>
      </c>
      <c r="E78" s="204">
        <v>506</v>
      </c>
      <c r="F78" s="204">
        <v>17.600000000000001</v>
      </c>
      <c r="G78" s="204">
        <v>497</v>
      </c>
      <c r="H78" s="204">
        <v>15.3</v>
      </c>
      <c r="I78" s="204">
        <v>488</v>
      </c>
      <c r="J78" s="204">
        <v>13.6</v>
      </c>
      <c r="K78" s="261">
        <v>668</v>
      </c>
      <c r="L78" s="250">
        <v>18.8</v>
      </c>
      <c r="M78" s="261">
        <v>180</v>
      </c>
      <c r="N78" s="262">
        <v>36.9</v>
      </c>
    </row>
    <row r="79" spans="1:14" x14ac:dyDescent="0.3">
      <c r="A79" s="305"/>
      <c r="B79" s="95" t="s">
        <v>108</v>
      </c>
      <c r="C79" s="204">
        <v>705</v>
      </c>
      <c r="D79" s="204">
        <v>27.7</v>
      </c>
      <c r="E79" s="204">
        <v>1009</v>
      </c>
      <c r="F79" s="204">
        <v>35.1</v>
      </c>
      <c r="G79" s="204">
        <v>1242</v>
      </c>
      <c r="H79" s="204">
        <v>38.200000000000003</v>
      </c>
      <c r="I79" s="204">
        <v>1479</v>
      </c>
      <c r="J79" s="204">
        <v>41.1</v>
      </c>
      <c r="K79" s="261">
        <v>1280</v>
      </c>
      <c r="L79" s="250">
        <v>36</v>
      </c>
      <c r="M79" s="261" t="s">
        <v>1099</v>
      </c>
      <c r="N79" s="262" t="s">
        <v>839</v>
      </c>
    </row>
    <row r="80" spans="1:14" x14ac:dyDescent="0.3">
      <c r="A80" s="305"/>
      <c r="B80" s="95" t="s">
        <v>109</v>
      </c>
      <c r="C80" s="204">
        <v>1211</v>
      </c>
      <c r="D80" s="204">
        <v>47.6</v>
      </c>
      <c r="E80" s="204">
        <v>1355</v>
      </c>
      <c r="F80" s="204">
        <v>47.2</v>
      </c>
      <c r="G80" s="204">
        <v>1509</v>
      </c>
      <c r="H80" s="204">
        <v>46.5</v>
      </c>
      <c r="I80" s="204">
        <v>1628</v>
      </c>
      <c r="J80" s="204">
        <v>45.3</v>
      </c>
      <c r="K80" s="261">
        <v>1611</v>
      </c>
      <c r="L80" s="250">
        <v>45.3</v>
      </c>
      <c r="M80" s="261" t="s">
        <v>1100</v>
      </c>
      <c r="N80" s="262" t="s">
        <v>439</v>
      </c>
    </row>
    <row r="81" spans="1:14" x14ac:dyDescent="0.3">
      <c r="A81" s="306"/>
      <c r="B81" s="97" t="s">
        <v>86</v>
      </c>
      <c r="C81" s="207">
        <v>2546</v>
      </c>
      <c r="D81" s="207">
        <v>100</v>
      </c>
      <c r="E81" s="207">
        <v>2871</v>
      </c>
      <c r="F81" s="207">
        <v>100</v>
      </c>
      <c r="G81" s="207">
        <v>3248</v>
      </c>
      <c r="H81" s="207">
        <v>100</v>
      </c>
      <c r="I81" s="207">
        <v>3595</v>
      </c>
      <c r="J81" s="207">
        <v>100</v>
      </c>
      <c r="K81" s="263">
        <v>3560</v>
      </c>
      <c r="L81" s="251">
        <v>100</v>
      </c>
      <c r="M81" s="263" t="s">
        <v>479</v>
      </c>
      <c r="N81" s="264" t="s">
        <v>439</v>
      </c>
    </row>
    <row r="82" spans="1:14" x14ac:dyDescent="0.3">
      <c r="A82" s="304" t="s">
        <v>253</v>
      </c>
      <c r="B82" s="95" t="s">
        <v>107</v>
      </c>
      <c r="C82" s="204">
        <v>188</v>
      </c>
      <c r="D82" s="204">
        <v>19</v>
      </c>
      <c r="E82" s="204">
        <v>211</v>
      </c>
      <c r="F82" s="204">
        <v>18.899999999999999</v>
      </c>
      <c r="G82" s="204">
        <v>466</v>
      </c>
      <c r="H82" s="204">
        <v>22.2</v>
      </c>
      <c r="I82" s="204">
        <v>1186</v>
      </c>
      <c r="J82" s="204">
        <v>21.3</v>
      </c>
      <c r="K82" s="261">
        <v>923</v>
      </c>
      <c r="L82" s="250">
        <v>27.6</v>
      </c>
      <c r="M82" s="261" t="s">
        <v>1320</v>
      </c>
      <c r="N82" s="262" t="s">
        <v>1321</v>
      </c>
    </row>
    <row r="83" spans="1:14" x14ac:dyDescent="0.3">
      <c r="A83" s="305"/>
      <c r="B83" s="95" t="s">
        <v>108</v>
      </c>
      <c r="C83" s="204">
        <v>215</v>
      </c>
      <c r="D83" s="204">
        <v>21.7</v>
      </c>
      <c r="E83" s="204">
        <v>297</v>
      </c>
      <c r="F83" s="204">
        <v>26.6</v>
      </c>
      <c r="G83" s="204">
        <v>430</v>
      </c>
      <c r="H83" s="204">
        <v>20.5</v>
      </c>
      <c r="I83" s="204">
        <v>1469</v>
      </c>
      <c r="J83" s="204">
        <v>26.4</v>
      </c>
      <c r="K83" s="261">
        <v>632</v>
      </c>
      <c r="L83" s="250">
        <v>18.899999999999999</v>
      </c>
      <c r="M83" s="261" t="s">
        <v>1322</v>
      </c>
      <c r="N83" s="262" t="s">
        <v>1323</v>
      </c>
    </row>
    <row r="84" spans="1:14" x14ac:dyDescent="0.3">
      <c r="A84" s="305"/>
      <c r="B84" s="95" t="s">
        <v>109</v>
      </c>
      <c r="C84" s="204">
        <v>587</v>
      </c>
      <c r="D84" s="204">
        <v>59.3</v>
      </c>
      <c r="E84" s="204">
        <v>611</v>
      </c>
      <c r="F84" s="204">
        <v>54.6</v>
      </c>
      <c r="G84" s="204">
        <v>1204</v>
      </c>
      <c r="H84" s="204">
        <v>57.3</v>
      </c>
      <c r="I84" s="204">
        <v>2913</v>
      </c>
      <c r="J84" s="204">
        <v>52.3</v>
      </c>
      <c r="K84" s="261">
        <v>1788</v>
      </c>
      <c r="L84" s="250">
        <v>53.5</v>
      </c>
      <c r="M84" s="261" t="s">
        <v>1324</v>
      </c>
      <c r="N84" s="262" t="s">
        <v>1325</v>
      </c>
    </row>
    <row r="85" spans="1:14" x14ac:dyDescent="0.3">
      <c r="A85" s="306"/>
      <c r="B85" s="97" t="s">
        <v>86</v>
      </c>
      <c r="C85" s="207">
        <v>989</v>
      </c>
      <c r="D85" s="207">
        <v>100</v>
      </c>
      <c r="E85" s="207">
        <v>1120</v>
      </c>
      <c r="F85" s="207">
        <v>100</v>
      </c>
      <c r="G85" s="207">
        <v>2100</v>
      </c>
      <c r="H85" s="207">
        <v>100</v>
      </c>
      <c r="I85" s="207">
        <v>5568</v>
      </c>
      <c r="J85" s="207">
        <v>100</v>
      </c>
      <c r="K85" s="263">
        <v>3343</v>
      </c>
      <c r="L85" s="251">
        <v>100</v>
      </c>
      <c r="M85" s="263" t="s">
        <v>1326</v>
      </c>
      <c r="N85" s="264" t="s">
        <v>1127</v>
      </c>
    </row>
    <row r="86" spans="1:14" x14ac:dyDescent="0.3">
      <c r="A86" s="304" t="s">
        <v>86</v>
      </c>
      <c r="B86" s="95" t="s">
        <v>107</v>
      </c>
      <c r="C86" s="204">
        <v>46415</v>
      </c>
      <c r="D86" s="204">
        <v>32.700000000000003</v>
      </c>
      <c r="E86" s="204">
        <v>50714</v>
      </c>
      <c r="F86" s="204">
        <v>30.1</v>
      </c>
      <c r="G86" s="204">
        <v>53068</v>
      </c>
      <c r="H86" s="204">
        <v>27.5</v>
      </c>
      <c r="I86" s="204">
        <v>58024</v>
      </c>
      <c r="J86" s="204">
        <v>28</v>
      </c>
      <c r="K86" s="261">
        <v>57714</v>
      </c>
      <c r="L86" s="250">
        <v>26.6</v>
      </c>
      <c r="M86" s="261" t="s">
        <v>1327</v>
      </c>
      <c r="N86" s="262" t="s">
        <v>812</v>
      </c>
    </row>
    <row r="87" spans="1:14" x14ac:dyDescent="0.3">
      <c r="A87" s="305"/>
      <c r="B87" s="95" t="s">
        <v>108</v>
      </c>
      <c r="C87" s="204">
        <v>30458</v>
      </c>
      <c r="D87" s="204">
        <v>21.5</v>
      </c>
      <c r="E87" s="204">
        <v>38907</v>
      </c>
      <c r="F87" s="204">
        <v>23.1</v>
      </c>
      <c r="G87" s="204">
        <v>45620</v>
      </c>
      <c r="H87" s="204">
        <v>23.6</v>
      </c>
      <c r="I87" s="204">
        <v>52338</v>
      </c>
      <c r="J87" s="204">
        <v>25.2</v>
      </c>
      <c r="K87" s="261">
        <v>58953</v>
      </c>
      <c r="L87" s="250">
        <v>27.2</v>
      </c>
      <c r="M87" s="261">
        <v>6615</v>
      </c>
      <c r="N87" s="262">
        <v>12.6</v>
      </c>
    </row>
    <row r="88" spans="1:14" x14ac:dyDescent="0.3">
      <c r="A88" s="305"/>
      <c r="B88" s="95" t="s">
        <v>109</v>
      </c>
      <c r="C88" s="204">
        <v>64883</v>
      </c>
      <c r="D88" s="204">
        <v>45.8</v>
      </c>
      <c r="E88" s="204">
        <v>78754</v>
      </c>
      <c r="F88" s="204">
        <v>46.8</v>
      </c>
      <c r="G88" s="204">
        <v>94566</v>
      </c>
      <c r="H88" s="204">
        <v>48.9</v>
      </c>
      <c r="I88" s="204">
        <v>97032</v>
      </c>
      <c r="J88" s="204">
        <v>46.8</v>
      </c>
      <c r="K88" s="261">
        <v>100389</v>
      </c>
      <c r="L88" s="250">
        <v>46.2</v>
      </c>
      <c r="M88" s="261">
        <v>3357</v>
      </c>
      <c r="N88" s="262">
        <v>3.5</v>
      </c>
    </row>
    <row r="89" spans="1:14" x14ac:dyDescent="0.3">
      <c r="A89" s="306"/>
      <c r="B89" s="97" t="s">
        <v>86</v>
      </c>
      <c r="C89" s="207">
        <v>141757</v>
      </c>
      <c r="D89" s="207">
        <v>100</v>
      </c>
      <c r="E89" s="207">
        <v>168375</v>
      </c>
      <c r="F89" s="207">
        <v>100</v>
      </c>
      <c r="G89" s="207">
        <v>193253</v>
      </c>
      <c r="H89" s="207">
        <v>100</v>
      </c>
      <c r="I89" s="207">
        <v>207394</v>
      </c>
      <c r="J89" s="207">
        <v>100</v>
      </c>
      <c r="K89" s="263">
        <v>217056</v>
      </c>
      <c r="L89" s="251">
        <v>100</v>
      </c>
      <c r="M89" s="263">
        <v>9663</v>
      </c>
      <c r="N89" s="264">
        <v>4.7</v>
      </c>
    </row>
    <row r="90" spans="1:14" x14ac:dyDescent="0.3">
      <c r="K90" s="266"/>
      <c r="L90" s="266"/>
      <c r="M90" s="266"/>
      <c r="N90" s="266"/>
    </row>
    <row r="91" spans="1:14" ht="18.75" x14ac:dyDescent="0.3">
      <c r="A91" s="291" t="s">
        <v>1348</v>
      </c>
      <c r="K91" s="266"/>
      <c r="L91" s="266"/>
      <c r="M91" s="266"/>
      <c r="N91" s="266"/>
    </row>
    <row r="93" spans="1:14" x14ac:dyDescent="0.3"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</row>
    <row r="94" spans="1:14" x14ac:dyDescent="0.3"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</row>
    <row r="95" spans="1:14" x14ac:dyDescent="0.3"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</row>
    <row r="96" spans="1:14" x14ac:dyDescent="0.3"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</row>
    <row r="97" spans="3:14" x14ac:dyDescent="0.3"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</row>
    <row r="98" spans="3:14" x14ac:dyDescent="0.3"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</row>
    <row r="99" spans="3:14" x14ac:dyDescent="0.3"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</row>
    <row r="100" spans="3:14" x14ac:dyDescent="0.3"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</row>
    <row r="101" spans="3:14" x14ac:dyDescent="0.3"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</row>
    <row r="102" spans="3:14" x14ac:dyDescent="0.3"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</row>
    <row r="103" spans="3:14" x14ac:dyDescent="0.3"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</row>
    <row r="104" spans="3:14" x14ac:dyDescent="0.3"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</row>
    <row r="105" spans="3:14" x14ac:dyDescent="0.3"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</row>
    <row r="106" spans="3:14" x14ac:dyDescent="0.3"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</row>
    <row r="107" spans="3:14" x14ac:dyDescent="0.3"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</row>
    <row r="108" spans="3:14" x14ac:dyDescent="0.3"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</row>
    <row r="109" spans="3:14" x14ac:dyDescent="0.3"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</row>
    <row r="110" spans="3:14" x14ac:dyDescent="0.3"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</row>
    <row r="111" spans="3:14" x14ac:dyDescent="0.3"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</row>
    <row r="112" spans="3:14" x14ac:dyDescent="0.3"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</row>
    <row r="113" spans="3:14" x14ac:dyDescent="0.3"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</row>
    <row r="114" spans="3:14" x14ac:dyDescent="0.3"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</row>
    <row r="115" spans="3:14" x14ac:dyDescent="0.3"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</row>
    <row r="116" spans="3:14" x14ac:dyDescent="0.3"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</row>
    <row r="117" spans="3:14" x14ac:dyDescent="0.3"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</row>
    <row r="118" spans="3:14" x14ac:dyDescent="0.3"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</row>
    <row r="119" spans="3:14" x14ac:dyDescent="0.3"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</row>
    <row r="120" spans="3:14" x14ac:dyDescent="0.3"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</row>
    <row r="121" spans="3:14" x14ac:dyDescent="0.3"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</row>
    <row r="122" spans="3:14" x14ac:dyDescent="0.3"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</row>
    <row r="123" spans="3:14" x14ac:dyDescent="0.3"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</row>
    <row r="124" spans="3:14" x14ac:dyDescent="0.3"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</row>
    <row r="125" spans="3:14" x14ac:dyDescent="0.3"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</row>
    <row r="126" spans="3:14" x14ac:dyDescent="0.3"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</row>
    <row r="127" spans="3:14" x14ac:dyDescent="0.3"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</row>
    <row r="128" spans="3:14" x14ac:dyDescent="0.3"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</row>
    <row r="129" spans="3:14" x14ac:dyDescent="0.3"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</row>
    <row r="130" spans="3:14" x14ac:dyDescent="0.3"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</row>
    <row r="131" spans="3:14" x14ac:dyDescent="0.3"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</row>
    <row r="132" spans="3:14" x14ac:dyDescent="0.3"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</row>
    <row r="133" spans="3:14" x14ac:dyDescent="0.3"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</row>
    <row r="134" spans="3:14" x14ac:dyDescent="0.3"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</row>
    <row r="135" spans="3:14" x14ac:dyDescent="0.3"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</row>
    <row r="136" spans="3:14" x14ac:dyDescent="0.3"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</row>
    <row r="137" spans="3:14" x14ac:dyDescent="0.3"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</row>
    <row r="138" spans="3:14" x14ac:dyDescent="0.3"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</row>
    <row r="139" spans="3:14" x14ac:dyDescent="0.3"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</row>
    <row r="140" spans="3:14" x14ac:dyDescent="0.3"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</row>
    <row r="141" spans="3:14" x14ac:dyDescent="0.3"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</row>
    <row r="142" spans="3:14" x14ac:dyDescent="0.3"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</row>
    <row r="143" spans="3:14" x14ac:dyDescent="0.3"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</row>
    <row r="144" spans="3:14" x14ac:dyDescent="0.3"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</row>
    <row r="145" spans="3:14" x14ac:dyDescent="0.3"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</row>
    <row r="146" spans="3:14" x14ac:dyDescent="0.3"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</row>
    <row r="147" spans="3:14" x14ac:dyDescent="0.3"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</row>
    <row r="148" spans="3:14" x14ac:dyDescent="0.3"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</row>
    <row r="149" spans="3:14" x14ac:dyDescent="0.3"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</row>
    <row r="150" spans="3:14" x14ac:dyDescent="0.3"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</row>
    <row r="151" spans="3:14" x14ac:dyDescent="0.3"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</row>
    <row r="152" spans="3:14" x14ac:dyDescent="0.3"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</row>
    <row r="153" spans="3:14" x14ac:dyDescent="0.3"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</row>
    <row r="154" spans="3:14" x14ac:dyDescent="0.3"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</row>
    <row r="155" spans="3:14" x14ac:dyDescent="0.3"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</row>
    <row r="156" spans="3:14" x14ac:dyDescent="0.3"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</row>
    <row r="157" spans="3:14" x14ac:dyDescent="0.3"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</row>
    <row r="158" spans="3:14" x14ac:dyDescent="0.3"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</row>
    <row r="159" spans="3:14" x14ac:dyDescent="0.3"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</row>
    <row r="160" spans="3:14" x14ac:dyDescent="0.3"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</row>
    <row r="161" spans="3:14" x14ac:dyDescent="0.3"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</row>
    <row r="162" spans="3:14" x14ac:dyDescent="0.3"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</row>
    <row r="163" spans="3:14" x14ac:dyDescent="0.3"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</row>
    <row r="164" spans="3:14" x14ac:dyDescent="0.3"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</row>
    <row r="165" spans="3:14" x14ac:dyDescent="0.3"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</row>
    <row r="166" spans="3:14" x14ac:dyDescent="0.3"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</row>
    <row r="167" spans="3:14" x14ac:dyDescent="0.3"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</row>
    <row r="168" spans="3:14" x14ac:dyDescent="0.3"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</row>
    <row r="169" spans="3:14" x14ac:dyDescent="0.3"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</row>
    <row r="170" spans="3:14" x14ac:dyDescent="0.3"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</row>
    <row r="171" spans="3:14" x14ac:dyDescent="0.3"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</row>
    <row r="172" spans="3:14" x14ac:dyDescent="0.3"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</row>
    <row r="173" spans="3:14" x14ac:dyDescent="0.3"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</row>
    <row r="174" spans="3:14" x14ac:dyDescent="0.3"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</row>
    <row r="175" spans="3:14" x14ac:dyDescent="0.3"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</row>
    <row r="176" spans="3:14" x14ac:dyDescent="0.3"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</row>
    <row r="179" spans="3:1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</row>
    <row r="180" spans="3:1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</row>
    <row r="181" spans="3:1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</row>
    <row r="182" spans="3:1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</row>
    <row r="183" spans="3:1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 spans="3:1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</row>
    <row r="185" spans="3:1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</row>
    <row r="186" spans="3:1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</row>
    <row r="187" spans="3:1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</row>
    <row r="188" spans="3:1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</row>
    <row r="189" spans="3:1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</row>
    <row r="190" spans="3:1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</row>
    <row r="191" spans="3:1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</row>
    <row r="192" spans="3:1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</row>
    <row r="193" spans="3:1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</row>
    <row r="194" spans="3:1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</row>
    <row r="195" spans="3:1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</row>
    <row r="196" spans="3:1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</row>
    <row r="197" spans="3:1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</row>
    <row r="198" spans="3:1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</row>
    <row r="199" spans="3:1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</row>
    <row r="200" spans="3:1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</row>
    <row r="201" spans="3:1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</row>
    <row r="202" spans="3:1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</row>
    <row r="203" spans="3:1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</row>
    <row r="204" spans="3:1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</row>
    <row r="205" spans="3:1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</row>
    <row r="206" spans="3:1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</row>
    <row r="207" spans="3:1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</row>
    <row r="208" spans="3:1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</row>
    <row r="209" spans="3:1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</row>
    <row r="210" spans="3:1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</row>
    <row r="211" spans="3:1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</row>
    <row r="212" spans="3:1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</row>
    <row r="213" spans="3:1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</row>
    <row r="214" spans="3:1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</row>
    <row r="215" spans="3:1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</row>
    <row r="216" spans="3:1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</row>
    <row r="217" spans="3:1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</row>
    <row r="218" spans="3:1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</row>
    <row r="219" spans="3:1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</row>
    <row r="220" spans="3:1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</row>
    <row r="221" spans="3:1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</row>
    <row r="222" spans="3:1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</row>
    <row r="223" spans="3:1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</row>
    <row r="224" spans="3:1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</row>
    <row r="225" spans="3:1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</row>
    <row r="226" spans="3:1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</row>
    <row r="227" spans="3:1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</row>
    <row r="228" spans="3:1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</row>
    <row r="229" spans="3:1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</row>
    <row r="230" spans="3:1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</row>
    <row r="231" spans="3:1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</row>
    <row r="232" spans="3:1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</row>
    <row r="233" spans="3:1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</row>
    <row r="234" spans="3:1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</row>
    <row r="235" spans="3:1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</row>
    <row r="236" spans="3:1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</row>
    <row r="237" spans="3:1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</row>
    <row r="238" spans="3:1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</row>
    <row r="239" spans="3:1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</row>
    <row r="240" spans="3:1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</row>
    <row r="241" spans="3:1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</row>
    <row r="242" spans="3:1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</row>
    <row r="243" spans="3:1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</row>
    <row r="244" spans="3:1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</row>
    <row r="245" spans="3:1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</row>
    <row r="246" spans="3:1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</row>
    <row r="247" spans="3:1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</row>
    <row r="248" spans="3:1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</row>
    <row r="249" spans="3:1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</row>
    <row r="250" spans="3:1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</row>
    <row r="251" spans="3:1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</row>
    <row r="252" spans="3:1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</row>
    <row r="253" spans="3:1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</row>
    <row r="254" spans="3:1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</row>
    <row r="255" spans="3:1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</row>
    <row r="256" spans="3:1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</row>
    <row r="257" spans="3:1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</row>
    <row r="258" spans="3:1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</row>
    <row r="259" spans="3:1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</row>
    <row r="260" spans="3:1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</row>
    <row r="261" spans="3:1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</row>
    <row r="262" spans="3:1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</row>
    <row r="263" spans="3:14" x14ac:dyDescent="0.3">
      <c r="C263" s="86"/>
    </row>
    <row r="264" spans="3:14" x14ac:dyDescent="0.3">
      <c r="C264" s="86"/>
    </row>
    <row r="265" spans="3:14" x14ac:dyDescent="0.3">
      <c r="C265" s="86"/>
    </row>
    <row r="266" spans="3:14" x14ac:dyDescent="0.3">
      <c r="C266" s="86"/>
    </row>
    <row r="267" spans="3:14" x14ac:dyDescent="0.3">
      <c r="C267" s="86"/>
    </row>
    <row r="268" spans="3:14" x14ac:dyDescent="0.3">
      <c r="C268" s="86"/>
    </row>
    <row r="269" spans="3:14" x14ac:dyDescent="0.3">
      <c r="C269" s="86"/>
    </row>
  </sheetData>
  <mergeCells count="28">
    <mergeCell ref="A26:A29"/>
    <mergeCell ref="A30:A33"/>
    <mergeCell ref="A34:A37"/>
    <mergeCell ref="A22:A25"/>
    <mergeCell ref="A4:B5"/>
    <mergeCell ref="A10:A13"/>
    <mergeCell ref="A14:A17"/>
    <mergeCell ref="A18:A21"/>
    <mergeCell ref="C4:D4"/>
    <mergeCell ref="E4:F4"/>
    <mergeCell ref="G4:H4"/>
    <mergeCell ref="M4:N4"/>
    <mergeCell ref="A6:A9"/>
    <mergeCell ref="I4:J4"/>
    <mergeCell ref="K4:L4"/>
    <mergeCell ref="A38:A41"/>
    <mergeCell ref="A42:A45"/>
    <mergeCell ref="A74:A77"/>
    <mergeCell ref="A78:A81"/>
    <mergeCell ref="A82:A85"/>
    <mergeCell ref="A46:A49"/>
    <mergeCell ref="A86:A89"/>
    <mergeCell ref="A50:A53"/>
    <mergeCell ref="A54:A57"/>
    <mergeCell ref="A58:A61"/>
    <mergeCell ref="A62:A65"/>
    <mergeCell ref="A66:A69"/>
    <mergeCell ref="A70:A73"/>
  </mergeCells>
  <phoneticPr fontId="1" type="noConversion"/>
  <hyperlinks>
    <hyperlink ref="H1" location="목차!A1" display="목차" xr:uid="{9BEC7F18-43BC-4CFB-BD3B-8838F8BDE0D3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309D-0E43-404D-8B83-D38DA2F83677}">
  <sheetPr>
    <tabColor theme="1" tint="0.499984740745262"/>
  </sheetPr>
  <dimension ref="A1:AM50"/>
  <sheetViews>
    <sheetView zoomScale="85" zoomScaleNormal="85" workbookViewId="0">
      <selection activeCell="I16" sqref="I16"/>
    </sheetView>
  </sheetViews>
  <sheetFormatPr defaultRowHeight="16.5" x14ac:dyDescent="0.3"/>
  <cols>
    <col min="2" max="2" width="20.375" bestFit="1" customWidth="1"/>
  </cols>
  <sheetData>
    <row r="1" spans="1:39" ht="17.25" x14ac:dyDescent="0.3">
      <c r="A1" s="7" t="s">
        <v>1103</v>
      </c>
      <c r="B1" s="2"/>
      <c r="C1" s="2"/>
      <c r="D1" s="2"/>
      <c r="E1" s="2"/>
      <c r="F1" s="2"/>
      <c r="H1" s="72" t="s">
        <v>367</v>
      </c>
    </row>
    <row r="3" spans="1:39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33" t="s">
        <v>87</v>
      </c>
    </row>
    <row r="4" spans="1:39" ht="17.25" thickBot="1" x14ac:dyDescent="0.35">
      <c r="A4" s="313" t="s">
        <v>245</v>
      </c>
      <c r="B4" s="311" t="s">
        <v>139</v>
      </c>
      <c r="C4" s="318" t="s">
        <v>78</v>
      </c>
      <c r="D4" s="320"/>
      <c r="E4" s="318" t="s">
        <v>79</v>
      </c>
      <c r="F4" s="320"/>
      <c r="G4" s="318" t="s">
        <v>80</v>
      </c>
      <c r="H4" s="320"/>
      <c r="I4" s="318" t="s">
        <v>81</v>
      </c>
      <c r="J4" s="320"/>
      <c r="K4" s="318" t="s">
        <v>82</v>
      </c>
      <c r="L4" s="320"/>
      <c r="M4" s="318" t="s">
        <v>83</v>
      </c>
      <c r="N4" s="320"/>
      <c r="O4" s="318" t="s">
        <v>84</v>
      </c>
      <c r="P4" s="320"/>
      <c r="Q4" s="318" t="s">
        <v>85</v>
      </c>
      <c r="R4" s="320"/>
      <c r="S4" s="318" t="s">
        <v>86</v>
      </c>
      <c r="T4" s="319"/>
    </row>
    <row r="5" spans="1:39" ht="17.25" thickTop="1" x14ac:dyDescent="0.3">
      <c r="A5" s="313"/>
      <c r="B5" s="311"/>
      <c r="C5" s="173" t="s">
        <v>77</v>
      </c>
      <c r="D5" s="173" t="s">
        <v>36</v>
      </c>
      <c r="E5" s="173" t="s">
        <v>77</v>
      </c>
      <c r="F5" s="173" t="s">
        <v>36</v>
      </c>
      <c r="G5" s="173" t="s">
        <v>77</v>
      </c>
      <c r="H5" s="173" t="s">
        <v>36</v>
      </c>
      <c r="I5" s="173" t="s">
        <v>77</v>
      </c>
      <c r="J5" s="173" t="s">
        <v>36</v>
      </c>
      <c r="K5" s="173" t="s">
        <v>77</v>
      </c>
      <c r="L5" s="173" t="s">
        <v>36</v>
      </c>
      <c r="M5" s="173" t="s">
        <v>77</v>
      </c>
      <c r="N5" s="173" t="s">
        <v>36</v>
      </c>
      <c r="O5" s="173" t="s">
        <v>77</v>
      </c>
      <c r="P5" s="173" t="s">
        <v>36</v>
      </c>
      <c r="Q5" s="173" t="s">
        <v>77</v>
      </c>
      <c r="R5" s="173" t="s">
        <v>36</v>
      </c>
      <c r="S5" s="173" t="s">
        <v>77</v>
      </c>
      <c r="T5" s="174" t="s">
        <v>36</v>
      </c>
    </row>
    <row r="6" spans="1:39" x14ac:dyDescent="0.3">
      <c r="A6" s="304" t="s">
        <v>8</v>
      </c>
      <c r="B6" s="168" t="s">
        <v>792</v>
      </c>
      <c r="C6" s="168">
        <v>218</v>
      </c>
      <c r="D6" s="168">
        <v>0.3</v>
      </c>
      <c r="E6" s="177">
        <v>42166</v>
      </c>
      <c r="F6" s="168">
        <v>60.4</v>
      </c>
      <c r="G6" s="177">
        <v>21178</v>
      </c>
      <c r="H6" s="168">
        <v>30.3</v>
      </c>
      <c r="I6" s="168">
        <v>326</v>
      </c>
      <c r="J6" s="168">
        <v>0.5</v>
      </c>
      <c r="K6" s="168">
        <v>420</v>
      </c>
      <c r="L6" s="168">
        <v>0.6</v>
      </c>
      <c r="M6" s="177">
        <v>2634</v>
      </c>
      <c r="N6" s="168">
        <v>3.8</v>
      </c>
      <c r="O6" s="168">
        <v>52</v>
      </c>
      <c r="P6" s="168">
        <v>0.1</v>
      </c>
      <c r="Q6" s="177">
        <v>2856</v>
      </c>
      <c r="R6" s="168">
        <v>4.0999999999999996</v>
      </c>
      <c r="S6" s="177">
        <v>69851</v>
      </c>
      <c r="T6" s="38">
        <v>100</v>
      </c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</row>
    <row r="7" spans="1:39" x14ac:dyDescent="0.3">
      <c r="A7" s="305"/>
      <c r="B7" s="95" t="s">
        <v>57</v>
      </c>
      <c r="C7" s="95" t="s">
        <v>65</v>
      </c>
      <c r="D7" s="95" t="s">
        <v>65</v>
      </c>
      <c r="E7" s="96">
        <v>4812</v>
      </c>
      <c r="F7" s="95">
        <v>14.9</v>
      </c>
      <c r="G7" s="96">
        <v>2798</v>
      </c>
      <c r="H7" s="95">
        <v>8.6999999999999993</v>
      </c>
      <c r="I7" s="96">
        <v>1353</v>
      </c>
      <c r="J7" s="95">
        <v>4.2</v>
      </c>
      <c r="K7" s="96">
        <v>3639</v>
      </c>
      <c r="L7" s="95">
        <v>11.3</v>
      </c>
      <c r="M7" s="96">
        <v>13213</v>
      </c>
      <c r="N7" s="95">
        <v>40.9</v>
      </c>
      <c r="O7" s="95" t="s">
        <v>65</v>
      </c>
      <c r="P7" s="95" t="s">
        <v>65</v>
      </c>
      <c r="Q7" s="96">
        <v>6525</v>
      </c>
      <c r="R7" s="95">
        <v>20.2</v>
      </c>
      <c r="S7" s="96">
        <v>32339</v>
      </c>
      <c r="T7" s="123">
        <v>100</v>
      </c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39" x14ac:dyDescent="0.3">
      <c r="A8" s="305"/>
      <c r="B8" s="95" t="s">
        <v>52</v>
      </c>
      <c r="C8" s="95" t="s">
        <v>65</v>
      </c>
      <c r="D8" s="95" t="s">
        <v>65</v>
      </c>
      <c r="E8" s="96">
        <v>18898</v>
      </c>
      <c r="F8" s="95">
        <v>59.7</v>
      </c>
      <c r="G8" s="95">
        <v>385</v>
      </c>
      <c r="H8" s="95">
        <v>1.2</v>
      </c>
      <c r="I8" s="96">
        <v>1372</v>
      </c>
      <c r="J8" s="95">
        <v>4.3</v>
      </c>
      <c r="K8" s="96">
        <v>9097</v>
      </c>
      <c r="L8" s="95">
        <v>28.7</v>
      </c>
      <c r="M8" s="95">
        <v>540</v>
      </c>
      <c r="N8" s="95">
        <v>1.7</v>
      </c>
      <c r="O8" s="96">
        <v>1296</v>
      </c>
      <c r="P8" s="95">
        <v>4.0999999999999996</v>
      </c>
      <c r="Q8" s="95">
        <v>68</v>
      </c>
      <c r="R8" s="95">
        <v>0.2</v>
      </c>
      <c r="S8" s="96">
        <v>31657</v>
      </c>
      <c r="T8" s="123">
        <v>100</v>
      </c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</row>
    <row r="9" spans="1:39" x14ac:dyDescent="0.3">
      <c r="A9" s="305"/>
      <c r="B9" s="95" t="s">
        <v>41</v>
      </c>
      <c r="C9" s="95">
        <v>6</v>
      </c>
      <c r="D9" s="95">
        <v>0</v>
      </c>
      <c r="E9" s="96">
        <v>1048</v>
      </c>
      <c r="F9" s="95">
        <v>5.5</v>
      </c>
      <c r="G9" s="96">
        <v>17834</v>
      </c>
      <c r="H9" s="95">
        <v>93.4</v>
      </c>
      <c r="I9" s="95">
        <v>0</v>
      </c>
      <c r="J9" s="95">
        <v>0</v>
      </c>
      <c r="K9" s="95">
        <v>0</v>
      </c>
      <c r="L9" s="95">
        <v>0</v>
      </c>
      <c r="M9" s="95">
        <v>28</v>
      </c>
      <c r="N9" s="95">
        <v>0.1</v>
      </c>
      <c r="O9" s="95" t="s">
        <v>65</v>
      </c>
      <c r="P9" s="95" t="s">
        <v>65</v>
      </c>
      <c r="Q9" s="95">
        <v>173</v>
      </c>
      <c r="R9" s="95">
        <v>0.9</v>
      </c>
      <c r="S9" s="96">
        <v>19089</v>
      </c>
      <c r="T9" s="123">
        <v>100</v>
      </c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</row>
    <row r="10" spans="1:39" x14ac:dyDescent="0.3">
      <c r="A10" s="305"/>
      <c r="B10" s="95" t="s">
        <v>63</v>
      </c>
      <c r="C10" s="95" t="s">
        <v>65</v>
      </c>
      <c r="D10" s="95" t="s">
        <v>65</v>
      </c>
      <c r="E10" s="95">
        <v>617</v>
      </c>
      <c r="F10" s="95">
        <v>6.1</v>
      </c>
      <c r="G10" s="95">
        <v>198</v>
      </c>
      <c r="H10" s="95">
        <v>1.9</v>
      </c>
      <c r="I10" s="95">
        <v>8</v>
      </c>
      <c r="J10" s="95">
        <v>0.1</v>
      </c>
      <c r="K10" s="95">
        <v>13</v>
      </c>
      <c r="L10" s="95">
        <v>0.1</v>
      </c>
      <c r="M10" s="96">
        <v>8981</v>
      </c>
      <c r="N10" s="95">
        <v>88.1</v>
      </c>
      <c r="O10" s="95" t="s">
        <v>65</v>
      </c>
      <c r="P10" s="95" t="s">
        <v>65</v>
      </c>
      <c r="Q10" s="95">
        <v>377</v>
      </c>
      <c r="R10" s="95">
        <v>3.7</v>
      </c>
      <c r="S10" s="96">
        <v>10194</v>
      </c>
      <c r="T10" s="123">
        <v>100</v>
      </c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</row>
    <row r="11" spans="1:39" x14ac:dyDescent="0.3">
      <c r="A11" s="305"/>
      <c r="B11" s="95" t="s">
        <v>48</v>
      </c>
      <c r="C11" s="96">
        <v>4605</v>
      </c>
      <c r="D11" s="95">
        <v>71.2</v>
      </c>
      <c r="E11" s="95">
        <v>50</v>
      </c>
      <c r="F11" s="95">
        <v>0.8</v>
      </c>
      <c r="G11" s="95">
        <v>907</v>
      </c>
      <c r="H11" s="95">
        <v>14</v>
      </c>
      <c r="I11" s="95">
        <v>14</v>
      </c>
      <c r="J11" s="95">
        <v>0.2</v>
      </c>
      <c r="K11" s="95">
        <v>8</v>
      </c>
      <c r="L11" s="95">
        <v>0.1</v>
      </c>
      <c r="M11" s="95">
        <v>421</v>
      </c>
      <c r="N11" s="95">
        <v>6.5</v>
      </c>
      <c r="O11" s="95">
        <v>368</v>
      </c>
      <c r="P11" s="95">
        <v>5.7</v>
      </c>
      <c r="Q11" s="95">
        <v>93</v>
      </c>
      <c r="R11" s="95">
        <v>1.4</v>
      </c>
      <c r="S11" s="96">
        <v>6467</v>
      </c>
      <c r="T11" s="123">
        <v>100</v>
      </c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</row>
    <row r="12" spans="1:39" x14ac:dyDescent="0.3">
      <c r="A12" s="305"/>
      <c r="B12" s="95" t="s">
        <v>253</v>
      </c>
      <c r="C12" s="96">
        <v>5698</v>
      </c>
      <c r="D12" s="95">
        <v>15.5</v>
      </c>
      <c r="E12" s="96">
        <v>15006</v>
      </c>
      <c r="F12" s="95">
        <v>40.9</v>
      </c>
      <c r="G12" s="96">
        <v>6977</v>
      </c>
      <c r="H12" s="95">
        <v>19</v>
      </c>
      <c r="I12" s="95">
        <v>663</v>
      </c>
      <c r="J12" s="95">
        <v>1.8</v>
      </c>
      <c r="K12" s="95">
        <v>987</v>
      </c>
      <c r="L12" s="95">
        <v>2.7</v>
      </c>
      <c r="M12" s="96">
        <v>5093</v>
      </c>
      <c r="N12" s="95">
        <v>13.9</v>
      </c>
      <c r="O12" s="95">
        <v>111</v>
      </c>
      <c r="P12" s="95">
        <v>0.3</v>
      </c>
      <c r="Q12" s="96">
        <v>2121</v>
      </c>
      <c r="R12" s="95">
        <v>5.8</v>
      </c>
      <c r="S12" s="96">
        <v>36656</v>
      </c>
      <c r="T12" s="123">
        <v>100</v>
      </c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</row>
    <row r="13" spans="1:39" x14ac:dyDescent="0.3">
      <c r="A13" s="306"/>
      <c r="B13" s="97" t="s">
        <v>72</v>
      </c>
      <c r="C13" s="98">
        <v>10527</v>
      </c>
      <c r="D13" s="97">
        <v>5.0999999999999996</v>
      </c>
      <c r="E13" s="98">
        <v>82597</v>
      </c>
      <c r="F13" s="97">
        <v>40</v>
      </c>
      <c r="G13" s="98">
        <v>50278</v>
      </c>
      <c r="H13" s="97">
        <v>24.4</v>
      </c>
      <c r="I13" s="98">
        <v>3735</v>
      </c>
      <c r="J13" s="97">
        <v>1.8</v>
      </c>
      <c r="K13" s="98">
        <v>14165</v>
      </c>
      <c r="L13" s="97">
        <v>6.9</v>
      </c>
      <c r="M13" s="98">
        <v>30910</v>
      </c>
      <c r="N13" s="97">
        <v>15</v>
      </c>
      <c r="O13" s="98">
        <v>1829</v>
      </c>
      <c r="P13" s="97">
        <v>0.9</v>
      </c>
      <c r="Q13" s="98">
        <v>12212</v>
      </c>
      <c r="R13" s="97">
        <v>5.9</v>
      </c>
      <c r="S13" s="98">
        <v>206254</v>
      </c>
      <c r="T13" s="125">
        <v>100</v>
      </c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</row>
    <row r="14" spans="1:39" x14ac:dyDescent="0.3">
      <c r="A14" s="304" t="s">
        <v>9</v>
      </c>
      <c r="B14" s="168" t="s">
        <v>792</v>
      </c>
      <c r="C14" s="168">
        <v>200</v>
      </c>
      <c r="D14" s="168">
        <v>0.3</v>
      </c>
      <c r="E14" s="177">
        <v>44130</v>
      </c>
      <c r="F14" s="168">
        <v>57.2</v>
      </c>
      <c r="G14" s="177">
        <v>24323</v>
      </c>
      <c r="H14" s="168">
        <v>31.5</v>
      </c>
      <c r="I14" s="168">
        <v>310</v>
      </c>
      <c r="J14" s="168">
        <v>0.4</v>
      </c>
      <c r="K14" s="168">
        <v>686</v>
      </c>
      <c r="L14" s="168">
        <v>0.9</v>
      </c>
      <c r="M14" s="177">
        <v>3747</v>
      </c>
      <c r="N14" s="168">
        <v>4.9000000000000004</v>
      </c>
      <c r="O14" s="168">
        <v>30</v>
      </c>
      <c r="P14" s="168">
        <v>0</v>
      </c>
      <c r="Q14" s="177">
        <v>3713</v>
      </c>
      <c r="R14" s="168">
        <v>4.8</v>
      </c>
      <c r="S14" s="177">
        <v>77137</v>
      </c>
      <c r="T14" s="38">
        <v>100</v>
      </c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</row>
    <row r="15" spans="1:39" x14ac:dyDescent="0.3">
      <c r="A15" s="305"/>
      <c r="B15" s="95" t="s">
        <v>57</v>
      </c>
      <c r="C15" s="95" t="s">
        <v>65</v>
      </c>
      <c r="D15" s="95" t="s">
        <v>65</v>
      </c>
      <c r="E15" s="96">
        <v>5905</v>
      </c>
      <c r="F15" s="95">
        <v>14.7</v>
      </c>
      <c r="G15" s="96">
        <v>2974</v>
      </c>
      <c r="H15" s="95">
        <v>7.4</v>
      </c>
      <c r="I15" s="96">
        <v>2024</v>
      </c>
      <c r="J15" s="95">
        <v>5</v>
      </c>
      <c r="K15" s="96">
        <v>4784</v>
      </c>
      <c r="L15" s="95">
        <v>11.9</v>
      </c>
      <c r="M15" s="96">
        <v>15967</v>
      </c>
      <c r="N15" s="95">
        <v>39.799999999999997</v>
      </c>
      <c r="O15" s="95" t="s">
        <v>65</v>
      </c>
      <c r="P15" s="95" t="s">
        <v>65</v>
      </c>
      <c r="Q15" s="96">
        <v>8459</v>
      </c>
      <c r="R15" s="95">
        <v>21.1</v>
      </c>
      <c r="S15" s="96">
        <v>40113</v>
      </c>
      <c r="T15" s="123">
        <v>100</v>
      </c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</row>
    <row r="16" spans="1:39" x14ac:dyDescent="0.3">
      <c r="A16" s="305"/>
      <c r="B16" s="95" t="s">
        <v>52</v>
      </c>
      <c r="C16" s="95" t="s">
        <v>65</v>
      </c>
      <c r="D16" s="95" t="s">
        <v>65</v>
      </c>
      <c r="E16" s="96">
        <v>22525</v>
      </c>
      <c r="F16" s="95">
        <v>59.7</v>
      </c>
      <c r="G16" s="95">
        <v>468</v>
      </c>
      <c r="H16" s="95">
        <v>1.2</v>
      </c>
      <c r="I16" s="95">
        <v>642</v>
      </c>
      <c r="J16" s="95">
        <v>1.7</v>
      </c>
      <c r="K16" s="96">
        <v>11398</v>
      </c>
      <c r="L16" s="95">
        <v>30.2</v>
      </c>
      <c r="M16" s="96">
        <v>1010</v>
      </c>
      <c r="N16" s="95">
        <v>2.7</v>
      </c>
      <c r="O16" s="96">
        <v>1621</v>
      </c>
      <c r="P16" s="95">
        <v>4.3</v>
      </c>
      <c r="Q16" s="95">
        <v>51</v>
      </c>
      <c r="R16" s="95">
        <v>0.1</v>
      </c>
      <c r="S16" s="96">
        <v>37715</v>
      </c>
      <c r="T16" s="123">
        <v>100</v>
      </c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</row>
    <row r="17" spans="1:39" x14ac:dyDescent="0.3">
      <c r="A17" s="305"/>
      <c r="B17" s="95" t="s">
        <v>41</v>
      </c>
      <c r="C17" s="95">
        <v>4</v>
      </c>
      <c r="D17" s="95">
        <v>0</v>
      </c>
      <c r="E17" s="96">
        <v>1161</v>
      </c>
      <c r="F17" s="95">
        <v>5.4</v>
      </c>
      <c r="G17" s="96">
        <v>20343</v>
      </c>
      <c r="H17" s="95">
        <v>94</v>
      </c>
      <c r="I17" s="95" t="s">
        <v>65</v>
      </c>
      <c r="J17" s="95" t="s">
        <v>65</v>
      </c>
      <c r="K17" s="95">
        <v>0</v>
      </c>
      <c r="L17" s="95">
        <v>0</v>
      </c>
      <c r="M17" s="95">
        <v>22</v>
      </c>
      <c r="N17" s="95">
        <v>0.1</v>
      </c>
      <c r="O17" s="95" t="s">
        <v>65</v>
      </c>
      <c r="P17" s="95" t="s">
        <v>65</v>
      </c>
      <c r="Q17" s="95">
        <v>115</v>
      </c>
      <c r="R17" s="95">
        <v>0.5</v>
      </c>
      <c r="S17" s="96">
        <v>21646</v>
      </c>
      <c r="T17" s="123">
        <v>100</v>
      </c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</row>
    <row r="18" spans="1:39" x14ac:dyDescent="0.3">
      <c r="A18" s="305"/>
      <c r="B18" s="95" t="s">
        <v>63</v>
      </c>
      <c r="C18" s="95" t="s">
        <v>65</v>
      </c>
      <c r="D18" s="95" t="s">
        <v>65</v>
      </c>
      <c r="E18" s="95">
        <v>788</v>
      </c>
      <c r="F18" s="95">
        <v>5.6</v>
      </c>
      <c r="G18" s="95">
        <v>264</v>
      </c>
      <c r="H18" s="95">
        <v>1.9</v>
      </c>
      <c r="I18" s="95">
        <v>3</v>
      </c>
      <c r="J18" s="95">
        <v>0</v>
      </c>
      <c r="K18" s="95">
        <v>61</v>
      </c>
      <c r="L18" s="95">
        <v>0.4</v>
      </c>
      <c r="M18" s="96">
        <v>12301</v>
      </c>
      <c r="N18" s="95">
        <v>87.6</v>
      </c>
      <c r="O18" s="95" t="s">
        <v>65</v>
      </c>
      <c r="P18" s="95" t="s">
        <v>65</v>
      </c>
      <c r="Q18" s="95">
        <v>629</v>
      </c>
      <c r="R18" s="95">
        <v>4.5</v>
      </c>
      <c r="S18" s="96">
        <v>14046</v>
      </c>
      <c r="T18" s="123">
        <v>100</v>
      </c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</row>
    <row r="19" spans="1:39" x14ac:dyDescent="0.3">
      <c r="A19" s="305"/>
      <c r="B19" s="95" t="s">
        <v>48</v>
      </c>
      <c r="C19" s="96">
        <v>4828</v>
      </c>
      <c r="D19" s="95">
        <v>70.3</v>
      </c>
      <c r="E19" s="95">
        <v>69</v>
      </c>
      <c r="F19" s="95">
        <v>1</v>
      </c>
      <c r="G19" s="96">
        <v>1039</v>
      </c>
      <c r="H19" s="95">
        <v>15.1</v>
      </c>
      <c r="I19" s="95">
        <v>20</v>
      </c>
      <c r="J19" s="95">
        <v>0.3</v>
      </c>
      <c r="K19" s="95">
        <v>14</v>
      </c>
      <c r="L19" s="95">
        <v>0.2</v>
      </c>
      <c r="M19" s="95">
        <v>625</v>
      </c>
      <c r="N19" s="95">
        <v>9.1</v>
      </c>
      <c r="O19" s="95">
        <v>153</v>
      </c>
      <c r="P19" s="95">
        <v>2.2000000000000002</v>
      </c>
      <c r="Q19" s="95">
        <v>121</v>
      </c>
      <c r="R19" s="95">
        <v>1.8</v>
      </c>
      <c r="S19" s="96">
        <v>6869</v>
      </c>
      <c r="T19" s="123">
        <v>100</v>
      </c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</row>
    <row r="20" spans="1:39" x14ac:dyDescent="0.3">
      <c r="A20" s="305"/>
      <c r="B20" s="95" t="s">
        <v>253</v>
      </c>
      <c r="C20" s="96">
        <v>6291</v>
      </c>
      <c r="D20" s="95">
        <v>15.2</v>
      </c>
      <c r="E20" s="96">
        <v>15711</v>
      </c>
      <c r="F20" s="95">
        <v>38.1</v>
      </c>
      <c r="G20" s="96">
        <v>8097</v>
      </c>
      <c r="H20" s="95">
        <v>19.600000000000001</v>
      </c>
      <c r="I20" s="95">
        <v>822</v>
      </c>
      <c r="J20" s="95">
        <v>2</v>
      </c>
      <c r="K20" s="96">
        <v>1268</v>
      </c>
      <c r="L20" s="95">
        <v>3.1</v>
      </c>
      <c r="M20" s="96">
        <v>6081</v>
      </c>
      <c r="N20" s="95">
        <v>14.7</v>
      </c>
      <c r="O20" s="95">
        <v>110</v>
      </c>
      <c r="P20" s="95">
        <v>0.3</v>
      </c>
      <c r="Q20" s="96">
        <v>2898</v>
      </c>
      <c r="R20" s="95">
        <v>7</v>
      </c>
      <c r="S20" s="96">
        <v>41277</v>
      </c>
      <c r="T20" s="123">
        <v>100</v>
      </c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</row>
    <row r="21" spans="1:39" x14ac:dyDescent="0.3">
      <c r="A21" s="306"/>
      <c r="B21" s="97" t="s">
        <v>72</v>
      </c>
      <c r="C21" s="98">
        <v>11323</v>
      </c>
      <c r="D21" s="97">
        <v>4.7</v>
      </c>
      <c r="E21" s="98">
        <v>90289</v>
      </c>
      <c r="F21" s="97">
        <v>37.799999999999997</v>
      </c>
      <c r="G21" s="98">
        <v>57508</v>
      </c>
      <c r="H21" s="97">
        <v>24.1</v>
      </c>
      <c r="I21" s="98">
        <v>3820</v>
      </c>
      <c r="J21" s="97">
        <v>1.6</v>
      </c>
      <c r="K21" s="98">
        <v>18212</v>
      </c>
      <c r="L21" s="97">
        <v>7.6</v>
      </c>
      <c r="M21" s="98">
        <v>39753</v>
      </c>
      <c r="N21" s="97">
        <v>16.600000000000001</v>
      </c>
      <c r="O21" s="98">
        <v>1914</v>
      </c>
      <c r="P21" s="97">
        <v>0.8</v>
      </c>
      <c r="Q21" s="98">
        <v>15986</v>
      </c>
      <c r="R21" s="97">
        <v>6.7</v>
      </c>
      <c r="S21" s="98">
        <v>238803</v>
      </c>
      <c r="T21" s="125">
        <v>100</v>
      </c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</row>
    <row r="22" spans="1:39" x14ac:dyDescent="0.3">
      <c r="A22" s="304" t="s">
        <v>10</v>
      </c>
      <c r="B22" s="168" t="s">
        <v>792</v>
      </c>
      <c r="C22" s="168">
        <v>219</v>
      </c>
      <c r="D22" s="168">
        <v>0.3</v>
      </c>
      <c r="E22" s="177">
        <v>45123</v>
      </c>
      <c r="F22" s="168">
        <v>54.1</v>
      </c>
      <c r="G22" s="177">
        <v>27846</v>
      </c>
      <c r="H22" s="168">
        <v>33.4</v>
      </c>
      <c r="I22" s="168">
        <v>175</v>
      </c>
      <c r="J22" s="168">
        <v>0.2</v>
      </c>
      <c r="K22" s="168">
        <v>395</v>
      </c>
      <c r="L22" s="168">
        <v>0.5</v>
      </c>
      <c r="M22" s="177">
        <v>4944</v>
      </c>
      <c r="N22" s="168">
        <v>5.9</v>
      </c>
      <c r="O22" s="168">
        <v>33</v>
      </c>
      <c r="P22" s="168">
        <v>0</v>
      </c>
      <c r="Q22" s="177">
        <v>4738</v>
      </c>
      <c r="R22" s="168">
        <v>5.7</v>
      </c>
      <c r="S22" s="177">
        <v>83472</v>
      </c>
      <c r="T22" s="38">
        <v>100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</row>
    <row r="23" spans="1:39" x14ac:dyDescent="0.3">
      <c r="A23" s="305"/>
      <c r="B23" s="95" t="s">
        <v>57</v>
      </c>
      <c r="C23" s="95">
        <v>41</v>
      </c>
      <c r="D23" s="95">
        <v>0.1</v>
      </c>
      <c r="E23" s="96">
        <v>6552</v>
      </c>
      <c r="F23" s="95">
        <v>14.1</v>
      </c>
      <c r="G23" s="96">
        <v>2536</v>
      </c>
      <c r="H23" s="95">
        <v>5.5</v>
      </c>
      <c r="I23" s="96">
        <v>2340</v>
      </c>
      <c r="J23" s="95">
        <v>5</v>
      </c>
      <c r="K23" s="96">
        <v>5037</v>
      </c>
      <c r="L23" s="95">
        <v>10.8</v>
      </c>
      <c r="M23" s="96">
        <v>19853</v>
      </c>
      <c r="N23" s="95">
        <v>42.7</v>
      </c>
      <c r="O23" s="95" t="s">
        <v>65</v>
      </c>
      <c r="P23" s="95" t="s">
        <v>65</v>
      </c>
      <c r="Q23" s="96">
        <v>10092</v>
      </c>
      <c r="R23" s="95">
        <v>21.7</v>
      </c>
      <c r="S23" s="96">
        <v>46451</v>
      </c>
      <c r="T23" s="123">
        <v>100</v>
      </c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</row>
    <row r="24" spans="1:39" x14ac:dyDescent="0.3">
      <c r="A24" s="305"/>
      <c r="B24" s="95" t="s">
        <v>52</v>
      </c>
      <c r="C24" s="95" t="s">
        <v>65</v>
      </c>
      <c r="D24" s="95" t="s">
        <v>65</v>
      </c>
      <c r="E24" s="96">
        <v>23929</v>
      </c>
      <c r="F24" s="95">
        <v>62.2</v>
      </c>
      <c r="G24" s="95">
        <v>616</v>
      </c>
      <c r="H24" s="95">
        <v>1.6</v>
      </c>
      <c r="I24" s="95">
        <v>848</v>
      </c>
      <c r="J24" s="95">
        <v>2.2000000000000002</v>
      </c>
      <c r="K24" s="96">
        <v>9296</v>
      </c>
      <c r="L24" s="95">
        <v>24.1</v>
      </c>
      <c r="M24" s="96">
        <v>1208</v>
      </c>
      <c r="N24" s="95">
        <v>3.1</v>
      </c>
      <c r="O24" s="96">
        <v>2139</v>
      </c>
      <c r="P24" s="95">
        <v>5.6</v>
      </c>
      <c r="Q24" s="95">
        <v>461</v>
      </c>
      <c r="R24" s="95">
        <v>1.2</v>
      </c>
      <c r="S24" s="96">
        <v>38497</v>
      </c>
      <c r="T24" s="123">
        <v>100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</row>
    <row r="25" spans="1:39" x14ac:dyDescent="0.3">
      <c r="A25" s="305"/>
      <c r="B25" s="95" t="s">
        <v>41</v>
      </c>
      <c r="C25" s="95">
        <v>1</v>
      </c>
      <c r="D25" s="95">
        <v>0</v>
      </c>
      <c r="E25" s="95">
        <v>997</v>
      </c>
      <c r="F25" s="95">
        <v>4.3</v>
      </c>
      <c r="G25" s="96">
        <v>21670</v>
      </c>
      <c r="H25" s="95">
        <v>94</v>
      </c>
      <c r="I25" s="95" t="s">
        <v>65</v>
      </c>
      <c r="J25" s="95" t="s">
        <v>65</v>
      </c>
      <c r="K25" s="95" t="s">
        <v>65</v>
      </c>
      <c r="L25" s="95" t="s">
        <v>65</v>
      </c>
      <c r="M25" s="95">
        <v>16</v>
      </c>
      <c r="N25" s="95">
        <v>0.1</v>
      </c>
      <c r="O25" s="95" t="s">
        <v>65</v>
      </c>
      <c r="P25" s="95" t="s">
        <v>65</v>
      </c>
      <c r="Q25" s="95">
        <v>374</v>
      </c>
      <c r="R25" s="95">
        <v>1.6</v>
      </c>
      <c r="S25" s="96">
        <v>23058</v>
      </c>
      <c r="T25" s="123">
        <v>100</v>
      </c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</row>
    <row r="26" spans="1:39" x14ac:dyDescent="0.3">
      <c r="A26" s="305"/>
      <c r="B26" s="95" t="s">
        <v>63</v>
      </c>
      <c r="C26" s="95" t="s">
        <v>65</v>
      </c>
      <c r="D26" s="95" t="s">
        <v>65</v>
      </c>
      <c r="E26" s="95">
        <v>884</v>
      </c>
      <c r="F26" s="95">
        <v>5.3</v>
      </c>
      <c r="G26" s="95">
        <v>325</v>
      </c>
      <c r="H26" s="95">
        <v>2</v>
      </c>
      <c r="I26" s="95">
        <v>7</v>
      </c>
      <c r="J26" s="95">
        <v>0</v>
      </c>
      <c r="K26" s="95">
        <v>128</v>
      </c>
      <c r="L26" s="95">
        <v>0.8</v>
      </c>
      <c r="M26" s="96">
        <v>14511</v>
      </c>
      <c r="N26" s="95">
        <v>87.2</v>
      </c>
      <c r="O26" s="95" t="s">
        <v>65</v>
      </c>
      <c r="P26" s="95" t="s">
        <v>65</v>
      </c>
      <c r="Q26" s="95">
        <v>794</v>
      </c>
      <c r="R26" s="95">
        <v>4.8</v>
      </c>
      <c r="S26" s="96">
        <v>16650</v>
      </c>
      <c r="T26" s="123">
        <v>100</v>
      </c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</row>
    <row r="27" spans="1:39" x14ac:dyDescent="0.3">
      <c r="A27" s="305"/>
      <c r="B27" s="95" t="s">
        <v>48</v>
      </c>
      <c r="C27" s="96">
        <v>5578</v>
      </c>
      <c r="D27" s="95">
        <v>72.400000000000006</v>
      </c>
      <c r="E27" s="95">
        <v>81</v>
      </c>
      <c r="F27" s="95">
        <v>1</v>
      </c>
      <c r="G27" s="96">
        <v>1063</v>
      </c>
      <c r="H27" s="95">
        <v>13.8</v>
      </c>
      <c r="I27" s="95">
        <v>15</v>
      </c>
      <c r="J27" s="95">
        <v>0.2</v>
      </c>
      <c r="K27" s="95">
        <v>25</v>
      </c>
      <c r="L27" s="95">
        <v>0.3</v>
      </c>
      <c r="M27" s="95">
        <v>465</v>
      </c>
      <c r="N27" s="95">
        <v>6</v>
      </c>
      <c r="O27" s="95">
        <v>333</v>
      </c>
      <c r="P27" s="95">
        <v>4.3</v>
      </c>
      <c r="Q27" s="95">
        <v>145</v>
      </c>
      <c r="R27" s="95">
        <v>1.9</v>
      </c>
      <c r="S27" s="96">
        <v>7705</v>
      </c>
      <c r="T27" s="123">
        <v>100</v>
      </c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</row>
    <row r="28" spans="1:39" x14ac:dyDescent="0.3">
      <c r="A28" s="305"/>
      <c r="B28" s="95" t="s">
        <v>253</v>
      </c>
      <c r="C28" s="96">
        <v>6474</v>
      </c>
      <c r="D28" s="95">
        <v>13</v>
      </c>
      <c r="E28" s="96">
        <v>18492</v>
      </c>
      <c r="F28" s="95">
        <v>37</v>
      </c>
      <c r="G28" s="96">
        <v>9262</v>
      </c>
      <c r="H28" s="95">
        <v>18.5</v>
      </c>
      <c r="I28" s="95">
        <v>942</v>
      </c>
      <c r="J28" s="95">
        <v>1.9</v>
      </c>
      <c r="K28" s="96">
        <v>1285</v>
      </c>
      <c r="L28" s="95">
        <v>2.6</v>
      </c>
      <c r="M28" s="96">
        <v>8724</v>
      </c>
      <c r="N28" s="95">
        <v>17.5</v>
      </c>
      <c r="O28" s="95">
        <v>129</v>
      </c>
      <c r="P28" s="95">
        <v>0.3</v>
      </c>
      <c r="Q28" s="96">
        <v>4650</v>
      </c>
      <c r="R28" s="95">
        <v>9.3000000000000007</v>
      </c>
      <c r="S28" s="96">
        <v>49957</v>
      </c>
      <c r="T28" s="123">
        <v>100</v>
      </c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</row>
    <row r="29" spans="1:39" x14ac:dyDescent="0.3">
      <c r="A29" s="306"/>
      <c r="B29" s="97" t="s">
        <v>72</v>
      </c>
      <c r="C29" s="98">
        <v>12313</v>
      </c>
      <c r="D29" s="97">
        <v>4.5999999999999996</v>
      </c>
      <c r="E29" s="98">
        <v>96058</v>
      </c>
      <c r="F29" s="97">
        <v>36.1</v>
      </c>
      <c r="G29" s="98">
        <v>63317</v>
      </c>
      <c r="H29" s="97">
        <v>23.8</v>
      </c>
      <c r="I29" s="98">
        <v>4327</v>
      </c>
      <c r="J29" s="97">
        <v>1.6</v>
      </c>
      <c r="K29" s="98">
        <v>16166</v>
      </c>
      <c r="L29" s="97">
        <v>6.1</v>
      </c>
      <c r="M29" s="98">
        <v>49721</v>
      </c>
      <c r="N29" s="97">
        <v>18.7</v>
      </c>
      <c r="O29" s="98">
        <v>2634</v>
      </c>
      <c r="P29" s="97">
        <v>1</v>
      </c>
      <c r="Q29" s="98">
        <v>21254</v>
      </c>
      <c r="R29" s="97">
        <v>8</v>
      </c>
      <c r="S29" s="98">
        <v>265791</v>
      </c>
      <c r="T29" s="125">
        <v>100</v>
      </c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</row>
    <row r="30" spans="1:39" x14ac:dyDescent="0.3">
      <c r="A30" s="305" t="s">
        <v>369</v>
      </c>
      <c r="B30" s="168" t="s">
        <v>792</v>
      </c>
      <c r="C30" s="168">
        <v>225</v>
      </c>
      <c r="D30" s="168">
        <v>0.3</v>
      </c>
      <c r="E30" s="177">
        <v>47372</v>
      </c>
      <c r="F30" s="168">
        <v>53.2</v>
      </c>
      <c r="G30" s="177">
        <v>31026</v>
      </c>
      <c r="H30" s="168">
        <v>34.799999999999997</v>
      </c>
      <c r="I30" s="168">
        <v>195</v>
      </c>
      <c r="J30" s="168">
        <v>0.2</v>
      </c>
      <c r="K30" s="168">
        <v>422</v>
      </c>
      <c r="L30" s="168">
        <v>0.5</v>
      </c>
      <c r="M30" s="177">
        <v>5574</v>
      </c>
      <c r="N30" s="168">
        <v>6.3</v>
      </c>
      <c r="O30" s="168">
        <v>41</v>
      </c>
      <c r="P30" s="168">
        <v>0</v>
      </c>
      <c r="Q30" s="177">
        <v>4234</v>
      </c>
      <c r="R30" s="168">
        <v>4.8</v>
      </c>
      <c r="S30" s="177">
        <v>89089</v>
      </c>
      <c r="T30" s="216">
        <v>100</v>
      </c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</row>
    <row r="31" spans="1:39" x14ac:dyDescent="0.3">
      <c r="A31" s="305"/>
      <c r="B31" s="95" t="s">
        <v>57</v>
      </c>
      <c r="C31" s="95">
        <v>9</v>
      </c>
      <c r="D31" s="95">
        <v>0</v>
      </c>
      <c r="E31" s="96">
        <v>7405</v>
      </c>
      <c r="F31" s="95">
        <v>14.6</v>
      </c>
      <c r="G31" s="96">
        <v>2795</v>
      </c>
      <c r="H31" s="95">
        <v>5.5</v>
      </c>
      <c r="I31" s="96">
        <v>3067</v>
      </c>
      <c r="J31" s="95">
        <v>6.1</v>
      </c>
      <c r="K31" s="96">
        <v>6887</v>
      </c>
      <c r="L31" s="95">
        <v>13.6</v>
      </c>
      <c r="M31" s="96">
        <v>20744</v>
      </c>
      <c r="N31" s="95">
        <v>40.9</v>
      </c>
      <c r="O31" s="95" t="s">
        <v>65</v>
      </c>
      <c r="P31" s="95" t="s">
        <v>65</v>
      </c>
      <c r="Q31" s="96">
        <v>9768</v>
      </c>
      <c r="R31" s="95">
        <v>19.3</v>
      </c>
      <c r="S31" s="96">
        <v>50675</v>
      </c>
      <c r="T31" s="77">
        <v>100</v>
      </c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</row>
    <row r="32" spans="1:39" x14ac:dyDescent="0.3">
      <c r="A32" s="305"/>
      <c r="B32" s="95" t="s">
        <v>52</v>
      </c>
      <c r="C32" s="95">
        <v>23</v>
      </c>
      <c r="D32" s="95">
        <v>0.1</v>
      </c>
      <c r="E32" s="96">
        <v>26950</v>
      </c>
      <c r="F32" s="95">
        <v>65.599999999999994</v>
      </c>
      <c r="G32" s="95">
        <v>831</v>
      </c>
      <c r="H32" s="95">
        <v>2</v>
      </c>
      <c r="I32" s="96">
        <v>1761</v>
      </c>
      <c r="J32" s="95">
        <v>4.3</v>
      </c>
      <c r="K32" s="96">
        <v>9860</v>
      </c>
      <c r="L32" s="95">
        <v>24</v>
      </c>
      <c r="M32" s="95">
        <v>1634</v>
      </c>
      <c r="N32" s="95">
        <v>4</v>
      </c>
      <c r="O32" s="96">
        <v>2</v>
      </c>
      <c r="P32" s="95">
        <v>0</v>
      </c>
      <c r="Q32" s="95" t="s">
        <v>65</v>
      </c>
      <c r="R32" s="95" t="s">
        <v>65</v>
      </c>
      <c r="S32" s="96">
        <v>41061</v>
      </c>
      <c r="T32" s="77">
        <v>100</v>
      </c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</row>
    <row r="33" spans="1:39" x14ac:dyDescent="0.3">
      <c r="A33" s="305"/>
      <c r="B33" s="95" t="s">
        <v>41</v>
      </c>
      <c r="C33" s="95" t="s">
        <v>65</v>
      </c>
      <c r="D33" s="95" t="s">
        <v>65</v>
      </c>
      <c r="E33" s="95">
        <v>536</v>
      </c>
      <c r="F33" s="95">
        <v>2.2000000000000002</v>
      </c>
      <c r="G33" s="96">
        <v>23196</v>
      </c>
      <c r="H33" s="95">
        <v>97</v>
      </c>
      <c r="I33" s="95">
        <v>2</v>
      </c>
      <c r="J33" s="95">
        <v>0</v>
      </c>
      <c r="K33" s="95" t="s">
        <v>65</v>
      </c>
      <c r="L33" s="95" t="s">
        <v>65</v>
      </c>
      <c r="M33" s="95">
        <v>18</v>
      </c>
      <c r="N33" s="95">
        <v>0.1</v>
      </c>
      <c r="O33" s="95" t="s">
        <v>65</v>
      </c>
      <c r="P33" s="95" t="s">
        <v>65</v>
      </c>
      <c r="Q33" s="95">
        <v>152</v>
      </c>
      <c r="R33" s="95">
        <v>0.6</v>
      </c>
      <c r="S33" s="96">
        <v>23904</v>
      </c>
      <c r="T33" s="77">
        <v>100</v>
      </c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</row>
    <row r="34" spans="1:39" x14ac:dyDescent="0.3">
      <c r="A34" s="305"/>
      <c r="B34" s="95" t="s">
        <v>63</v>
      </c>
      <c r="C34" s="95" t="s">
        <v>65</v>
      </c>
      <c r="D34" s="95" t="s">
        <v>65</v>
      </c>
      <c r="E34" s="95">
        <v>890</v>
      </c>
      <c r="F34" s="95">
        <v>5.0999999999999996</v>
      </c>
      <c r="G34" s="95">
        <v>320</v>
      </c>
      <c r="H34" s="95">
        <v>1.9</v>
      </c>
      <c r="I34" s="95">
        <v>3</v>
      </c>
      <c r="J34" s="95">
        <v>0</v>
      </c>
      <c r="K34" s="95">
        <v>128</v>
      </c>
      <c r="L34" s="95">
        <v>0.7</v>
      </c>
      <c r="M34" s="96">
        <v>15172</v>
      </c>
      <c r="N34" s="95">
        <v>87.7</v>
      </c>
      <c r="O34" s="95" t="s">
        <v>65</v>
      </c>
      <c r="P34" s="95" t="s">
        <v>65</v>
      </c>
      <c r="Q34" s="95">
        <v>784</v>
      </c>
      <c r="R34" s="95">
        <v>4.5</v>
      </c>
      <c r="S34" s="96">
        <v>17296</v>
      </c>
      <c r="T34" s="77">
        <v>100</v>
      </c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</row>
    <row r="35" spans="1:39" x14ac:dyDescent="0.3">
      <c r="A35" s="305"/>
      <c r="B35" s="95" t="s">
        <v>48</v>
      </c>
      <c r="C35" s="96">
        <v>5743</v>
      </c>
      <c r="D35" s="95">
        <v>70.7</v>
      </c>
      <c r="E35" s="95">
        <v>90</v>
      </c>
      <c r="F35" s="95">
        <v>1.1000000000000001</v>
      </c>
      <c r="G35" s="95">
        <v>1219</v>
      </c>
      <c r="H35" s="95">
        <v>15</v>
      </c>
      <c r="I35" s="95">
        <v>11</v>
      </c>
      <c r="J35" s="95">
        <v>0.1</v>
      </c>
      <c r="K35" s="95">
        <v>19</v>
      </c>
      <c r="L35" s="95">
        <v>0.2</v>
      </c>
      <c r="M35" s="95">
        <v>491</v>
      </c>
      <c r="N35" s="95">
        <v>6</v>
      </c>
      <c r="O35" s="95">
        <v>434</v>
      </c>
      <c r="P35" s="95">
        <v>5.3</v>
      </c>
      <c r="Q35" s="95">
        <v>116</v>
      </c>
      <c r="R35" s="95">
        <v>1.4</v>
      </c>
      <c r="S35" s="96">
        <v>8124</v>
      </c>
      <c r="T35" s="77">
        <v>100</v>
      </c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</row>
    <row r="36" spans="1:39" x14ac:dyDescent="0.3">
      <c r="A36" s="305"/>
      <c r="B36" s="95" t="s">
        <v>253</v>
      </c>
      <c r="C36" s="96">
        <v>7025</v>
      </c>
      <c r="D36" s="95">
        <v>12.4</v>
      </c>
      <c r="E36" s="96">
        <v>20493</v>
      </c>
      <c r="F36" s="95">
        <v>36.200000000000003</v>
      </c>
      <c r="G36" s="96">
        <v>10351</v>
      </c>
      <c r="H36" s="95">
        <v>18.3</v>
      </c>
      <c r="I36" s="95">
        <v>850</v>
      </c>
      <c r="J36" s="95">
        <v>1.5</v>
      </c>
      <c r="K36" s="95">
        <v>1400</v>
      </c>
      <c r="L36" s="95">
        <v>2.5</v>
      </c>
      <c r="M36" s="96">
        <v>11291</v>
      </c>
      <c r="N36" s="95">
        <v>19.899999999999999</v>
      </c>
      <c r="O36" s="95">
        <v>149</v>
      </c>
      <c r="P36" s="95">
        <v>0.3</v>
      </c>
      <c r="Q36" s="96">
        <v>5075</v>
      </c>
      <c r="R36" s="95">
        <v>9</v>
      </c>
      <c r="S36" s="96">
        <v>56633</v>
      </c>
      <c r="T36" s="77">
        <v>100</v>
      </c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</row>
    <row r="37" spans="1:39" x14ac:dyDescent="0.3">
      <c r="A37" s="306"/>
      <c r="B37" s="97" t="s">
        <v>72</v>
      </c>
      <c r="C37" s="267">
        <v>13024</v>
      </c>
      <c r="D37" s="50">
        <v>4.5</v>
      </c>
      <c r="E37" s="267">
        <v>103737</v>
      </c>
      <c r="F37" s="50">
        <v>36.200000000000003</v>
      </c>
      <c r="G37" s="267">
        <v>69738</v>
      </c>
      <c r="H37" s="50">
        <v>24.3</v>
      </c>
      <c r="I37" s="267">
        <v>5889</v>
      </c>
      <c r="J37" s="50">
        <v>2.1</v>
      </c>
      <c r="K37" s="267">
        <v>18716</v>
      </c>
      <c r="L37" s="50">
        <v>6.5</v>
      </c>
      <c r="M37" s="267">
        <v>54924</v>
      </c>
      <c r="N37" s="50">
        <v>19.2</v>
      </c>
      <c r="O37" s="267">
        <v>626</v>
      </c>
      <c r="P37" s="50">
        <v>0.2</v>
      </c>
      <c r="Q37" s="267">
        <v>20128</v>
      </c>
      <c r="R37" s="50">
        <v>7</v>
      </c>
      <c r="S37" s="267">
        <v>286782</v>
      </c>
      <c r="T37" s="268">
        <v>100</v>
      </c>
      <c r="U37" s="266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</row>
    <row r="38" spans="1:39" x14ac:dyDescent="0.3">
      <c r="A38" s="305" t="s">
        <v>369</v>
      </c>
      <c r="B38" s="168" t="s">
        <v>40</v>
      </c>
      <c r="C38" s="269">
        <v>222</v>
      </c>
      <c r="D38" s="301">
        <v>0.2</v>
      </c>
      <c r="E38" s="269">
        <v>50068</v>
      </c>
      <c r="F38" s="301">
        <v>53.2</v>
      </c>
      <c r="G38" s="269">
        <v>32764</v>
      </c>
      <c r="H38" s="301">
        <v>34.799999999999997</v>
      </c>
      <c r="I38" s="269">
        <v>342</v>
      </c>
      <c r="J38" s="301">
        <v>0.4</v>
      </c>
      <c r="K38" s="269">
        <v>485</v>
      </c>
      <c r="L38" s="301">
        <v>0.5</v>
      </c>
      <c r="M38" s="269">
        <v>5801</v>
      </c>
      <c r="N38" s="301">
        <v>6.2</v>
      </c>
      <c r="O38" s="269">
        <v>63</v>
      </c>
      <c r="P38" s="301">
        <v>0.1</v>
      </c>
      <c r="Q38" s="269">
        <v>4400</v>
      </c>
      <c r="R38" s="301">
        <v>4.7</v>
      </c>
      <c r="S38" s="269">
        <v>94145</v>
      </c>
      <c r="T38" s="270">
        <v>100</v>
      </c>
      <c r="U38" s="266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</row>
    <row r="39" spans="1:39" x14ac:dyDescent="0.3">
      <c r="A39" s="305"/>
      <c r="B39" s="95" t="s">
        <v>57</v>
      </c>
      <c r="C39" s="250">
        <v>12</v>
      </c>
      <c r="D39" s="302">
        <v>0</v>
      </c>
      <c r="E39" s="250">
        <v>7391</v>
      </c>
      <c r="F39" s="302">
        <v>13.5</v>
      </c>
      <c r="G39" s="250">
        <v>3232</v>
      </c>
      <c r="H39" s="302">
        <v>5.9</v>
      </c>
      <c r="I39" s="250">
        <v>3630</v>
      </c>
      <c r="J39" s="302">
        <v>6.7</v>
      </c>
      <c r="K39" s="250">
        <v>8070</v>
      </c>
      <c r="L39" s="302">
        <v>14.8</v>
      </c>
      <c r="M39" s="250">
        <v>22296</v>
      </c>
      <c r="N39" s="302">
        <v>40.9</v>
      </c>
      <c r="O39" s="250" t="s">
        <v>65</v>
      </c>
      <c r="P39" s="302" t="s">
        <v>65</v>
      </c>
      <c r="Q39" s="250">
        <v>9945</v>
      </c>
      <c r="R39" s="302">
        <v>18.2</v>
      </c>
      <c r="S39" s="250">
        <v>54576</v>
      </c>
      <c r="T39" s="262">
        <v>100</v>
      </c>
      <c r="U39" s="266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</row>
    <row r="40" spans="1:39" x14ac:dyDescent="0.3">
      <c r="A40" s="305"/>
      <c r="B40" s="95" t="s">
        <v>52</v>
      </c>
      <c r="C40" s="250">
        <v>8</v>
      </c>
      <c r="D40" s="302">
        <v>0</v>
      </c>
      <c r="E40" s="250">
        <v>30644</v>
      </c>
      <c r="F40" s="302">
        <v>66.599999999999994</v>
      </c>
      <c r="G40" s="250">
        <v>742</v>
      </c>
      <c r="H40" s="302">
        <v>1.6</v>
      </c>
      <c r="I40" s="250">
        <v>3441</v>
      </c>
      <c r="J40" s="302">
        <v>7.5</v>
      </c>
      <c r="K40" s="250">
        <v>8719</v>
      </c>
      <c r="L40" s="302">
        <v>19</v>
      </c>
      <c r="M40" s="250">
        <v>2357</v>
      </c>
      <c r="N40" s="302">
        <v>5.0999999999999996</v>
      </c>
      <c r="O40" s="250" t="s">
        <v>65</v>
      </c>
      <c r="P40" s="302" t="s">
        <v>65</v>
      </c>
      <c r="Q40" s="250">
        <v>80</v>
      </c>
      <c r="R40" s="302">
        <v>0.2</v>
      </c>
      <c r="S40" s="250">
        <v>45992</v>
      </c>
      <c r="T40" s="262">
        <v>100</v>
      </c>
      <c r="U40" s="266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</row>
    <row r="41" spans="1:39" x14ac:dyDescent="0.3">
      <c r="A41" s="305"/>
      <c r="B41" s="95" t="s">
        <v>41</v>
      </c>
      <c r="C41" s="250" t="s">
        <v>65</v>
      </c>
      <c r="D41" s="302" t="s">
        <v>65</v>
      </c>
      <c r="E41" s="250">
        <v>925</v>
      </c>
      <c r="F41" s="302">
        <v>3.3</v>
      </c>
      <c r="G41" s="250">
        <v>26559</v>
      </c>
      <c r="H41" s="302">
        <v>94.2</v>
      </c>
      <c r="I41" s="250">
        <v>2</v>
      </c>
      <c r="J41" s="302">
        <v>0</v>
      </c>
      <c r="K41" s="250" t="s">
        <v>65</v>
      </c>
      <c r="L41" s="302" t="s">
        <v>65</v>
      </c>
      <c r="M41" s="250">
        <v>191</v>
      </c>
      <c r="N41" s="302">
        <v>0.7</v>
      </c>
      <c r="O41" s="250" t="s">
        <v>65</v>
      </c>
      <c r="P41" s="302" t="s">
        <v>65</v>
      </c>
      <c r="Q41" s="250">
        <v>521</v>
      </c>
      <c r="R41" s="302">
        <v>1.8</v>
      </c>
      <c r="S41" s="250">
        <v>28199</v>
      </c>
      <c r="T41" s="262">
        <v>100</v>
      </c>
      <c r="U41" s="266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</row>
    <row r="42" spans="1:39" x14ac:dyDescent="0.3">
      <c r="A42" s="305"/>
      <c r="B42" s="95" t="s">
        <v>63</v>
      </c>
      <c r="C42" s="250" t="s">
        <v>65</v>
      </c>
      <c r="D42" s="302" t="s">
        <v>65</v>
      </c>
      <c r="E42" s="250">
        <v>984</v>
      </c>
      <c r="F42" s="302">
        <v>5.4</v>
      </c>
      <c r="G42" s="250">
        <v>234</v>
      </c>
      <c r="H42" s="302">
        <v>1.3</v>
      </c>
      <c r="I42" s="250" t="s">
        <v>65</v>
      </c>
      <c r="J42" s="302" t="s">
        <v>65</v>
      </c>
      <c r="K42" s="250">
        <v>145</v>
      </c>
      <c r="L42" s="302">
        <v>0.8</v>
      </c>
      <c r="M42" s="250">
        <v>16189</v>
      </c>
      <c r="N42" s="302">
        <v>88.8</v>
      </c>
      <c r="O42" s="250" t="s">
        <v>65</v>
      </c>
      <c r="P42" s="302" t="s">
        <v>65</v>
      </c>
      <c r="Q42" s="250">
        <v>672</v>
      </c>
      <c r="R42" s="302">
        <v>3.7</v>
      </c>
      <c r="S42" s="250">
        <v>18224</v>
      </c>
      <c r="T42" s="262">
        <v>100</v>
      </c>
      <c r="U42" s="266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</row>
    <row r="43" spans="1:39" x14ac:dyDescent="0.3">
      <c r="A43" s="305"/>
      <c r="B43" s="95" t="s">
        <v>48</v>
      </c>
      <c r="C43" s="250">
        <v>6985</v>
      </c>
      <c r="D43" s="302">
        <v>79.599999999999994</v>
      </c>
      <c r="E43" s="250">
        <v>67</v>
      </c>
      <c r="F43" s="302">
        <v>0.8</v>
      </c>
      <c r="G43" s="250">
        <v>763</v>
      </c>
      <c r="H43" s="302">
        <v>8.6999999999999993</v>
      </c>
      <c r="I43" s="250">
        <v>1</v>
      </c>
      <c r="J43" s="302">
        <v>0</v>
      </c>
      <c r="K43" s="250">
        <v>13</v>
      </c>
      <c r="L43" s="302">
        <v>0.1</v>
      </c>
      <c r="M43" s="250">
        <v>295</v>
      </c>
      <c r="N43" s="302">
        <v>3.4</v>
      </c>
      <c r="O43" s="250">
        <v>565</v>
      </c>
      <c r="P43" s="302">
        <v>6.4</v>
      </c>
      <c r="Q43" s="250">
        <v>89</v>
      </c>
      <c r="R43" s="302">
        <v>1</v>
      </c>
      <c r="S43" s="250">
        <v>8777</v>
      </c>
      <c r="T43" s="262">
        <v>100</v>
      </c>
      <c r="U43" s="266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</row>
    <row r="44" spans="1:39" x14ac:dyDescent="0.3">
      <c r="A44" s="305"/>
      <c r="B44" s="95" t="s">
        <v>253</v>
      </c>
      <c r="C44" s="250">
        <v>7177</v>
      </c>
      <c r="D44" s="302">
        <v>12.9</v>
      </c>
      <c r="E44" s="250">
        <v>20781</v>
      </c>
      <c r="F44" s="302">
        <v>37.200000000000003</v>
      </c>
      <c r="G44" s="250">
        <v>9739</v>
      </c>
      <c r="H44" s="302">
        <v>17.399999999999999</v>
      </c>
      <c r="I44" s="250">
        <v>705</v>
      </c>
      <c r="J44" s="302">
        <v>1.3</v>
      </c>
      <c r="K44" s="250">
        <v>1112</v>
      </c>
      <c r="L44" s="302">
        <v>2</v>
      </c>
      <c r="M44" s="250">
        <v>11251</v>
      </c>
      <c r="N44" s="302">
        <v>20.2</v>
      </c>
      <c r="O44" s="250">
        <v>126</v>
      </c>
      <c r="P44" s="302">
        <v>0.2</v>
      </c>
      <c r="Q44" s="250">
        <v>4926</v>
      </c>
      <c r="R44" s="302">
        <v>8.8000000000000007</v>
      </c>
      <c r="S44" s="250">
        <v>55818</v>
      </c>
      <c r="T44" s="262">
        <v>100</v>
      </c>
      <c r="U44" s="266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</row>
    <row r="45" spans="1:39" x14ac:dyDescent="0.3">
      <c r="A45" s="306"/>
      <c r="B45" s="97" t="s">
        <v>72</v>
      </c>
      <c r="C45" s="251">
        <v>14404</v>
      </c>
      <c r="D45" s="303">
        <v>4.7</v>
      </c>
      <c r="E45" s="251">
        <v>110861</v>
      </c>
      <c r="F45" s="303">
        <v>36.299999999999997</v>
      </c>
      <c r="G45" s="251">
        <v>74033</v>
      </c>
      <c r="H45" s="303">
        <v>24.2</v>
      </c>
      <c r="I45" s="251">
        <v>8121</v>
      </c>
      <c r="J45" s="303">
        <v>2.7</v>
      </c>
      <c r="K45" s="251">
        <v>18545</v>
      </c>
      <c r="L45" s="303">
        <v>6.1</v>
      </c>
      <c r="M45" s="251">
        <v>58379</v>
      </c>
      <c r="N45" s="303">
        <v>19.100000000000001</v>
      </c>
      <c r="O45" s="251">
        <v>755</v>
      </c>
      <c r="P45" s="303">
        <v>0.2</v>
      </c>
      <c r="Q45" s="251">
        <v>20635</v>
      </c>
      <c r="R45" s="303">
        <v>6.7</v>
      </c>
      <c r="S45" s="251">
        <v>305731</v>
      </c>
      <c r="T45" s="264">
        <v>100</v>
      </c>
      <c r="U45" s="266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</row>
    <row r="46" spans="1:39" x14ac:dyDescent="0.3"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</row>
    <row r="47" spans="1:39" x14ac:dyDescent="0.3">
      <c r="A47" t="s">
        <v>94</v>
      </c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</row>
    <row r="48" spans="1:39" x14ac:dyDescent="0.3">
      <c r="A48" t="s">
        <v>815</v>
      </c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</row>
    <row r="49" spans="1:21" x14ac:dyDescent="0.3">
      <c r="A49" t="s">
        <v>96</v>
      </c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</row>
    <row r="50" spans="1:21" x14ac:dyDescent="0.3">
      <c r="A50" t="s">
        <v>97</v>
      </c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</row>
  </sheetData>
  <mergeCells count="16">
    <mergeCell ref="M4:N4"/>
    <mergeCell ref="O4:P4"/>
    <mergeCell ref="Q4:R4"/>
    <mergeCell ref="S4:T4"/>
    <mergeCell ref="A6:A13"/>
    <mergeCell ref="A4:A5"/>
    <mergeCell ref="B4:B5"/>
    <mergeCell ref="C4:D4"/>
    <mergeCell ref="E4:F4"/>
    <mergeCell ref="G4:H4"/>
    <mergeCell ref="I4:J4"/>
    <mergeCell ref="A14:A21"/>
    <mergeCell ref="A22:A29"/>
    <mergeCell ref="A30:A37"/>
    <mergeCell ref="A38:A45"/>
    <mergeCell ref="K4:L4"/>
  </mergeCells>
  <phoneticPr fontId="1" type="noConversion"/>
  <hyperlinks>
    <hyperlink ref="H1" location="목차!A1" display="목차" xr:uid="{04913EE0-81C5-4B8F-AB92-ED91F7B92976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4E5E-32DC-4BC1-9099-3F0D5C0FA8EB}">
  <sheetPr>
    <tabColor theme="1" tint="0.499984740745262"/>
  </sheetPr>
  <dimension ref="A1:Y205"/>
  <sheetViews>
    <sheetView topLeftCell="A118" zoomScale="55" zoomScaleNormal="55" workbookViewId="0">
      <selection activeCell="A205" sqref="A205"/>
    </sheetView>
  </sheetViews>
  <sheetFormatPr defaultRowHeight="16.5" x14ac:dyDescent="0.3"/>
  <cols>
    <col min="2" max="2" width="17.875" customWidth="1"/>
  </cols>
  <sheetData>
    <row r="1" spans="1:25" ht="17.25" x14ac:dyDescent="0.3">
      <c r="A1" s="7" t="s">
        <v>1104</v>
      </c>
      <c r="B1" s="2"/>
      <c r="C1" s="2"/>
      <c r="D1" s="2"/>
      <c r="E1" s="2"/>
      <c r="F1" s="2"/>
      <c r="H1" s="72" t="s">
        <v>367</v>
      </c>
    </row>
    <row r="3" spans="1:25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3" t="s">
        <v>87</v>
      </c>
    </row>
    <row r="4" spans="1:25" ht="17.25" thickBot="1" x14ac:dyDescent="0.35">
      <c r="A4" s="312" t="s">
        <v>0</v>
      </c>
      <c r="B4" s="313"/>
      <c r="C4" s="318" t="s">
        <v>8</v>
      </c>
      <c r="D4" s="320"/>
      <c r="E4" s="318" t="s">
        <v>9</v>
      </c>
      <c r="F4" s="320"/>
      <c r="G4" s="318" t="s">
        <v>370</v>
      </c>
      <c r="H4" s="320"/>
      <c r="I4" s="318" t="s">
        <v>369</v>
      </c>
      <c r="J4" s="320"/>
      <c r="K4" s="318" t="s">
        <v>402</v>
      </c>
      <c r="L4" s="320"/>
      <c r="M4" s="318" t="s">
        <v>32</v>
      </c>
      <c r="N4" s="319"/>
    </row>
    <row r="5" spans="1:25" ht="17.25" thickTop="1" x14ac:dyDescent="0.3">
      <c r="A5" s="312"/>
      <c r="B5" s="313"/>
      <c r="C5" s="173" t="s">
        <v>77</v>
      </c>
      <c r="D5" s="173" t="s">
        <v>36</v>
      </c>
      <c r="E5" s="173" t="s">
        <v>77</v>
      </c>
      <c r="F5" s="173" t="s">
        <v>36</v>
      </c>
      <c r="G5" s="173" t="s">
        <v>73</v>
      </c>
      <c r="H5" s="173" t="s">
        <v>36</v>
      </c>
      <c r="I5" s="173" t="s">
        <v>74</v>
      </c>
      <c r="J5" s="173" t="s">
        <v>36</v>
      </c>
      <c r="K5" s="173" t="s">
        <v>74</v>
      </c>
      <c r="L5" s="173" t="s">
        <v>36</v>
      </c>
      <c r="M5" s="173" t="s">
        <v>37</v>
      </c>
      <c r="N5" s="174" t="s">
        <v>38</v>
      </c>
    </row>
    <row r="6" spans="1:25" x14ac:dyDescent="0.3">
      <c r="A6" s="305" t="s">
        <v>792</v>
      </c>
      <c r="B6" s="169" t="s">
        <v>78</v>
      </c>
      <c r="C6" s="169">
        <v>218</v>
      </c>
      <c r="D6" s="169">
        <v>0.3</v>
      </c>
      <c r="E6" s="169">
        <v>200</v>
      </c>
      <c r="F6" s="169">
        <v>0.3</v>
      </c>
      <c r="G6" s="169">
        <v>219</v>
      </c>
      <c r="H6" s="169">
        <v>0.3</v>
      </c>
      <c r="I6" s="169">
        <v>225</v>
      </c>
      <c r="J6" s="169">
        <v>0.3</v>
      </c>
      <c r="K6" s="201">
        <v>222</v>
      </c>
      <c r="L6" s="201">
        <v>0.2</v>
      </c>
      <c r="M6" s="201" t="s">
        <v>822</v>
      </c>
      <c r="N6" s="203" t="s">
        <v>1105</v>
      </c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x14ac:dyDescent="0.3">
      <c r="A7" s="305"/>
      <c r="B7" s="95" t="s">
        <v>79</v>
      </c>
      <c r="C7" s="96">
        <v>42166</v>
      </c>
      <c r="D7" s="95">
        <v>60.4</v>
      </c>
      <c r="E7" s="96">
        <v>44130</v>
      </c>
      <c r="F7" s="95">
        <v>57.2</v>
      </c>
      <c r="G7" s="96">
        <v>45123</v>
      </c>
      <c r="H7" s="95">
        <v>54.1</v>
      </c>
      <c r="I7" s="96">
        <v>47372</v>
      </c>
      <c r="J7" s="95">
        <v>53.2</v>
      </c>
      <c r="K7" s="204">
        <v>50068</v>
      </c>
      <c r="L7" s="204">
        <v>53.2</v>
      </c>
      <c r="M7" s="204">
        <v>2696</v>
      </c>
      <c r="N7" s="206">
        <v>5.7</v>
      </c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</row>
    <row r="8" spans="1:25" x14ac:dyDescent="0.3">
      <c r="A8" s="305"/>
      <c r="B8" s="95" t="s">
        <v>80</v>
      </c>
      <c r="C8" s="96">
        <v>21178</v>
      </c>
      <c r="D8" s="95">
        <v>30.3</v>
      </c>
      <c r="E8" s="96">
        <v>24323</v>
      </c>
      <c r="F8" s="95">
        <v>31.5</v>
      </c>
      <c r="G8" s="96">
        <v>27846</v>
      </c>
      <c r="H8" s="95">
        <v>33.4</v>
      </c>
      <c r="I8" s="96">
        <v>31026</v>
      </c>
      <c r="J8" s="95">
        <v>34.799999999999997</v>
      </c>
      <c r="K8" s="204">
        <v>32764</v>
      </c>
      <c r="L8" s="204">
        <v>34.799999999999997</v>
      </c>
      <c r="M8" s="204">
        <v>1738</v>
      </c>
      <c r="N8" s="206">
        <v>5.6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 spans="1:25" x14ac:dyDescent="0.3">
      <c r="A9" s="305"/>
      <c r="B9" s="95" t="s">
        <v>81</v>
      </c>
      <c r="C9" s="95">
        <v>326</v>
      </c>
      <c r="D9" s="95">
        <v>0.5</v>
      </c>
      <c r="E9" s="95">
        <v>310</v>
      </c>
      <c r="F9" s="95">
        <v>0.4</v>
      </c>
      <c r="G9" s="95">
        <v>175</v>
      </c>
      <c r="H9" s="95">
        <v>0.2</v>
      </c>
      <c r="I9" s="95">
        <v>195</v>
      </c>
      <c r="J9" s="95">
        <v>0.2</v>
      </c>
      <c r="K9" s="204">
        <v>342</v>
      </c>
      <c r="L9" s="204">
        <v>0.4</v>
      </c>
      <c r="M9" s="204">
        <v>147</v>
      </c>
      <c r="N9" s="206">
        <v>75.3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</row>
    <row r="10" spans="1:25" x14ac:dyDescent="0.3">
      <c r="A10" s="305"/>
      <c r="B10" s="95" t="s">
        <v>82</v>
      </c>
      <c r="C10" s="95">
        <v>420</v>
      </c>
      <c r="D10" s="95">
        <v>0.6</v>
      </c>
      <c r="E10" s="95">
        <v>686</v>
      </c>
      <c r="F10" s="95">
        <v>0.9</v>
      </c>
      <c r="G10" s="95">
        <v>395</v>
      </c>
      <c r="H10" s="95">
        <v>0.5</v>
      </c>
      <c r="I10" s="95">
        <v>422</v>
      </c>
      <c r="J10" s="95">
        <v>0.5</v>
      </c>
      <c r="K10" s="204">
        <v>485</v>
      </c>
      <c r="L10" s="204">
        <v>0.5</v>
      </c>
      <c r="M10" s="204">
        <v>63</v>
      </c>
      <c r="N10" s="206">
        <v>15</v>
      </c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spans="1:25" x14ac:dyDescent="0.3">
      <c r="A11" s="305"/>
      <c r="B11" s="95" t="s">
        <v>83</v>
      </c>
      <c r="C11" s="96">
        <v>2634</v>
      </c>
      <c r="D11" s="95">
        <v>3.8</v>
      </c>
      <c r="E11" s="96">
        <v>3747</v>
      </c>
      <c r="F11" s="95">
        <v>4.9000000000000004</v>
      </c>
      <c r="G11" s="96">
        <v>4944</v>
      </c>
      <c r="H11" s="95">
        <v>5.9</v>
      </c>
      <c r="I11" s="96">
        <v>5574</v>
      </c>
      <c r="J11" s="95">
        <v>6.3</v>
      </c>
      <c r="K11" s="204">
        <v>5801</v>
      </c>
      <c r="L11" s="204">
        <v>6.2</v>
      </c>
      <c r="M11" s="204">
        <v>227</v>
      </c>
      <c r="N11" s="206">
        <v>4.0999999999999996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spans="1:25" x14ac:dyDescent="0.3">
      <c r="A12" s="305"/>
      <c r="B12" s="95" t="s">
        <v>84</v>
      </c>
      <c r="C12" s="95">
        <v>52</v>
      </c>
      <c r="D12" s="95">
        <v>0.1</v>
      </c>
      <c r="E12" s="95">
        <v>30</v>
      </c>
      <c r="F12" s="95">
        <v>0</v>
      </c>
      <c r="G12" s="95">
        <v>33</v>
      </c>
      <c r="H12" s="95">
        <v>0</v>
      </c>
      <c r="I12" s="95">
        <v>41</v>
      </c>
      <c r="J12" s="95">
        <v>0</v>
      </c>
      <c r="K12" s="204">
        <v>63</v>
      </c>
      <c r="L12" s="204">
        <v>0.1</v>
      </c>
      <c r="M12" s="204">
        <v>22</v>
      </c>
      <c r="N12" s="206">
        <v>54.9</v>
      </c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</row>
    <row r="13" spans="1:25" x14ac:dyDescent="0.3">
      <c r="A13" s="305"/>
      <c r="B13" s="95" t="s">
        <v>85</v>
      </c>
      <c r="C13" s="96">
        <v>2856</v>
      </c>
      <c r="D13" s="95">
        <v>4.0999999999999996</v>
      </c>
      <c r="E13" s="96">
        <v>3713</v>
      </c>
      <c r="F13" s="95">
        <v>4.8</v>
      </c>
      <c r="G13" s="96">
        <v>4738</v>
      </c>
      <c r="H13" s="95">
        <v>5.7</v>
      </c>
      <c r="I13" s="96">
        <v>4234</v>
      </c>
      <c r="J13" s="95">
        <v>4.8</v>
      </c>
      <c r="K13" s="204">
        <v>4400</v>
      </c>
      <c r="L13" s="204">
        <v>4.7</v>
      </c>
      <c r="M13" s="204">
        <v>166</v>
      </c>
      <c r="N13" s="206">
        <v>3.9</v>
      </c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spans="1:25" x14ac:dyDescent="0.3">
      <c r="A14" s="306"/>
      <c r="B14" s="97" t="s">
        <v>110</v>
      </c>
      <c r="C14" s="98">
        <v>69851</v>
      </c>
      <c r="D14" s="97">
        <v>100</v>
      </c>
      <c r="E14" s="98">
        <v>77137</v>
      </c>
      <c r="F14" s="97">
        <v>100</v>
      </c>
      <c r="G14" s="98">
        <v>83472</v>
      </c>
      <c r="H14" s="97">
        <v>100</v>
      </c>
      <c r="I14" s="98">
        <v>89089</v>
      </c>
      <c r="J14" s="97">
        <v>100</v>
      </c>
      <c r="K14" s="207">
        <v>94145</v>
      </c>
      <c r="L14" s="207">
        <v>100</v>
      </c>
      <c r="M14" s="207">
        <v>5057</v>
      </c>
      <c r="N14" s="209">
        <v>5.7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</row>
    <row r="15" spans="1:25" x14ac:dyDescent="0.3">
      <c r="A15" s="304" t="s">
        <v>41</v>
      </c>
      <c r="B15" s="95" t="s">
        <v>78</v>
      </c>
      <c r="C15" s="95">
        <v>6</v>
      </c>
      <c r="D15" s="95">
        <v>0</v>
      </c>
      <c r="E15" s="95">
        <v>4</v>
      </c>
      <c r="F15" s="95">
        <v>0</v>
      </c>
      <c r="G15" s="95">
        <v>1</v>
      </c>
      <c r="H15" s="95">
        <v>0</v>
      </c>
      <c r="I15" s="95" t="s">
        <v>65</v>
      </c>
      <c r="J15" s="95" t="s">
        <v>65</v>
      </c>
      <c r="K15" s="204">
        <v>0</v>
      </c>
      <c r="L15" s="204">
        <v>0</v>
      </c>
      <c r="M15" s="204">
        <v>0</v>
      </c>
      <c r="N15" s="204" t="s">
        <v>65</v>
      </c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 spans="1:25" x14ac:dyDescent="0.3">
      <c r="A16" s="305"/>
      <c r="B16" s="95" t="s">
        <v>79</v>
      </c>
      <c r="C16" s="95">
        <v>1048</v>
      </c>
      <c r="D16" s="95">
        <v>5.5</v>
      </c>
      <c r="E16" s="96">
        <v>1161</v>
      </c>
      <c r="F16" s="95">
        <v>5.4</v>
      </c>
      <c r="G16" s="96">
        <v>997</v>
      </c>
      <c r="H16" s="95">
        <v>4.3</v>
      </c>
      <c r="I16" s="95">
        <v>536</v>
      </c>
      <c r="J16" s="95">
        <v>2.2000000000000002</v>
      </c>
      <c r="K16" s="204">
        <v>925</v>
      </c>
      <c r="L16" s="204">
        <v>3.3</v>
      </c>
      <c r="M16" s="204">
        <v>389</v>
      </c>
      <c r="N16" s="206">
        <v>72.5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</row>
    <row r="17" spans="1:25" x14ac:dyDescent="0.3">
      <c r="A17" s="305"/>
      <c r="B17" s="95" t="s">
        <v>80</v>
      </c>
      <c r="C17" s="96">
        <v>17834</v>
      </c>
      <c r="D17" s="95">
        <v>93.4</v>
      </c>
      <c r="E17" s="96">
        <v>20343</v>
      </c>
      <c r="F17" s="95">
        <v>94</v>
      </c>
      <c r="G17" s="96">
        <v>21670</v>
      </c>
      <c r="H17" s="95">
        <v>94</v>
      </c>
      <c r="I17" s="96">
        <v>23196</v>
      </c>
      <c r="J17" s="95">
        <v>97</v>
      </c>
      <c r="K17" s="204">
        <v>26559</v>
      </c>
      <c r="L17" s="204">
        <v>94.2</v>
      </c>
      <c r="M17" s="204">
        <v>3363</v>
      </c>
      <c r="N17" s="206">
        <v>14.5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</row>
    <row r="18" spans="1:25" x14ac:dyDescent="0.3">
      <c r="A18" s="305"/>
      <c r="B18" s="95" t="s">
        <v>81</v>
      </c>
      <c r="C18" s="95">
        <v>0</v>
      </c>
      <c r="D18" s="95">
        <v>0</v>
      </c>
      <c r="E18" s="95" t="s">
        <v>65</v>
      </c>
      <c r="F18" s="95" t="s">
        <v>65</v>
      </c>
      <c r="G18" s="95" t="s">
        <v>65</v>
      </c>
      <c r="H18" s="95" t="s">
        <v>65</v>
      </c>
      <c r="I18" s="95">
        <v>2</v>
      </c>
      <c r="J18" s="95">
        <v>0</v>
      </c>
      <c r="K18" s="204">
        <v>2</v>
      </c>
      <c r="L18" s="204">
        <v>0</v>
      </c>
      <c r="M18" s="204">
        <v>0</v>
      </c>
      <c r="N18" s="204">
        <v>18.3</v>
      </c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spans="1:25" x14ac:dyDescent="0.3">
      <c r="A19" s="305"/>
      <c r="B19" s="95" t="s">
        <v>82</v>
      </c>
      <c r="C19" s="95">
        <v>0</v>
      </c>
      <c r="D19" s="95">
        <v>0</v>
      </c>
      <c r="E19" s="95">
        <v>0</v>
      </c>
      <c r="F19" s="95">
        <v>0</v>
      </c>
      <c r="G19" s="95" t="s">
        <v>65</v>
      </c>
      <c r="H19" s="95" t="s">
        <v>65</v>
      </c>
      <c r="I19" s="95" t="s">
        <v>65</v>
      </c>
      <c r="J19" s="95" t="s">
        <v>65</v>
      </c>
      <c r="K19" s="204">
        <v>0</v>
      </c>
      <c r="L19" s="204">
        <v>0</v>
      </c>
      <c r="M19" s="204">
        <v>0</v>
      </c>
      <c r="N19" s="204" t="s">
        <v>65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spans="1:25" x14ac:dyDescent="0.3">
      <c r="A20" s="305"/>
      <c r="B20" s="95" t="s">
        <v>83</v>
      </c>
      <c r="C20" s="95">
        <v>28</v>
      </c>
      <c r="D20" s="95">
        <v>0.1</v>
      </c>
      <c r="E20" s="95">
        <v>22</v>
      </c>
      <c r="F20" s="95">
        <v>0.1</v>
      </c>
      <c r="G20" s="95">
        <v>16</v>
      </c>
      <c r="H20" s="95">
        <v>0.1</v>
      </c>
      <c r="I20" s="95">
        <v>18</v>
      </c>
      <c r="J20" s="95">
        <v>0.1</v>
      </c>
      <c r="K20" s="204">
        <v>191</v>
      </c>
      <c r="L20" s="204">
        <v>0.7</v>
      </c>
      <c r="M20" s="204">
        <v>173</v>
      </c>
      <c r="N20" s="206">
        <v>962</v>
      </c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spans="1:25" x14ac:dyDescent="0.3">
      <c r="A21" s="305"/>
      <c r="B21" s="95" t="s">
        <v>84</v>
      </c>
      <c r="C21" s="95" t="s">
        <v>65</v>
      </c>
      <c r="D21" s="95" t="s">
        <v>65</v>
      </c>
      <c r="E21" s="95" t="s">
        <v>65</v>
      </c>
      <c r="F21" s="95" t="s">
        <v>65</v>
      </c>
      <c r="G21" s="95" t="s">
        <v>65</v>
      </c>
      <c r="H21" s="95" t="s">
        <v>65</v>
      </c>
      <c r="I21" s="95" t="s">
        <v>65</v>
      </c>
      <c r="J21" s="95" t="s">
        <v>65</v>
      </c>
      <c r="K21" s="204">
        <v>0</v>
      </c>
      <c r="L21" s="204">
        <v>0</v>
      </c>
      <c r="M21" s="204">
        <v>0</v>
      </c>
      <c r="N21" s="204" t="s">
        <v>65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spans="1:25" x14ac:dyDescent="0.3">
      <c r="A22" s="305"/>
      <c r="B22" s="95" t="s">
        <v>85</v>
      </c>
      <c r="C22" s="95">
        <v>173</v>
      </c>
      <c r="D22" s="95">
        <v>0.9</v>
      </c>
      <c r="E22" s="95">
        <v>115</v>
      </c>
      <c r="F22" s="95">
        <v>0.5</v>
      </c>
      <c r="G22" s="95">
        <v>374</v>
      </c>
      <c r="H22" s="95">
        <v>1.6</v>
      </c>
      <c r="I22" s="95">
        <v>152</v>
      </c>
      <c r="J22" s="95">
        <v>0.6</v>
      </c>
      <c r="K22" s="204">
        <v>521</v>
      </c>
      <c r="L22" s="204">
        <v>1.8</v>
      </c>
      <c r="M22" s="204">
        <v>369</v>
      </c>
      <c r="N22" s="206">
        <v>243.3</v>
      </c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 spans="1:25" x14ac:dyDescent="0.3">
      <c r="A23" s="306"/>
      <c r="B23" s="97" t="s">
        <v>110</v>
      </c>
      <c r="C23" s="98">
        <v>19089</v>
      </c>
      <c r="D23" s="97">
        <v>100</v>
      </c>
      <c r="E23" s="98">
        <v>21646</v>
      </c>
      <c r="F23" s="97">
        <v>100</v>
      </c>
      <c r="G23" s="98">
        <v>23058</v>
      </c>
      <c r="H23" s="97">
        <v>100</v>
      </c>
      <c r="I23" s="98">
        <v>23904</v>
      </c>
      <c r="J23" s="97">
        <v>100</v>
      </c>
      <c r="K23" s="207">
        <v>28199</v>
      </c>
      <c r="L23" s="207">
        <v>100</v>
      </c>
      <c r="M23" s="207">
        <v>4295</v>
      </c>
      <c r="N23" s="209">
        <v>18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</row>
    <row r="24" spans="1:25" x14ac:dyDescent="0.3">
      <c r="A24" s="304" t="s">
        <v>793</v>
      </c>
      <c r="B24" s="95" t="s">
        <v>78</v>
      </c>
      <c r="C24" s="95" t="s">
        <v>65</v>
      </c>
      <c r="D24" s="95" t="s">
        <v>65</v>
      </c>
      <c r="E24" s="95" t="s">
        <v>65</v>
      </c>
      <c r="F24" s="95" t="s">
        <v>65</v>
      </c>
      <c r="G24" s="95" t="s">
        <v>65</v>
      </c>
      <c r="H24" s="95" t="s">
        <v>65</v>
      </c>
      <c r="I24" s="95" t="s">
        <v>65</v>
      </c>
      <c r="J24" s="95" t="s">
        <v>65</v>
      </c>
      <c r="K24" s="204">
        <v>0</v>
      </c>
      <c r="L24" s="204">
        <v>0</v>
      </c>
      <c r="M24" s="204">
        <v>0</v>
      </c>
      <c r="N24" s="204" t="s">
        <v>65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 spans="1:25" x14ac:dyDescent="0.3">
      <c r="A25" s="305"/>
      <c r="B25" s="95" t="s">
        <v>79</v>
      </c>
      <c r="C25" s="96">
        <v>5194</v>
      </c>
      <c r="D25" s="95">
        <v>99.9</v>
      </c>
      <c r="E25" s="96">
        <v>5164</v>
      </c>
      <c r="F25" s="95">
        <v>100</v>
      </c>
      <c r="G25" s="96">
        <v>5416</v>
      </c>
      <c r="H25" s="95">
        <v>99.8</v>
      </c>
      <c r="I25" s="96">
        <v>5571</v>
      </c>
      <c r="J25" s="95">
        <v>100</v>
      </c>
      <c r="K25" s="204">
        <v>5439</v>
      </c>
      <c r="L25" s="204">
        <v>100</v>
      </c>
      <c r="M25" s="204" t="s">
        <v>1106</v>
      </c>
      <c r="N25" s="206" t="s">
        <v>376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 spans="1:25" x14ac:dyDescent="0.3">
      <c r="A26" s="305"/>
      <c r="B26" s="95" t="s">
        <v>80</v>
      </c>
      <c r="C26" s="95">
        <v>6</v>
      </c>
      <c r="D26" s="95">
        <v>0.1</v>
      </c>
      <c r="E26" s="95">
        <v>1</v>
      </c>
      <c r="F26" s="95">
        <v>0</v>
      </c>
      <c r="G26" s="95">
        <v>8</v>
      </c>
      <c r="H26" s="95">
        <v>0.2</v>
      </c>
      <c r="I26" s="95" t="s">
        <v>65</v>
      </c>
      <c r="J26" s="95" t="s">
        <v>65</v>
      </c>
      <c r="K26" s="204">
        <v>0</v>
      </c>
      <c r="L26" s="204">
        <v>0</v>
      </c>
      <c r="M26" s="204">
        <v>0</v>
      </c>
      <c r="N26" s="204" t="s">
        <v>65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 spans="1:25" x14ac:dyDescent="0.3">
      <c r="A27" s="305"/>
      <c r="B27" s="95" t="s">
        <v>81</v>
      </c>
      <c r="C27" s="95" t="s">
        <v>65</v>
      </c>
      <c r="D27" s="95" t="s">
        <v>65</v>
      </c>
      <c r="E27" s="95" t="s">
        <v>65</v>
      </c>
      <c r="F27" s="95" t="s">
        <v>65</v>
      </c>
      <c r="G27" s="95" t="s">
        <v>65</v>
      </c>
      <c r="H27" s="95" t="s">
        <v>65</v>
      </c>
      <c r="I27" s="95" t="s">
        <v>65</v>
      </c>
      <c r="J27" s="95" t="s">
        <v>65</v>
      </c>
      <c r="K27" s="204">
        <v>0</v>
      </c>
      <c r="L27" s="204">
        <v>0</v>
      </c>
      <c r="M27" s="204">
        <v>0</v>
      </c>
      <c r="N27" s="204" t="s">
        <v>65</v>
      </c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</row>
    <row r="28" spans="1:25" x14ac:dyDescent="0.3">
      <c r="A28" s="305"/>
      <c r="B28" s="95" t="s">
        <v>82</v>
      </c>
      <c r="C28" s="95" t="s">
        <v>65</v>
      </c>
      <c r="D28" s="95" t="s">
        <v>65</v>
      </c>
      <c r="E28" s="95" t="s">
        <v>65</v>
      </c>
      <c r="F28" s="95" t="s">
        <v>65</v>
      </c>
      <c r="G28" s="95" t="s">
        <v>65</v>
      </c>
      <c r="H28" s="95" t="s">
        <v>65</v>
      </c>
      <c r="I28" s="95" t="s">
        <v>65</v>
      </c>
      <c r="J28" s="95" t="s">
        <v>65</v>
      </c>
      <c r="K28" s="204">
        <v>0</v>
      </c>
      <c r="L28" s="204">
        <v>0</v>
      </c>
      <c r="M28" s="204">
        <v>0</v>
      </c>
      <c r="N28" s="204" t="s">
        <v>65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</row>
    <row r="29" spans="1:25" x14ac:dyDescent="0.3">
      <c r="A29" s="305"/>
      <c r="B29" s="95" t="s">
        <v>83</v>
      </c>
      <c r="C29" s="95" t="s">
        <v>65</v>
      </c>
      <c r="D29" s="95" t="s">
        <v>65</v>
      </c>
      <c r="E29" s="95" t="s">
        <v>65</v>
      </c>
      <c r="F29" s="95" t="s">
        <v>65</v>
      </c>
      <c r="G29" s="95" t="s">
        <v>65</v>
      </c>
      <c r="H29" s="95" t="s">
        <v>65</v>
      </c>
      <c r="I29" s="95" t="s">
        <v>65</v>
      </c>
      <c r="J29" s="95" t="s">
        <v>65</v>
      </c>
      <c r="K29" s="204">
        <v>0</v>
      </c>
      <c r="L29" s="204">
        <v>0</v>
      </c>
      <c r="M29" s="204">
        <v>0</v>
      </c>
      <c r="N29" s="204" t="s">
        <v>65</v>
      </c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</row>
    <row r="30" spans="1:25" x14ac:dyDescent="0.3">
      <c r="A30" s="305"/>
      <c r="B30" s="95" t="s">
        <v>84</v>
      </c>
      <c r="C30" s="95" t="s">
        <v>65</v>
      </c>
      <c r="D30" s="95" t="s">
        <v>65</v>
      </c>
      <c r="E30" s="95" t="s">
        <v>65</v>
      </c>
      <c r="F30" s="95" t="s">
        <v>65</v>
      </c>
      <c r="G30" s="95" t="s">
        <v>65</v>
      </c>
      <c r="H30" s="95" t="s">
        <v>65</v>
      </c>
      <c r="I30" s="95" t="s">
        <v>65</v>
      </c>
      <c r="J30" s="95" t="s">
        <v>65</v>
      </c>
      <c r="K30" s="204">
        <v>0</v>
      </c>
      <c r="L30" s="204">
        <v>0</v>
      </c>
      <c r="M30" s="204">
        <v>0</v>
      </c>
      <c r="N30" s="204" t="s">
        <v>65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spans="1:25" x14ac:dyDescent="0.3">
      <c r="A31" s="305"/>
      <c r="B31" s="95" t="s">
        <v>85</v>
      </c>
      <c r="C31" s="95">
        <v>1</v>
      </c>
      <c r="D31" s="95">
        <v>0</v>
      </c>
      <c r="E31" s="95" t="s">
        <v>65</v>
      </c>
      <c r="F31" s="95" t="s">
        <v>65</v>
      </c>
      <c r="G31" s="95" t="s">
        <v>65</v>
      </c>
      <c r="H31" s="95" t="s">
        <v>65</v>
      </c>
      <c r="I31" s="95" t="s">
        <v>65</v>
      </c>
      <c r="J31" s="95" t="s">
        <v>65</v>
      </c>
      <c r="K31" s="204">
        <v>0</v>
      </c>
      <c r="L31" s="204">
        <v>0</v>
      </c>
      <c r="M31" s="204">
        <v>0</v>
      </c>
      <c r="N31" s="204" t="s">
        <v>65</v>
      </c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 spans="1:25" x14ac:dyDescent="0.3">
      <c r="A32" s="306"/>
      <c r="B32" s="97" t="s">
        <v>110</v>
      </c>
      <c r="C32" s="98">
        <v>5201</v>
      </c>
      <c r="D32" s="97">
        <v>100</v>
      </c>
      <c r="E32" s="98">
        <v>5165</v>
      </c>
      <c r="F32" s="97">
        <v>100</v>
      </c>
      <c r="G32" s="98">
        <v>5424</v>
      </c>
      <c r="H32" s="97">
        <v>100</v>
      </c>
      <c r="I32" s="98">
        <v>5571</v>
      </c>
      <c r="J32" s="97">
        <v>100</v>
      </c>
      <c r="K32" s="207">
        <v>5439</v>
      </c>
      <c r="L32" s="207">
        <v>100</v>
      </c>
      <c r="M32" s="207" t="s">
        <v>1106</v>
      </c>
      <c r="N32" s="209" t="s">
        <v>376</v>
      </c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 spans="1:25" x14ac:dyDescent="0.3">
      <c r="A33" s="304" t="s">
        <v>43</v>
      </c>
      <c r="B33" s="95" t="s">
        <v>78</v>
      </c>
      <c r="C33" s="95" t="s">
        <v>65</v>
      </c>
      <c r="D33" s="95" t="s">
        <v>65</v>
      </c>
      <c r="E33" s="95" t="s">
        <v>65</v>
      </c>
      <c r="F33" s="95" t="s">
        <v>65</v>
      </c>
      <c r="G33" s="95" t="s">
        <v>65</v>
      </c>
      <c r="H33" s="95" t="s">
        <v>65</v>
      </c>
      <c r="I33" s="95" t="s">
        <v>65</v>
      </c>
      <c r="J33" s="95" t="s">
        <v>65</v>
      </c>
      <c r="K33" s="204">
        <v>0</v>
      </c>
      <c r="L33" s="204">
        <v>0</v>
      </c>
      <c r="M33" s="204">
        <v>0</v>
      </c>
      <c r="N33" s="204" t="s">
        <v>65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 spans="1:25" x14ac:dyDescent="0.3">
      <c r="A34" s="305"/>
      <c r="B34" s="95" t="s">
        <v>79</v>
      </c>
      <c r="C34" s="95">
        <v>442</v>
      </c>
      <c r="D34" s="95">
        <v>88.1</v>
      </c>
      <c r="E34" s="95">
        <v>478</v>
      </c>
      <c r="F34" s="95">
        <v>90.4</v>
      </c>
      <c r="G34" s="95">
        <v>500</v>
      </c>
      <c r="H34" s="95">
        <v>92.3</v>
      </c>
      <c r="I34" s="95">
        <v>565</v>
      </c>
      <c r="J34" s="95">
        <v>85.4</v>
      </c>
      <c r="K34" s="204">
        <v>700</v>
      </c>
      <c r="L34" s="204">
        <v>86.9</v>
      </c>
      <c r="M34" s="204">
        <v>135</v>
      </c>
      <c r="N34" s="206">
        <v>23.9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 spans="1:25" x14ac:dyDescent="0.3">
      <c r="A35" s="305"/>
      <c r="B35" s="95" t="s">
        <v>80</v>
      </c>
      <c r="C35" s="95">
        <v>3</v>
      </c>
      <c r="D35" s="95">
        <v>0.6</v>
      </c>
      <c r="E35" s="95">
        <v>2</v>
      </c>
      <c r="F35" s="95">
        <v>0.3</v>
      </c>
      <c r="G35" s="95">
        <v>2</v>
      </c>
      <c r="H35" s="95">
        <v>0.4</v>
      </c>
      <c r="I35" s="95">
        <v>14</v>
      </c>
      <c r="J35" s="95">
        <v>2.1</v>
      </c>
      <c r="K35" s="204">
        <v>0</v>
      </c>
      <c r="L35" s="204">
        <v>0</v>
      </c>
      <c r="M35" s="204" t="s">
        <v>807</v>
      </c>
      <c r="N35" s="206" t="s">
        <v>1107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 spans="1:25" x14ac:dyDescent="0.3">
      <c r="A36" s="305"/>
      <c r="B36" s="95" t="s">
        <v>81</v>
      </c>
      <c r="C36" s="95">
        <v>38</v>
      </c>
      <c r="D36" s="95">
        <v>7.5</v>
      </c>
      <c r="E36" s="95">
        <v>35</v>
      </c>
      <c r="F36" s="95">
        <v>6.7</v>
      </c>
      <c r="G36" s="95">
        <v>30</v>
      </c>
      <c r="H36" s="95">
        <v>5.5</v>
      </c>
      <c r="I36" s="95">
        <v>19</v>
      </c>
      <c r="J36" s="95">
        <v>2.9</v>
      </c>
      <c r="K36" s="204">
        <v>24</v>
      </c>
      <c r="L36" s="204">
        <v>3</v>
      </c>
      <c r="M36" s="204">
        <v>5</v>
      </c>
      <c r="N36" s="206">
        <v>27.6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1:25" x14ac:dyDescent="0.3">
      <c r="A37" s="305"/>
      <c r="B37" s="95" t="s">
        <v>82</v>
      </c>
      <c r="C37" s="95">
        <v>1</v>
      </c>
      <c r="D37" s="95">
        <v>0.2</v>
      </c>
      <c r="E37" s="95" t="s">
        <v>65</v>
      </c>
      <c r="F37" s="95" t="s">
        <v>65</v>
      </c>
      <c r="G37" s="95" t="s">
        <v>65</v>
      </c>
      <c r="H37" s="95" t="s">
        <v>65</v>
      </c>
      <c r="I37" s="95" t="s">
        <v>65</v>
      </c>
      <c r="J37" s="95" t="s">
        <v>65</v>
      </c>
      <c r="K37" s="204">
        <v>0</v>
      </c>
      <c r="L37" s="204">
        <v>0</v>
      </c>
      <c r="M37" s="204">
        <v>0</v>
      </c>
      <c r="N37" s="204" t="s">
        <v>65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1:25" x14ac:dyDescent="0.3">
      <c r="A38" s="305"/>
      <c r="B38" s="95" t="s">
        <v>83</v>
      </c>
      <c r="C38" s="95">
        <v>15</v>
      </c>
      <c r="D38" s="95">
        <v>3</v>
      </c>
      <c r="E38" s="95">
        <v>10</v>
      </c>
      <c r="F38" s="95">
        <v>1.9</v>
      </c>
      <c r="G38" s="95">
        <v>7</v>
      </c>
      <c r="H38" s="95">
        <v>1.4</v>
      </c>
      <c r="I38" s="95">
        <v>7</v>
      </c>
      <c r="J38" s="95">
        <v>1.1000000000000001</v>
      </c>
      <c r="K38" s="204">
        <v>45</v>
      </c>
      <c r="L38" s="204">
        <v>5.5</v>
      </c>
      <c r="M38" s="204">
        <v>38</v>
      </c>
      <c r="N38" s="206">
        <v>530.1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1:25" x14ac:dyDescent="0.3">
      <c r="A39" s="305"/>
      <c r="B39" s="95" t="s">
        <v>84</v>
      </c>
      <c r="C39" s="95" t="s">
        <v>65</v>
      </c>
      <c r="D39" s="95" t="s">
        <v>65</v>
      </c>
      <c r="E39" s="95" t="s">
        <v>65</v>
      </c>
      <c r="F39" s="95" t="s">
        <v>65</v>
      </c>
      <c r="G39" s="95" t="s">
        <v>65</v>
      </c>
      <c r="H39" s="95" t="s">
        <v>65</v>
      </c>
      <c r="I39" s="95" t="s">
        <v>65</v>
      </c>
      <c r="J39" s="95" t="s">
        <v>65</v>
      </c>
      <c r="K39" s="204">
        <v>0</v>
      </c>
      <c r="L39" s="204">
        <v>0</v>
      </c>
      <c r="M39" s="204">
        <v>0</v>
      </c>
      <c r="N39" s="204" t="s">
        <v>65</v>
      </c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</row>
    <row r="40" spans="1:25" x14ac:dyDescent="0.3">
      <c r="A40" s="305"/>
      <c r="B40" s="95" t="s">
        <v>85</v>
      </c>
      <c r="C40" s="95">
        <v>3</v>
      </c>
      <c r="D40" s="95">
        <v>0.5</v>
      </c>
      <c r="E40" s="95">
        <v>4</v>
      </c>
      <c r="F40" s="95">
        <v>0.7</v>
      </c>
      <c r="G40" s="95">
        <v>3</v>
      </c>
      <c r="H40" s="95">
        <v>0.5</v>
      </c>
      <c r="I40" s="95">
        <v>57</v>
      </c>
      <c r="J40" s="95">
        <v>8.6</v>
      </c>
      <c r="K40" s="204">
        <v>37</v>
      </c>
      <c r="L40" s="204">
        <v>4.5999999999999996</v>
      </c>
      <c r="M40" s="204" t="s">
        <v>828</v>
      </c>
      <c r="N40" s="206" t="s">
        <v>1108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1:25" x14ac:dyDescent="0.3">
      <c r="A41" s="306"/>
      <c r="B41" s="97" t="s">
        <v>110</v>
      </c>
      <c r="C41" s="97">
        <v>502</v>
      </c>
      <c r="D41" s="97">
        <v>100</v>
      </c>
      <c r="E41" s="97">
        <v>528</v>
      </c>
      <c r="F41" s="97">
        <v>100</v>
      </c>
      <c r="G41" s="97">
        <v>542</v>
      </c>
      <c r="H41" s="97">
        <v>100</v>
      </c>
      <c r="I41" s="97">
        <v>662</v>
      </c>
      <c r="J41" s="97">
        <v>100</v>
      </c>
      <c r="K41" s="207">
        <v>806</v>
      </c>
      <c r="L41" s="207">
        <v>100</v>
      </c>
      <c r="M41" s="207">
        <v>144</v>
      </c>
      <c r="N41" s="209">
        <v>21.7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</row>
    <row r="42" spans="1:25" x14ac:dyDescent="0.3">
      <c r="A42" s="304" t="s">
        <v>796</v>
      </c>
      <c r="B42" s="95" t="s">
        <v>78</v>
      </c>
      <c r="C42" s="95" t="s">
        <v>65</v>
      </c>
      <c r="D42" s="95" t="s">
        <v>65</v>
      </c>
      <c r="E42" s="95" t="s">
        <v>65</v>
      </c>
      <c r="F42" s="95" t="s">
        <v>65</v>
      </c>
      <c r="G42" s="95" t="s">
        <v>65</v>
      </c>
      <c r="H42" s="95" t="s">
        <v>65</v>
      </c>
      <c r="I42" s="95" t="s">
        <v>65</v>
      </c>
      <c r="J42" s="95" t="s">
        <v>65</v>
      </c>
      <c r="K42" s="204">
        <v>0</v>
      </c>
      <c r="L42" s="204">
        <v>0</v>
      </c>
      <c r="M42" s="204">
        <v>0</v>
      </c>
      <c r="N42" s="204" t="s">
        <v>65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 spans="1:25" x14ac:dyDescent="0.3">
      <c r="A43" s="305"/>
      <c r="B43" s="95" t="s">
        <v>79</v>
      </c>
      <c r="C43" s="96">
        <v>2108</v>
      </c>
      <c r="D43" s="95">
        <v>43.2</v>
      </c>
      <c r="E43" s="96">
        <v>2032</v>
      </c>
      <c r="F43" s="95">
        <v>40.4</v>
      </c>
      <c r="G43" s="96">
        <v>2492</v>
      </c>
      <c r="H43" s="95">
        <v>41.7</v>
      </c>
      <c r="I43" s="96">
        <v>2596</v>
      </c>
      <c r="J43" s="95">
        <v>46.2</v>
      </c>
      <c r="K43" s="204">
        <v>3054</v>
      </c>
      <c r="L43" s="204">
        <v>50.6</v>
      </c>
      <c r="M43" s="204">
        <v>458</v>
      </c>
      <c r="N43" s="206">
        <v>17.600000000000001</v>
      </c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</row>
    <row r="44" spans="1:25" x14ac:dyDescent="0.3">
      <c r="A44" s="305"/>
      <c r="B44" s="95" t="s">
        <v>80</v>
      </c>
      <c r="C44" s="96">
        <v>1060</v>
      </c>
      <c r="D44" s="95">
        <v>21.7</v>
      </c>
      <c r="E44" s="96">
        <v>1041</v>
      </c>
      <c r="F44" s="95">
        <v>20.7</v>
      </c>
      <c r="G44" s="96">
        <v>1068</v>
      </c>
      <c r="H44" s="95">
        <v>17.899999999999999</v>
      </c>
      <c r="I44" s="96">
        <v>839</v>
      </c>
      <c r="J44" s="95">
        <v>14.9</v>
      </c>
      <c r="K44" s="204">
        <v>720</v>
      </c>
      <c r="L44" s="204">
        <v>11.9</v>
      </c>
      <c r="M44" s="204" t="s">
        <v>455</v>
      </c>
      <c r="N44" s="206" t="s">
        <v>819</v>
      </c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 spans="1:25" x14ac:dyDescent="0.3">
      <c r="A45" s="305"/>
      <c r="B45" s="95" t="s">
        <v>81</v>
      </c>
      <c r="C45" s="95">
        <v>418</v>
      </c>
      <c r="D45" s="95">
        <v>8.6</v>
      </c>
      <c r="E45" s="95">
        <v>503</v>
      </c>
      <c r="F45" s="95">
        <v>10</v>
      </c>
      <c r="G45" s="95">
        <v>354</v>
      </c>
      <c r="H45" s="95">
        <v>5.9</v>
      </c>
      <c r="I45" s="95">
        <v>369</v>
      </c>
      <c r="J45" s="95">
        <v>6.6</v>
      </c>
      <c r="K45" s="204">
        <v>384</v>
      </c>
      <c r="L45" s="204">
        <v>6.4</v>
      </c>
      <c r="M45" s="204">
        <v>15</v>
      </c>
      <c r="N45" s="206">
        <v>4.0999999999999996</v>
      </c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</row>
    <row r="46" spans="1:25" x14ac:dyDescent="0.3">
      <c r="A46" s="305"/>
      <c r="B46" s="95" t="s">
        <v>82</v>
      </c>
      <c r="C46" s="95">
        <v>76</v>
      </c>
      <c r="D46" s="95">
        <v>1.6</v>
      </c>
      <c r="E46" s="95">
        <v>150</v>
      </c>
      <c r="F46" s="95">
        <v>3</v>
      </c>
      <c r="G46" s="95">
        <v>131</v>
      </c>
      <c r="H46" s="95">
        <v>2.2000000000000002</v>
      </c>
      <c r="I46" s="95">
        <v>100</v>
      </c>
      <c r="J46" s="95">
        <v>1.8</v>
      </c>
      <c r="K46" s="204">
        <v>53</v>
      </c>
      <c r="L46" s="204">
        <v>0.9</v>
      </c>
      <c r="M46" s="204" t="s">
        <v>1065</v>
      </c>
      <c r="N46" s="206" t="s">
        <v>1109</v>
      </c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pans="1:25" x14ac:dyDescent="0.3">
      <c r="A47" s="305"/>
      <c r="B47" s="95" t="s">
        <v>83</v>
      </c>
      <c r="C47" s="95">
        <v>765</v>
      </c>
      <c r="D47" s="95">
        <v>15.7</v>
      </c>
      <c r="E47" s="95">
        <v>806</v>
      </c>
      <c r="F47" s="95">
        <v>16</v>
      </c>
      <c r="G47" s="95">
        <v>1083</v>
      </c>
      <c r="H47" s="95">
        <v>18.100000000000001</v>
      </c>
      <c r="I47" s="96">
        <v>992</v>
      </c>
      <c r="J47" s="95">
        <v>17.7</v>
      </c>
      <c r="K47" s="204">
        <v>830</v>
      </c>
      <c r="L47" s="204">
        <v>13.8</v>
      </c>
      <c r="M47" s="204" t="s">
        <v>835</v>
      </c>
      <c r="N47" s="206" t="s">
        <v>840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 spans="1:25" x14ac:dyDescent="0.3">
      <c r="A48" s="305"/>
      <c r="B48" s="95" t="s">
        <v>84</v>
      </c>
      <c r="C48" s="95" t="s">
        <v>65</v>
      </c>
      <c r="D48" s="95" t="s">
        <v>65</v>
      </c>
      <c r="E48" s="95" t="s">
        <v>65</v>
      </c>
      <c r="F48" s="95" t="s">
        <v>65</v>
      </c>
      <c r="G48" s="95" t="s">
        <v>65</v>
      </c>
      <c r="H48" s="95" t="s">
        <v>65</v>
      </c>
      <c r="I48" s="95" t="s">
        <v>65</v>
      </c>
      <c r="J48" s="95" t="s">
        <v>65</v>
      </c>
      <c r="K48" s="204">
        <v>0</v>
      </c>
      <c r="L48" s="204">
        <v>0</v>
      </c>
      <c r="M48" s="204">
        <v>0</v>
      </c>
      <c r="N48" s="204" t="s">
        <v>65</v>
      </c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pans="1:25" x14ac:dyDescent="0.3">
      <c r="A49" s="305"/>
      <c r="B49" s="95" t="s">
        <v>85</v>
      </c>
      <c r="C49" s="95">
        <v>453</v>
      </c>
      <c r="D49" s="95">
        <v>9.3000000000000007</v>
      </c>
      <c r="E49" s="95">
        <v>497</v>
      </c>
      <c r="F49" s="95">
        <v>9.9</v>
      </c>
      <c r="G49" s="95">
        <v>851</v>
      </c>
      <c r="H49" s="95">
        <v>14.2</v>
      </c>
      <c r="I49" s="95">
        <v>726</v>
      </c>
      <c r="J49" s="95">
        <v>12.9</v>
      </c>
      <c r="K49" s="204">
        <v>991</v>
      </c>
      <c r="L49" s="204">
        <v>16.399999999999999</v>
      </c>
      <c r="M49" s="204">
        <v>264</v>
      </c>
      <c r="N49" s="206">
        <v>36.4</v>
      </c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</row>
    <row r="50" spans="1:25" x14ac:dyDescent="0.3">
      <c r="A50" s="306"/>
      <c r="B50" s="97" t="s">
        <v>110</v>
      </c>
      <c r="C50" s="98">
        <v>4880</v>
      </c>
      <c r="D50" s="97">
        <v>100</v>
      </c>
      <c r="E50" s="98">
        <v>5030</v>
      </c>
      <c r="F50" s="97">
        <v>100</v>
      </c>
      <c r="G50" s="98">
        <v>5979</v>
      </c>
      <c r="H50" s="97">
        <v>100</v>
      </c>
      <c r="I50" s="98">
        <v>5622</v>
      </c>
      <c r="J50" s="97">
        <v>100</v>
      </c>
      <c r="K50" s="207">
        <v>6032</v>
      </c>
      <c r="L50" s="207">
        <v>100</v>
      </c>
      <c r="M50" s="207">
        <v>411</v>
      </c>
      <c r="N50" s="209">
        <v>7.3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</row>
    <row r="51" spans="1:25" x14ac:dyDescent="0.3">
      <c r="A51" s="304" t="s">
        <v>45</v>
      </c>
      <c r="B51" s="95" t="s">
        <v>78</v>
      </c>
      <c r="C51" s="95">
        <v>449</v>
      </c>
      <c r="D51" s="95">
        <v>40.6</v>
      </c>
      <c r="E51" s="95">
        <v>487</v>
      </c>
      <c r="F51" s="95">
        <v>49.2</v>
      </c>
      <c r="G51" s="95">
        <v>588</v>
      </c>
      <c r="H51" s="95">
        <v>50.6</v>
      </c>
      <c r="I51" s="95">
        <v>638</v>
      </c>
      <c r="J51" s="95">
        <v>51.6</v>
      </c>
      <c r="K51" s="204">
        <v>625</v>
      </c>
      <c r="L51" s="204">
        <v>51.1</v>
      </c>
      <c r="M51" s="204" t="s">
        <v>1110</v>
      </c>
      <c r="N51" s="206" t="s">
        <v>1111</v>
      </c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</row>
    <row r="52" spans="1:25" x14ac:dyDescent="0.3">
      <c r="A52" s="305"/>
      <c r="B52" s="95" t="s">
        <v>79</v>
      </c>
      <c r="C52" s="95">
        <v>120</v>
      </c>
      <c r="D52" s="95">
        <v>10.9</v>
      </c>
      <c r="E52" s="95">
        <v>33</v>
      </c>
      <c r="F52" s="95">
        <v>3.4</v>
      </c>
      <c r="G52" s="95">
        <v>26</v>
      </c>
      <c r="H52" s="95">
        <v>2.2999999999999998</v>
      </c>
      <c r="I52" s="95">
        <v>52</v>
      </c>
      <c r="J52" s="95">
        <v>4.2</v>
      </c>
      <c r="K52" s="204">
        <v>46</v>
      </c>
      <c r="L52" s="204">
        <v>3.8</v>
      </c>
      <c r="M52" s="204" t="s">
        <v>797</v>
      </c>
      <c r="N52" s="206" t="s">
        <v>1112</v>
      </c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spans="1:25" x14ac:dyDescent="0.3">
      <c r="A53" s="305"/>
      <c r="B53" s="95" t="s">
        <v>80</v>
      </c>
      <c r="C53" s="95">
        <v>209</v>
      </c>
      <c r="D53" s="95">
        <v>18.899999999999999</v>
      </c>
      <c r="E53" s="95">
        <v>228</v>
      </c>
      <c r="F53" s="95">
        <v>23.1</v>
      </c>
      <c r="G53" s="95">
        <v>173</v>
      </c>
      <c r="H53" s="95">
        <v>14.9</v>
      </c>
      <c r="I53" s="95">
        <v>149</v>
      </c>
      <c r="J53" s="95">
        <v>12</v>
      </c>
      <c r="K53" s="204">
        <v>170</v>
      </c>
      <c r="L53" s="204">
        <v>13.9</v>
      </c>
      <c r="M53" s="204">
        <v>21</v>
      </c>
      <c r="N53" s="206">
        <v>14.2</v>
      </c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spans="1:25" x14ac:dyDescent="0.3">
      <c r="A54" s="305"/>
      <c r="B54" s="95" t="s">
        <v>81</v>
      </c>
      <c r="C54" s="95" t="s">
        <v>65</v>
      </c>
      <c r="D54" s="95" t="s">
        <v>65</v>
      </c>
      <c r="E54" s="95" t="s">
        <v>65</v>
      </c>
      <c r="F54" s="95" t="s">
        <v>65</v>
      </c>
      <c r="G54" s="95" t="s">
        <v>65</v>
      </c>
      <c r="H54" s="95" t="s">
        <v>65</v>
      </c>
      <c r="I54" s="95" t="s">
        <v>65</v>
      </c>
      <c r="J54" s="95" t="s">
        <v>65</v>
      </c>
      <c r="K54" s="204">
        <v>0</v>
      </c>
      <c r="L54" s="204">
        <v>0</v>
      </c>
      <c r="M54" s="204">
        <v>0</v>
      </c>
      <c r="N54" s="204" t="s">
        <v>65</v>
      </c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</row>
    <row r="55" spans="1:25" x14ac:dyDescent="0.3">
      <c r="A55" s="305"/>
      <c r="B55" s="95" t="s">
        <v>82</v>
      </c>
      <c r="C55" s="95" t="s">
        <v>65</v>
      </c>
      <c r="D55" s="95" t="s">
        <v>65</v>
      </c>
      <c r="E55" s="95" t="s">
        <v>65</v>
      </c>
      <c r="F55" s="95" t="s">
        <v>65</v>
      </c>
      <c r="G55" s="95" t="s">
        <v>65</v>
      </c>
      <c r="H55" s="95" t="s">
        <v>65</v>
      </c>
      <c r="I55" s="95" t="s">
        <v>65</v>
      </c>
      <c r="J55" s="95" t="s">
        <v>65</v>
      </c>
      <c r="K55" s="204">
        <v>0</v>
      </c>
      <c r="L55" s="204">
        <v>0</v>
      </c>
      <c r="M55" s="204">
        <v>0</v>
      </c>
      <c r="N55" s="204" t="s">
        <v>65</v>
      </c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 spans="1:25" x14ac:dyDescent="0.3">
      <c r="A56" s="305"/>
      <c r="B56" s="95" t="s">
        <v>83</v>
      </c>
      <c r="C56" s="95">
        <v>58</v>
      </c>
      <c r="D56" s="95">
        <v>5.3</v>
      </c>
      <c r="E56" s="95">
        <v>68</v>
      </c>
      <c r="F56" s="95">
        <v>6.8</v>
      </c>
      <c r="G56" s="95">
        <v>77</v>
      </c>
      <c r="H56" s="95">
        <v>6.6</v>
      </c>
      <c r="I56" s="95">
        <v>65</v>
      </c>
      <c r="J56" s="95">
        <v>5.3</v>
      </c>
      <c r="K56" s="204">
        <v>56</v>
      </c>
      <c r="L56" s="204">
        <v>4.5999999999999996</v>
      </c>
      <c r="M56" s="204" t="s">
        <v>814</v>
      </c>
      <c r="N56" s="206" t="s">
        <v>1113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x14ac:dyDescent="0.3">
      <c r="A57" s="305"/>
      <c r="B57" s="95" t="s">
        <v>84</v>
      </c>
      <c r="C57" s="95">
        <v>101</v>
      </c>
      <c r="D57" s="95">
        <v>9.1</v>
      </c>
      <c r="E57" s="95">
        <v>90</v>
      </c>
      <c r="F57" s="95">
        <v>9.1</v>
      </c>
      <c r="G57" s="95">
        <v>103</v>
      </c>
      <c r="H57" s="95">
        <v>8.9</v>
      </c>
      <c r="I57" s="95">
        <v>105</v>
      </c>
      <c r="J57" s="95">
        <v>8.5</v>
      </c>
      <c r="K57" s="204">
        <v>107</v>
      </c>
      <c r="L57" s="204">
        <v>8.6999999999999993</v>
      </c>
      <c r="M57" s="204">
        <v>2</v>
      </c>
      <c r="N57" s="206">
        <v>1.6</v>
      </c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</row>
    <row r="58" spans="1:25" x14ac:dyDescent="0.3">
      <c r="A58" s="305"/>
      <c r="B58" s="95" t="s">
        <v>85</v>
      </c>
      <c r="C58" s="95">
        <v>168</v>
      </c>
      <c r="D58" s="95">
        <v>15.2</v>
      </c>
      <c r="E58" s="95">
        <v>84</v>
      </c>
      <c r="F58" s="95">
        <v>8.5</v>
      </c>
      <c r="G58" s="95">
        <v>194</v>
      </c>
      <c r="H58" s="95">
        <v>16.7</v>
      </c>
      <c r="I58" s="95">
        <v>227</v>
      </c>
      <c r="J58" s="95">
        <v>18.399999999999999</v>
      </c>
      <c r="K58" s="204">
        <v>219</v>
      </c>
      <c r="L58" s="204">
        <v>17.899999999999999</v>
      </c>
      <c r="M58" s="204" t="s">
        <v>825</v>
      </c>
      <c r="N58" s="206" t="s">
        <v>454</v>
      </c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</row>
    <row r="59" spans="1:25" x14ac:dyDescent="0.3">
      <c r="A59" s="306"/>
      <c r="B59" s="97" t="s">
        <v>110</v>
      </c>
      <c r="C59" s="98">
        <v>1106</v>
      </c>
      <c r="D59" s="97">
        <v>100</v>
      </c>
      <c r="E59" s="98">
        <v>990</v>
      </c>
      <c r="F59" s="97">
        <v>100</v>
      </c>
      <c r="G59" s="97">
        <v>1161</v>
      </c>
      <c r="H59" s="97">
        <v>100</v>
      </c>
      <c r="I59" s="98">
        <v>1236</v>
      </c>
      <c r="J59" s="97">
        <v>100</v>
      </c>
      <c r="K59" s="207">
        <v>1224</v>
      </c>
      <c r="L59" s="207">
        <v>100</v>
      </c>
      <c r="M59" s="207" t="s">
        <v>1110</v>
      </c>
      <c r="N59" s="209" t="s">
        <v>439</v>
      </c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</row>
    <row r="60" spans="1:25" x14ac:dyDescent="0.3">
      <c r="A60" s="304" t="s">
        <v>820</v>
      </c>
      <c r="B60" s="95" t="s">
        <v>78</v>
      </c>
      <c r="C60" s="95">
        <v>327</v>
      </c>
      <c r="D60" s="95">
        <v>16.7</v>
      </c>
      <c r="E60" s="95">
        <v>434</v>
      </c>
      <c r="F60" s="95">
        <v>20.9</v>
      </c>
      <c r="G60" s="95">
        <v>411</v>
      </c>
      <c r="H60" s="95">
        <v>18</v>
      </c>
      <c r="I60" s="95">
        <v>449</v>
      </c>
      <c r="J60" s="95">
        <v>16.899999999999999</v>
      </c>
      <c r="K60" s="204">
        <v>437</v>
      </c>
      <c r="L60" s="204">
        <v>17.3</v>
      </c>
      <c r="M60" s="204" t="s">
        <v>795</v>
      </c>
      <c r="N60" s="206" t="s">
        <v>383</v>
      </c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</row>
    <row r="61" spans="1:25" x14ac:dyDescent="0.3">
      <c r="A61" s="305"/>
      <c r="B61" s="95" t="s">
        <v>79</v>
      </c>
      <c r="C61" s="95">
        <v>214</v>
      </c>
      <c r="D61" s="95">
        <v>11</v>
      </c>
      <c r="E61" s="95">
        <v>243</v>
      </c>
      <c r="F61" s="95">
        <v>11.7</v>
      </c>
      <c r="G61" s="95">
        <v>328</v>
      </c>
      <c r="H61" s="95">
        <v>14.4</v>
      </c>
      <c r="I61" s="95">
        <v>363</v>
      </c>
      <c r="J61" s="95">
        <v>13.6</v>
      </c>
      <c r="K61" s="204">
        <v>326</v>
      </c>
      <c r="L61" s="204">
        <v>12.9</v>
      </c>
      <c r="M61" s="204" t="s">
        <v>1114</v>
      </c>
      <c r="N61" s="206" t="s">
        <v>1115</v>
      </c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</row>
    <row r="62" spans="1:25" x14ac:dyDescent="0.3">
      <c r="A62" s="305"/>
      <c r="B62" s="95" t="s">
        <v>80</v>
      </c>
      <c r="C62" s="95">
        <v>557</v>
      </c>
      <c r="D62" s="95">
        <v>28.5</v>
      </c>
      <c r="E62" s="95">
        <v>621</v>
      </c>
      <c r="F62" s="95">
        <v>29.9</v>
      </c>
      <c r="G62" s="95">
        <v>708</v>
      </c>
      <c r="H62" s="95">
        <v>31</v>
      </c>
      <c r="I62" s="95">
        <v>775</v>
      </c>
      <c r="J62" s="95">
        <v>29.1</v>
      </c>
      <c r="K62" s="204">
        <v>723</v>
      </c>
      <c r="L62" s="204">
        <v>28.5</v>
      </c>
      <c r="M62" s="204" t="s">
        <v>1116</v>
      </c>
      <c r="N62" s="206" t="s">
        <v>1117</v>
      </c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</row>
    <row r="63" spans="1:25" x14ac:dyDescent="0.3">
      <c r="A63" s="305"/>
      <c r="B63" s="95" t="s">
        <v>81</v>
      </c>
      <c r="C63" s="95">
        <v>18</v>
      </c>
      <c r="D63" s="95">
        <v>0.9</v>
      </c>
      <c r="E63" s="95">
        <v>7</v>
      </c>
      <c r="F63" s="95">
        <v>0.3</v>
      </c>
      <c r="G63" s="95">
        <v>11</v>
      </c>
      <c r="H63" s="95">
        <v>0.5</v>
      </c>
      <c r="I63" s="95">
        <v>18</v>
      </c>
      <c r="J63" s="95">
        <v>0.7</v>
      </c>
      <c r="K63" s="204">
        <v>23</v>
      </c>
      <c r="L63" s="204">
        <v>0.9</v>
      </c>
      <c r="M63" s="204">
        <v>4</v>
      </c>
      <c r="N63" s="206">
        <v>23</v>
      </c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</row>
    <row r="64" spans="1:25" x14ac:dyDescent="0.3">
      <c r="A64" s="305"/>
      <c r="B64" s="95" t="s">
        <v>82</v>
      </c>
      <c r="C64" s="95">
        <v>82</v>
      </c>
      <c r="D64" s="95">
        <v>4.2</v>
      </c>
      <c r="E64" s="95">
        <v>73</v>
      </c>
      <c r="F64" s="95">
        <v>3.5</v>
      </c>
      <c r="G64" s="95">
        <v>72</v>
      </c>
      <c r="H64" s="95">
        <v>3.2</v>
      </c>
      <c r="I64" s="95">
        <v>71</v>
      </c>
      <c r="J64" s="95">
        <v>2.7</v>
      </c>
      <c r="K64" s="204">
        <v>81</v>
      </c>
      <c r="L64" s="204">
        <v>3.2</v>
      </c>
      <c r="M64" s="204">
        <v>10</v>
      </c>
      <c r="N64" s="206">
        <v>13.3</v>
      </c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</row>
    <row r="65" spans="1:25" x14ac:dyDescent="0.3">
      <c r="A65" s="305"/>
      <c r="B65" s="95" t="s">
        <v>83</v>
      </c>
      <c r="C65" s="95">
        <v>644</v>
      </c>
      <c r="D65" s="95">
        <v>32.9</v>
      </c>
      <c r="E65" s="95">
        <v>577</v>
      </c>
      <c r="F65" s="95">
        <v>27.8</v>
      </c>
      <c r="G65" s="95">
        <v>642</v>
      </c>
      <c r="H65" s="95">
        <v>28.2</v>
      </c>
      <c r="I65" s="95">
        <v>829</v>
      </c>
      <c r="J65" s="95">
        <v>31.1</v>
      </c>
      <c r="K65" s="204">
        <v>805</v>
      </c>
      <c r="L65" s="204">
        <v>31.7</v>
      </c>
      <c r="M65" s="204" t="s">
        <v>816</v>
      </c>
      <c r="N65" s="206" t="s">
        <v>1118</v>
      </c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</row>
    <row r="66" spans="1:25" x14ac:dyDescent="0.3">
      <c r="A66" s="305"/>
      <c r="B66" s="95" t="s">
        <v>84</v>
      </c>
      <c r="C66" s="95">
        <v>0</v>
      </c>
      <c r="D66" s="95">
        <v>0</v>
      </c>
      <c r="E66" s="95">
        <v>0</v>
      </c>
      <c r="F66" s="95">
        <v>0</v>
      </c>
      <c r="G66" s="95" t="s">
        <v>65</v>
      </c>
      <c r="H66" s="95" t="s">
        <v>65</v>
      </c>
      <c r="I66" s="95" t="s">
        <v>65</v>
      </c>
      <c r="J66" s="95" t="s">
        <v>65</v>
      </c>
      <c r="K66" s="204">
        <v>0</v>
      </c>
      <c r="L66" s="204">
        <v>0</v>
      </c>
      <c r="M66" s="204">
        <v>0</v>
      </c>
      <c r="N66" s="204" t="s">
        <v>65</v>
      </c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</row>
    <row r="67" spans="1:25" x14ac:dyDescent="0.3">
      <c r="A67" s="305"/>
      <c r="B67" s="95" t="s">
        <v>85</v>
      </c>
      <c r="C67" s="95">
        <v>113</v>
      </c>
      <c r="D67" s="95">
        <v>5.8</v>
      </c>
      <c r="E67" s="95">
        <v>120</v>
      </c>
      <c r="F67" s="95">
        <v>5.8</v>
      </c>
      <c r="G67" s="95">
        <v>110</v>
      </c>
      <c r="H67" s="95">
        <v>4.8</v>
      </c>
      <c r="I67" s="95">
        <v>157</v>
      </c>
      <c r="J67" s="95">
        <v>5.9</v>
      </c>
      <c r="K67" s="204">
        <v>141</v>
      </c>
      <c r="L67" s="204">
        <v>5.5</v>
      </c>
      <c r="M67" s="204" t="s">
        <v>1119</v>
      </c>
      <c r="N67" s="206" t="s">
        <v>829</v>
      </c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</row>
    <row r="68" spans="1:25" x14ac:dyDescent="0.3">
      <c r="A68" s="306"/>
      <c r="B68" s="97" t="s">
        <v>110</v>
      </c>
      <c r="C68" s="98">
        <v>1956</v>
      </c>
      <c r="D68" s="97">
        <v>100</v>
      </c>
      <c r="E68" s="98">
        <v>2076</v>
      </c>
      <c r="F68" s="97">
        <v>100</v>
      </c>
      <c r="G68" s="98">
        <v>2281</v>
      </c>
      <c r="H68" s="97">
        <v>100</v>
      </c>
      <c r="I68" s="98">
        <v>2662</v>
      </c>
      <c r="J68" s="97">
        <v>100</v>
      </c>
      <c r="K68" s="207">
        <v>2535</v>
      </c>
      <c r="L68" s="207">
        <v>100</v>
      </c>
      <c r="M68" s="207" t="s">
        <v>440</v>
      </c>
      <c r="N68" s="209" t="s">
        <v>441</v>
      </c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</row>
    <row r="69" spans="1:25" x14ac:dyDescent="0.3">
      <c r="A69" s="304" t="s">
        <v>800</v>
      </c>
      <c r="B69" s="95" t="s">
        <v>78</v>
      </c>
      <c r="C69" s="96">
        <v>4605</v>
      </c>
      <c r="D69" s="95">
        <v>71.2</v>
      </c>
      <c r="E69" s="96">
        <v>4828</v>
      </c>
      <c r="F69" s="95">
        <v>70.3</v>
      </c>
      <c r="G69" s="96">
        <v>5578</v>
      </c>
      <c r="H69" s="95">
        <v>72.400000000000006</v>
      </c>
      <c r="I69" s="96">
        <v>5743</v>
      </c>
      <c r="J69" s="95">
        <v>70.7</v>
      </c>
      <c r="K69" s="204">
        <v>6985</v>
      </c>
      <c r="L69" s="204">
        <v>79.599999999999994</v>
      </c>
      <c r="M69" s="204">
        <v>1242</v>
      </c>
      <c r="N69" s="206">
        <v>21.6</v>
      </c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</row>
    <row r="70" spans="1:25" x14ac:dyDescent="0.3">
      <c r="A70" s="305"/>
      <c r="B70" s="95" t="s">
        <v>79</v>
      </c>
      <c r="C70" s="95">
        <v>50</v>
      </c>
      <c r="D70" s="95">
        <v>0.8</v>
      </c>
      <c r="E70" s="95">
        <v>69</v>
      </c>
      <c r="F70" s="95">
        <v>1</v>
      </c>
      <c r="G70" s="95">
        <v>81</v>
      </c>
      <c r="H70" s="95">
        <v>1</v>
      </c>
      <c r="I70" s="95">
        <v>90</v>
      </c>
      <c r="J70" s="95">
        <v>1.1000000000000001</v>
      </c>
      <c r="K70" s="204">
        <v>67</v>
      </c>
      <c r="L70" s="204">
        <v>0.8</v>
      </c>
      <c r="M70" s="204" t="s">
        <v>1120</v>
      </c>
      <c r="N70" s="206" t="s">
        <v>1121</v>
      </c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</row>
    <row r="71" spans="1:25" x14ac:dyDescent="0.3">
      <c r="A71" s="305"/>
      <c r="B71" s="95" t="s">
        <v>80</v>
      </c>
      <c r="C71" s="95">
        <v>907</v>
      </c>
      <c r="D71" s="95">
        <v>14</v>
      </c>
      <c r="E71" s="95">
        <v>1039</v>
      </c>
      <c r="F71" s="95">
        <v>15.1</v>
      </c>
      <c r="G71" s="96">
        <v>1063</v>
      </c>
      <c r="H71" s="95">
        <v>13.8</v>
      </c>
      <c r="I71" s="96">
        <v>1219</v>
      </c>
      <c r="J71" s="95">
        <v>15</v>
      </c>
      <c r="K71" s="204">
        <v>763</v>
      </c>
      <c r="L71" s="204">
        <v>8.6999999999999993</v>
      </c>
      <c r="M71" s="204" t="s">
        <v>1122</v>
      </c>
      <c r="N71" s="206" t="s">
        <v>1123</v>
      </c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</row>
    <row r="72" spans="1:25" x14ac:dyDescent="0.3">
      <c r="A72" s="305"/>
      <c r="B72" s="95" t="s">
        <v>81</v>
      </c>
      <c r="C72" s="95">
        <v>14</v>
      </c>
      <c r="D72" s="95">
        <v>0.2</v>
      </c>
      <c r="E72" s="95">
        <v>20</v>
      </c>
      <c r="F72" s="95">
        <v>0.3</v>
      </c>
      <c r="G72" s="95">
        <v>15</v>
      </c>
      <c r="H72" s="95">
        <v>0.2</v>
      </c>
      <c r="I72" s="95">
        <v>11</v>
      </c>
      <c r="J72" s="95">
        <v>0.1</v>
      </c>
      <c r="K72" s="204">
        <v>1</v>
      </c>
      <c r="L72" s="204">
        <v>0</v>
      </c>
      <c r="M72" s="204" t="s">
        <v>832</v>
      </c>
      <c r="N72" s="206" t="s">
        <v>1124</v>
      </c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</row>
    <row r="73" spans="1:25" x14ac:dyDescent="0.3">
      <c r="A73" s="305"/>
      <c r="B73" s="95" t="s">
        <v>82</v>
      </c>
      <c r="C73" s="95">
        <v>8</v>
      </c>
      <c r="D73" s="95">
        <v>0.1</v>
      </c>
      <c r="E73" s="95">
        <v>14</v>
      </c>
      <c r="F73" s="95">
        <v>0.2</v>
      </c>
      <c r="G73" s="95">
        <v>25</v>
      </c>
      <c r="H73" s="95">
        <v>0.3</v>
      </c>
      <c r="I73" s="95">
        <v>19</v>
      </c>
      <c r="J73" s="95">
        <v>0.2</v>
      </c>
      <c r="K73" s="204">
        <v>13</v>
      </c>
      <c r="L73" s="204">
        <v>0.1</v>
      </c>
      <c r="M73" s="204" t="s">
        <v>797</v>
      </c>
      <c r="N73" s="206" t="s">
        <v>1125</v>
      </c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</row>
    <row r="74" spans="1:25" x14ac:dyDescent="0.3">
      <c r="A74" s="305"/>
      <c r="B74" s="95" t="s">
        <v>83</v>
      </c>
      <c r="C74" s="95">
        <v>421</v>
      </c>
      <c r="D74" s="95">
        <v>6.5</v>
      </c>
      <c r="E74" s="95">
        <v>625</v>
      </c>
      <c r="F74" s="95">
        <v>9.1</v>
      </c>
      <c r="G74" s="95">
        <v>465</v>
      </c>
      <c r="H74" s="95">
        <v>6</v>
      </c>
      <c r="I74" s="95">
        <v>491</v>
      </c>
      <c r="J74" s="95">
        <v>6</v>
      </c>
      <c r="K74" s="204">
        <v>295</v>
      </c>
      <c r="L74" s="204">
        <v>3.4</v>
      </c>
      <c r="M74" s="204" t="s">
        <v>1126</v>
      </c>
      <c r="N74" s="206" t="s">
        <v>1127</v>
      </c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</row>
    <row r="75" spans="1:25" x14ac:dyDescent="0.3">
      <c r="A75" s="305"/>
      <c r="B75" s="95" t="s">
        <v>84</v>
      </c>
      <c r="C75" s="95">
        <v>368</v>
      </c>
      <c r="D75" s="95">
        <v>5.7</v>
      </c>
      <c r="E75" s="95">
        <v>153</v>
      </c>
      <c r="F75" s="95">
        <v>2.2000000000000002</v>
      </c>
      <c r="G75" s="95">
        <v>333</v>
      </c>
      <c r="H75" s="95">
        <v>4.3</v>
      </c>
      <c r="I75" s="95">
        <v>434</v>
      </c>
      <c r="J75" s="95">
        <v>5.3</v>
      </c>
      <c r="K75" s="204">
        <v>565</v>
      </c>
      <c r="L75" s="204">
        <v>6.4</v>
      </c>
      <c r="M75" s="204">
        <v>131</v>
      </c>
      <c r="N75" s="206">
        <v>30.1</v>
      </c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</row>
    <row r="76" spans="1:25" x14ac:dyDescent="0.3">
      <c r="A76" s="305"/>
      <c r="B76" s="95" t="s">
        <v>85</v>
      </c>
      <c r="C76" s="95">
        <v>93</v>
      </c>
      <c r="D76" s="95">
        <v>1.4</v>
      </c>
      <c r="E76" s="95">
        <v>121</v>
      </c>
      <c r="F76" s="95">
        <v>1.8</v>
      </c>
      <c r="G76" s="95">
        <v>145</v>
      </c>
      <c r="H76" s="95">
        <v>1.9</v>
      </c>
      <c r="I76" s="95">
        <v>116</v>
      </c>
      <c r="J76" s="95">
        <v>1.4</v>
      </c>
      <c r="K76" s="204">
        <v>89</v>
      </c>
      <c r="L76" s="204">
        <v>1</v>
      </c>
      <c r="M76" s="204" t="s">
        <v>1092</v>
      </c>
      <c r="N76" s="206" t="s">
        <v>1128</v>
      </c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</row>
    <row r="77" spans="1:25" x14ac:dyDescent="0.3">
      <c r="A77" s="306"/>
      <c r="B77" s="97" t="s">
        <v>110</v>
      </c>
      <c r="C77" s="98">
        <v>6467</v>
      </c>
      <c r="D77" s="97">
        <v>100</v>
      </c>
      <c r="E77" s="98">
        <v>6869</v>
      </c>
      <c r="F77" s="97">
        <v>100</v>
      </c>
      <c r="G77" s="98">
        <v>7705</v>
      </c>
      <c r="H77" s="97">
        <v>100</v>
      </c>
      <c r="I77" s="98">
        <v>8124</v>
      </c>
      <c r="J77" s="97">
        <v>100</v>
      </c>
      <c r="K77" s="207">
        <v>8777</v>
      </c>
      <c r="L77" s="207">
        <v>100</v>
      </c>
      <c r="M77" s="207">
        <v>654</v>
      </c>
      <c r="N77" s="209">
        <v>8</v>
      </c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</row>
    <row r="78" spans="1:25" x14ac:dyDescent="0.3">
      <c r="A78" s="304" t="s">
        <v>823</v>
      </c>
      <c r="B78" s="95" t="s">
        <v>78</v>
      </c>
      <c r="C78" s="95">
        <v>445</v>
      </c>
      <c r="D78" s="95">
        <v>100</v>
      </c>
      <c r="E78" s="95">
        <v>507</v>
      </c>
      <c r="F78" s="95">
        <v>98.5</v>
      </c>
      <c r="G78" s="95">
        <v>299</v>
      </c>
      <c r="H78" s="95">
        <v>80</v>
      </c>
      <c r="I78" s="95">
        <v>539</v>
      </c>
      <c r="J78" s="95">
        <v>84.1</v>
      </c>
      <c r="K78" s="204">
        <v>548</v>
      </c>
      <c r="L78" s="204">
        <v>80.900000000000006</v>
      </c>
      <c r="M78" s="204">
        <v>9</v>
      </c>
      <c r="N78" s="206">
        <v>1.7</v>
      </c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</row>
    <row r="79" spans="1:25" x14ac:dyDescent="0.3">
      <c r="A79" s="305"/>
      <c r="B79" s="95" t="s">
        <v>79</v>
      </c>
      <c r="C79" s="95" t="s">
        <v>65</v>
      </c>
      <c r="D79" s="95" t="s">
        <v>65</v>
      </c>
      <c r="E79" s="95" t="s">
        <v>65</v>
      </c>
      <c r="F79" s="95" t="s">
        <v>65</v>
      </c>
      <c r="G79" s="95">
        <v>49</v>
      </c>
      <c r="H79" s="95">
        <v>13.1</v>
      </c>
      <c r="I79" s="95">
        <v>61</v>
      </c>
      <c r="J79" s="95">
        <v>9.5</v>
      </c>
      <c r="K79" s="204">
        <v>84</v>
      </c>
      <c r="L79" s="204">
        <v>12.4</v>
      </c>
      <c r="M79" s="204">
        <v>23</v>
      </c>
      <c r="N79" s="206">
        <v>37.799999999999997</v>
      </c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</row>
    <row r="80" spans="1:25" x14ac:dyDescent="0.3">
      <c r="A80" s="305"/>
      <c r="B80" s="95" t="s">
        <v>80</v>
      </c>
      <c r="C80" s="95" t="s">
        <v>65</v>
      </c>
      <c r="D80" s="95" t="s">
        <v>65</v>
      </c>
      <c r="E80" s="95" t="s">
        <v>65</v>
      </c>
      <c r="F80" s="95" t="s">
        <v>65</v>
      </c>
      <c r="G80" s="95">
        <v>22</v>
      </c>
      <c r="H80" s="95">
        <v>5.9</v>
      </c>
      <c r="I80" s="95">
        <v>31</v>
      </c>
      <c r="J80" s="95">
        <v>4.8</v>
      </c>
      <c r="K80" s="204">
        <v>35</v>
      </c>
      <c r="L80" s="204">
        <v>5.0999999999999996</v>
      </c>
      <c r="M80" s="204">
        <v>4</v>
      </c>
      <c r="N80" s="206">
        <v>12</v>
      </c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</row>
    <row r="81" spans="1:25" x14ac:dyDescent="0.3">
      <c r="A81" s="305"/>
      <c r="B81" s="95" t="s">
        <v>81</v>
      </c>
      <c r="C81" s="95" t="s">
        <v>65</v>
      </c>
      <c r="D81" s="95" t="s">
        <v>65</v>
      </c>
      <c r="E81" s="95" t="s">
        <v>65</v>
      </c>
      <c r="F81" s="95" t="s">
        <v>65</v>
      </c>
      <c r="G81" s="95" t="s">
        <v>65</v>
      </c>
      <c r="H81" s="95" t="s">
        <v>65</v>
      </c>
      <c r="I81" s="95" t="s">
        <v>65</v>
      </c>
      <c r="J81" s="95" t="s">
        <v>65</v>
      </c>
      <c r="K81" s="204">
        <v>0</v>
      </c>
      <c r="L81" s="204">
        <v>0</v>
      </c>
      <c r="M81" s="204">
        <v>0</v>
      </c>
      <c r="N81" s="204" t="s">
        <v>65</v>
      </c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</row>
    <row r="82" spans="1:25" x14ac:dyDescent="0.3">
      <c r="A82" s="305"/>
      <c r="B82" s="95" t="s">
        <v>82</v>
      </c>
      <c r="C82" s="95" t="s">
        <v>65</v>
      </c>
      <c r="D82" s="95" t="s">
        <v>65</v>
      </c>
      <c r="E82" s="95" t="s">
        <v>65</v>
      </c>
      <c r="F82" s="95" t="s">
        <v>65</v>
      </c>
      <c r="G82" s="95" t="s">
        <v>65</v>
      </c>
      <c r="H82" s="95" t="s">
        <v>65</v>
      </c>
      <c r="I82" s="95" t="s">
        <v>65</v>
      </c>
      <c r="J82" s="95" t="s">
        <v>65</v>
      </c>
      <c r="K82" s="204">
        <v>0</v>
      </c>
      <c r="L82" s="204">
        <v>0</v>
      </c>
      <c r="M82" s="204">
        <v>0</v>
      </c>
      <c r="N82" s="204" t="s">
        <v>65</v>
      </c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</row>
    <row r="83" spans="1:25" x14ac:dyDescent="0.3">
      <c r="A83" s="305"/>
      <c r="B83" s="95" t="s">
        <v>83</v>
      </c>
      <c r="C83" s="95" t="s">
        <v>65</v>
      </c>
      <c r="D83" s="95" t="s">
        <v>65</v>
      </c>
      <c r="E83" s="95" t="s">
        <v>65</v>
      </c>
      <c r="F83" s="95" t="s">
        <v>65</v>
      </c>
      <c r="G83" s="95" t="s">
        <v>65</v>
      </c>
      <c r="H83" s="95" t="s">
        <v>65</v>
      </c>
      <c r="I83" s="95">
        <v>6</v>
      </c>
      <c r="J83" s="95">
        <v>1</v>
      </c>
      <c r="K83" s="204">
        <v>6</v>
      </c>
      <c r="L83" s="204">
        <v>0.9</v>
      </c>
      <c r="M83" s="204">
        <v>0</v>
      </c>
      <c r="N83" s="204" t="s">
        <v>838</v>
      </c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</row>
    <row r="84" spans="1:25" x14ac:dyDescent="0.3">
      <c r="A84" s="305"/>
      <c r="B84" s="95" t="s">
        <v>84</v>
      </c>
      <c r="C84" s="95" t="s">
        <v>65</v>
      </c>
      <c r="D84" s="95" t="s">
        <v>65</v>
      </c>
      <c r="E84" s="95" t="s">
        <v>65</v>
      </c>
      <c r="F84" s="95" t="s">
        <v>65</v>
      </c>
      <c r="G84" s="95" t="s">
        <v>65</v>
      </c>
      <c r="H84" s="95" t="s">
        <v>65</v>
      </c>
      <c r="I84" s="95" t="s">
        <v>65</v>
      </c>
      <c r="J84" s="95" t="s">
        <v>65</v>
      </c>
      <c r="K84" s="204">
        <v>0</v>
      </c>
      <c r="L84" s="204">
        <v>0</v>
      </c>
      <c r="M84" s="204">
        <v>0</v>
      </c>
      <c r="N84" s="204" t="s">
        <v>65</v>
      </c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</row>
    <row r="85" spans="1:25" x14ac:dyDescent="0.3">
      <c r="A85" s="305"/>
      <c r="B85" s="95" t="s">
        <v>85</v>
      </c>
      <c r="C85" s="95" t="s">
        <v>65</v>
      </c>
      <c r="D85" s="95" t="s">
        <v>65</v>
      </c>
      <c r="E85" s="95">
        <v>8</v>
      </c>
      <c r="F85" s="95">
        <v>1.5</v>
      </c>
      <c r="G85" s="95">
        <v>4</v>
      </c>
      <c r="H85" s="95">
        <v>1</v>
      </c>
      <c r="I85" s="95">
        <v>4</v>
      </c>
      <c r="J85" s="95">
        <v>0.6</v>
      </c>
      <c r="K85" s="204">
        <v>5</v>
      </c>
      <c r="L85" s="204">
        <v>0.7</v>
      </c>
      <c r="M85" s="204">
        <v>1</v>
      </c>
      <c r="N85" s="206">
        <v>28.2</v>
      </c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</row>
    <row r="86" spans="1:25" x14ac:dyDescent="0.3">
      <c r="A86" s="306"/>
      <c r="B86" s="97" t="s">
        <v>110</v>
      </c>
      <c r="C86" s="97">
        <v>445</v>
      </c>
      <c r="D86" s="97">
        <v>100</v>
      </c>
      <c r="E86" s="97">
        <v>515</v>
      </c>
      <c r="F86" s="97">
        <v>100</v>
      </c>
      <c r="G86" s="97">
        <v>373</v>
      </c>
      <c r="H86" s="97">
        <v>100</v>
      </c>
      <c r="I86" s="97">
        <v>641</v>
      </c>
      <c r="J86" s="97">
        <v>100</v>
      </c>
      <c r="K86" s="207">
        <v>678</v>
      </c>
      <c r="L86" s="207">
        <v>100</v>
      </c>
      <c r="M86" s="207">
        <v>36</v>
      </c>
      <c r="N86" s="209">
        <v>5.7</v>
      </c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 spans="1:25" x14ac:dyDescent="0.3">
      <c r="A87" s="304" t="s">
        <v>824</v>
      </c>
      <c r="B87" s="95" t="s">
        <v>78</v>
      </c>
      <c r="C87" s="95" t="s">
        <v>65</v>
      </c>
      <c r="D87" s="95" t="s">
        <v>65</v>
      </c>
      <c r="E87" s="95" t="s">
        <v>65</v>
      </c>
      <c r="F87" s="95" t="s">
        <v>65</v>
      </c>
      <c r="G87" s="95">
        <v>8</v>
      </c>
      <c r="H87" s="95">
        <v>0.7</v>
      </c>
      <c r="I87" s="95">
        <v>13</v>
      </c>
      <c r="J87" s="95">
        <v>1</v>
      </c>
      <c r="K87" s="204">
        <v>12</v>
      </c>
      <c r="L87" s="204">
        <v>0.9</v>
      </c>
      <c r="M87" s="204" t="s">
        <v>821</v>
      </c>
      <c r="N87" s="206" t="s">
        <v>1129</v>
      </c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</row>
    <row r="88" spans="1:25" x14ac:dyDescent="0.3">
      <c r="A88" s="305"/>
      <c r="B88" s="95" t="s">
        <v>79</v>
      </c>
      <c r="C88" s="95">
        <v>189</v>
      </c>
      <c r="D88" s="95">
        <v>27.5</v>
      </c>
      <c r="E88" s="95">
        <v>291</v>
      </c>
      <c r="F88" s="95">
        <v>31.1</v>
      </c>
      <c r="G88" s="95">
        <v>329</v>
      </c>
      <c r="H88" s="95">
        <v>29.8</v>
      </c>
      <c r="I88" s="95">
        <v>366</v>
      </c>
      <c r="J88" s="95">
        <v>28.4</v>
      </c>
      <c r="K88" s="204">
        <v>365</v>
      </c>
      <c r="L88" s="204">
        <v>28.2</v>
      </c>
      <c r="M88" s="204" t="s">
        <v>482</v>
      </c>
      <c r="N88" s="206" t="s">
        <v>812</v>
      </c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</row>
    <row r="89" spans="1:25" x14ac:dyDescent="0.3">
      <c r="A89" s="305"/>
      <c r="B89" s="95" t="s">
        <v>80</v>
      </c>
      <c r="C89" s="95">
        <v>175</v>
      </c>
      <c r="D89" s="95">
        <v>25.4</v>
      </c>
      <c r="E89" s="95">
        <v>228</v>
      </c>
      <c r="F89" s="95">
        <v>24.3</v>
      </c>
      <c r="G89" s="95">
        <v>245</v>
      </c>
      <c r="H89" s="95">
        <v>22.2</v>
      </c>
      <c r="I89" s="95">
        <v>237</v>
      </c>
      <c r="J89" s="95">
        <v>18.399999999999999</v>
      </c>
      <c r="K89" s="204">
        <v>201</v>
      </c>
      <c r="L89" s="204">
        <v>15.6</v>
      </c>
      <c r="M89" s="204" t="s">
        <v>1130</v>
      </c>
      <c r="N89" s="206" t="s">
        <v>1094</v>
      </c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</row>
    <row r="90" spans="1:25" x14ac:dyDescent="0.3">
      <c r="A90" s="305"/>
      <c r="B90" s="95" t="s">
        <v>81</v>
      </c>
      <c r="C90" s="95">
        <v>3</v>
      </c>
      <c r="D90" s="95">
        <v>0.5</v>
      </c>
      <c r="E90" s="95" t="s">
        <v>65</v>
      </c>
      <c r="F90" s="95" t="s">
        <v>65</v>
      </c>
      <c r="G90" s="95">
        <v>10</v>
      </c>
      <c r="H90" s="95">
        <v>0.9</v>
      </c>
      <c r="I90" s="95">
        <v>6</v>
      </c>
      <c r="J90" s="95">
        <v>0.5</v>
      </c>
      <c r="K90" s="204">
        <v>0</v>
      </c>
      <c r="L90" s="204">
        <v>0</v>
      </c>
      <c r="M90" s="204" t="s">
        <v>797</v>
      </c>
      <c r="N90" s="206" t="s">
        <v>1107</v>
      </c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</row>
    <row r="91" spans="1:25" x14ac:dyDescent="0.3">
      <c r="A91" s="305"/>
      <c r="B91" s="95" t="s">
        <v>82</v>
      </c>
      <c r="C91" s="95" t="s">
        <v>65</v>
      </c>
      <c r="D91" s="95" t="s">
        <v>65</v>
      </c>
      <c r="E91" s="95">
        <v>20</v>
      </c>
      <c r="F91" s="95">
        <v>2.2000000000000002</v>
      </c>
      <c r="G91" s="95">
        <v>18</v>
      </c>
      <c r="H91" s="95">
        <v>1.6</v>
      </c>
      <c r="I91" s="95">
        <v>34</v>
      </c>
      <c r="J91" s="95">
        <v>2.7</v>
      </c>
      <c r="K91" s="204">
        <v>31</v>
      </c>
      <c r="L91" s="204">
        <v>2.4</v>
      </c>
      <c r="M91" s="204" t="s">
        <v>810</v>
      </c>
      <c r="N91" s="206" t="s">
        <v>1131</v>
      </c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</row>
    <row r="92" spans="1:25" x14ac:dyDescent="0.3">
      <c r="A92" s="305"/>
      <c r="B92" s="95" t="s">
        <v>83</v>
      </c>
      <c r="C92" s="95">
        <v>221</v>
      </c>
      <c r="D92" s="95">
        <v>32.200000000000003</v>
      </c>
      <c r="E92" s="95">
        <v>271</v>
      </c>
      <c r="F92" s="95">
        <v>29</v>
      </c>
      <c r="G92" s="95">
        <v>342</v>
      </c>
      <c r="H92" s="95">
        <v>31</v>
      </c>
      <c r="I92" s="95">
        <v>401</v>
      </c>
      <c r="J92" s="95">
        <v>31</v>
      </c>
      <c r="K92" s="204">
        <v>464</v>
      </c>
      <c r="L92" s="204">
        <v>35.9</v>
      </c>
      <c r="M92" s="204">
        <v>64</v>
      </c>
      <c r="N92" s="206">
        <v>15.9</v>
      </c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</row>
    <row r="93" spans="1:25" x14ac:dyDescent="0.3">
      <c r="A93" s="305"/>
      <c r="B93" s="95" t="s">
        <v>84</v>
      </c>
      <c r="C93" s="95" t="s">
        <v>65</v>
      </c>
      <c r="D93" s="95" t="s">
        <v>65</v>
      </c>
      <c r="E93" s="95" t="s">
        <v>65</v>
      </c>
      <c r="F93" s="95" t="s">
        <v>65</v>
      </c>
      <c r="G93" s="95" t="s">
        <v>65</v>
      </c>
      <c r="H93" s="95" t="s">
        <v>65</v>
      </c>
      <c r="I93" s="95" t="s">
        <v>65</v>
      </c>
      <c r="J93" s="95" t="s">
        <v>65</v>
      </c>
      <c r="K93" s="204">
        <v>0</v>
      </c>
      <c r="L93" s="204">
        <v>0</v>
      </c>
      <c r="M93" s="204">
        <v>0</v>
      </c>
      <c r="N93" s="204" t="s">
        <v>65</v>
      </c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</row>
    <row r="94" spans="1:25" x14ac:dyDescent="0.3">
      <c r="A94" s="305"/>
      <c r="B94" s="95" t="s">
        <v>85</v>
      </c>
      <c r="C94" s="95">
        <v>99</v>
      </c>
      <c r="D94" s="95">
        <v>14.4</v>
      </c>
      <c r="E94" s="95">
        <v>126</v>
      </c>
      <c r="F94" s="95">
        <v>13.4</v>
      </c>
      <c r="G94" s="95">
        <v>151</v>
      </c>
      <c r="H94" s="95">
        <v>13.7</v>
      </c>
      <c r="I94" s="95">
        <v>233</v>
      </c>
      <c r="J94" s="95">
        <v>18.100000000000001</v>
      </c>
      <c r="K94" s="204">
        <v>219</v>
      </c>
      <c r="L94" s="204">
        <v>16.899999999999999</v>
      </c>
      <c r="M94" s="204" t="s">
        <v>807</v>
      </c>
      <c r="N94" s="206" t="s">
        <v>457</v>
      </c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</row>
    <row r="95" spans="1:25" x14ac:dyDescent="0.3">
      <c r="A95" s="306"/>
      <c r="B95" s="97" t="s">
        <v>110</v>
      </c>
      <c r="C95" s="97">
        <v>687</v>
      </c>
      <c r="D95" s="97">
        <v>100</v>
      </c>
      <c r="E95" s="97">
        <v>937</v>
      </c>
      <c r="F95" s="97">
        <v>100</v>
      </c>
      <c r="G95" s="97">
        <v>1102</v>
      </c>
      <c r="H95" s="97">
        <v>100</v>
      </c>
      <c r="I95" s="98">
        <v>1290</v>
      </c>
      <c r="J95" s="97">
        <v>100</v>
      </c>
      <c r="K95" s="207">
        <v>1291</v>
      </c>
      <c r="L95" s="207">
        <v>100</v>
      </c>
      <c r="M95" s="207">
        <v>1</v>
      </c>
      <c r="N95" s="209">
        <v>0.1</v>
      </c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</row>
    <row r="96" spans="1:25" x14ac:dyDescent="0.3">
      <c r="A96" s="304" t="s">
        <v>801</v>
      </c>
      <c r="B96" s="95" t="s">
        <v>78</v>
      </c>
      <c r="C96" s="95" t="s">
        <v>65</v>
      </c>
      <c r="D96" s="95" t="s">
        <v>65</v>
      </c>
      <c r="E96" s="95" t="s">
        <v>65</v>
      </c>
      <c r="F96" s="95" t="s">
        <v>65</v>
      </c>
      <c r="G96" s="95" t="s">
        <v>65</v>
      </c>
      <c r="H96" s="95" t="s">
        <v>65</v>
      </c>
      <c r="I96" s="95">
        <v>23</v>
      </c>
      <c r="J96" s="95">
        <v>0.1</v>
      </c>
      <c r="K96" s="204">
        <v>8</v>
      </c>
      <c r="L96" s="204">
        <v>0</v>
      </c>
      <c r="M96" s="204" t="s">
        <v>807</v>
      </c>
      <c r="N96" s="204" t="s">
        <v>1132</v>
      </c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</row>
    <row r="97" spans="1:25" x14ac:dyDescent="0.3">
      <c r="A97" s="305"/>
      <c r="B97" s="95" t="s">
        <v>79</v>
      </c>
      <c r="C97" s="96">
        <v>18898</v>
      </c>
      <c r="D97" s="95">
        <v>59.7</v>
      </c>
      <c r="E97" s="96">
        <v>22525</v>
      </c>
      <c r="F97" s="95">
        <v>59.7</v>
      </c>
      <c r="G97" s="96">
        <v>23929</v>
      </c>
      <c r="H97" s="95">
        <v>62.2</v>
      </c>
      <c r="I97" s="96">
        <v>26950</v>
      </c>
      <c r="J97" s="95">
        <v>65.599999999999994</v>
      </c>
      <c r="K97" s="204">
        <v>30644</v>
      </c>
      <c r="L97" s="204">
        <v>66.599999999999994</v>
      </c>
      <c r="M97" s="204">
        <v>3694</v>
      </c>
      <c r="N97" s="206">
        <v>13.7</v>
      </c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</row>
    <row r="98" spans="1:25" x14ac:dyDescent="0.3">
      <c r="A98" s="305"/>
      <c r="B98" s="95" t="s">
        <v>80</v>
      </c>
      <c r="C98" s="95">
        <v>385</v>
      </c>
      <c r="D98" s="95">
        <v>1.2</v>
      </c>
      <c r="E98" s="95">
        <v>468</v>
      </c>
      <c r="F98" s="95">
        <v>1.2</v>
      </c>
      <c r="G98" s="95">
        <v>616</v>
      </c>
      <c r="H98" s="95">
        <v>1.6</v>
      </c>
      <c r="I98" s="95">
        <v>831</v>
      </c>
      <c r="J98" s="95">
        <v>2</v>
      </c>
      <c r="K98" s="204">
        <v>742</v>
      </c>
      <c r="L98" s="204">
        <v>1.6</v>
      </c>
      <c r="M98" s="204" t="s">
        <v>1133</v>
      </c>
      <c r="N98" s="206" t="s">
        <v>804</v>
      </c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</row>
    <row r="99" spans="1:25" x14ac:dyDescent="0.3">
      <c r="A99" s="305"/>
      <c r="B99" s="95" t="s">
        <v>81</v>
      </c>
      <c r="C99" s="96">
        <v>1372</v>
      </c>
      <c r="D99" s="95">
        <v>4.3</v>
      </c>
      <c r="E99" s="96">
        <v>642</v>
      </c>
      <c r="F99" s="95">
        <v>1.7</v>
      </c>
      <c r="G99" s="95">
        <v>848</v>
      </c>
      <c r="H99" s="95">
        <v>2.2000000000000002</v>
      </c>
      <c r="I99" s="95">
        <v>1761</v>
      </c>
      <c r="J99" s="95">
        <v>4.3</v>
      </c>
      <c r="K99" s="204">
        <v>3441</v>
      </c>
      <c r="L99" s="204">
        <v>7.5</v>
      </c>
      <c r="M99" s="204">
        <v>1679</v>
      </c>
      <c r="N99" s="206">
        <v>95.3</v>
      </c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</row>
    <row r="100" spans="1:25" x14ac:dyDescent="0.3">
      <c r="A100" s="305"/>
      <c r="B100" s="95" t="s">
        <v>82</v>
      </c>
      <c r="C100" s="96">
        <v>9097</v>
      </c>
      <c r="D100" s="95">
        <v>28.7</v>
      </c>
      <c r="E100" s="96">
        <v>11398</v>
      </c>
      <c r="F100" s="95">
        <v>30.2</v>
      </c>
      <c r="G100" s="96">
        <v>9296</v>
      </c>
      <c r="H100" s="95">
        <v>24.1</v>
      </c>
      <c r="I100" s="96">
        <v>9860</v>
      </c>
      <c r="J100" s="95">
        <v>24</v>
      </c>
      <c r="K100" s="204">
        <v>8719</v>
      </c>
      <c r="L100" s="204">
        <v>19</v>
      </c>
      <c r="M100" s="204" t="s">
        <v>1134</v>
      </c>
      <c r="N100" s="206" t="s">
        <v>1135</v>
      </c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</row>
    <row r="101" spans="1:25" x14ac:dyDescent="0.3">
      <c r="A101" s="305"/>
      <c r="B101" s="95" t="s">
        <v>83</v>
      </c>
      <c r="C101" s="95">
        <v>540</v>
      </c>
      <c r="D101" s="95">
        <v>1.7</v>
      </c>
      <c r="E101" s="95">
        <v>1010</v>
      </c>
      <c r="F101" s="95">
        <v>2.7</v>
      </c>
      <c r="G101" s="96">
        <v>1208</v>
      </c>
      <c r="H101" s="95">
        <v>3.1</v>
      </c>
      <c r="I101" s="96">
        <v>1634</v>
      </c>
      <c r="J101" s="95">
        <v>4</v>
      </c>
      <c r="K101" s="204">
        <v>2357</v>
      </c>
      <c r="L101" s="204">
        <v>5.0999999999999996</v>
      </c>
      <c r="M101" s="204">
        <v>722</v>
      </c>
      <c r="N101" s="206">
        <v>44.2</v>
      </c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</row>
    <row r="102" spans="1:25" x14ac:dyDescent="0.3">
      <c r="A102" s="305"/>
      <c r="B102" s="95" t="s">
        <v>84</v>
      </c>
      <c r="C102" s="96">
        <v>1296</v>
      </c>
      <c r="D102" s="95">
        <v>4.0999999999999996</v>
      </c>
      <c r="E102" s="96">
        <v>1621</v>
      </c>
      <c r="F102" s="95">
        <v>4.3</v>
      </c>
      <c r="G102" s="96">
        <v>2139</v>
      </c>
      <c r="H102" s="95">
        <v>5.6</v>
      </c>
      <c r="I102" s="96">
        <v>2</v>
      </c>
      <c r="J102" s="95">
        <v>0</v>
      </c>
      <c r="K102" s="204">
        <v>0</v>
      </c>
      <c r="L102" s="204">
        <v>0</v>
      </c>
      <c r="M102" s="204" t="s">
        <v>482</v>
      </c>
      <c r="N102" s="206" t="s">
        <v>1107</v>
      </c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</row>
    <row r="103" spans="1:25" x14ac:dyDescent="0.3">
      <c r="A103" s="305"/>
      <c r="B103" s="95" t="s">
        <v>85</v>
      </c>
      <c r="C103" s="95">
        <v>68</v>
      </c>
      <c r="D103" s="95">
        <v>0.2</v>
      </c>
      <c r="E103" s="95">
        <v>51</v>
      </c>
      <c r="F103" s="95">
        <v>0.1</v>
      </c>
      <c r="G103" s="95">
        <v>461</v>
      </c>
      <c r="H103" s="95">
        <v>1.2</v>
      </c>
      <c r="I103" s="95" t="s">
        <v>65</v>
      </c>
      <c r="J103" s="95" t="s">
        <v>65</v>
      </c>
      <c r="K103" s="204">
        <v>80</v>
      </c>
      <c r="L103" s="204">
        <v>0.2</v>
      </c>
      <c r="M103" s="204">
        <v>80</v>
      </c>
      <c r="N103" s="204" t="s">
        <v>65</v>
      </c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</row>
    <row r="104" spans="1:25" x14ac:dyDescent="0.3">
      <c r="A104" s="306"/>
      <c r="B104" s="97" t="s">
        <v>110</v>
      </c>
      <c r="C104" s="98">
        <v>31657</v>
      </c>
      <c r="D104" s="97">
        <v>100</v>
      </c>
      <c r="E104" s="98">
        <v>37715</v>
      </c>
      <c r="F104" s="97">
        <v>100</v>
      </c>
      <c r="G104" s="98">
        <v>38497</v>
      </c>
      <c r="H104" s="97">
        <v>100</v>
      </c>
      <c r="I104" s="98">
        <v>41061</v>
      </c>
      <c r="J104" s="97">
        <v>100</v>
      </c>
      <c r="K104" s="207">
        <v>45992</v>
      </c>
      <c r="L104" s="207">
        <v>100</v>
      </c>
      <c r="M104" s="207">
        <v>4931</v>
      </c>
      <c r="N104" s="209">
        <v>12</v>
      </c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</row>
    <row r="105" spans="1:25" x14ac:dyDescent="0.3">
      <c r="A105" s="304" t="s">
        <v>49</v>
      </c>
      <c r="B105" s="95" t="s">
        <v>78</v>
      </c>
      <c r="C105" s="95">
        <v>39</v>
      </c>
      <c r="D105" s="95">
        <v>1.3</v>
      </c>
      <c r="E105" s="95">
        <v>41</v>
      </c>
      <c r="F105" s="95">
        <v>0.9</v>
      </c>
      <c r="G105" s="95">
        <v>87</v>
      </c>
      <c r="H105" s="95">
        <v>1</v>
      </c>
      <c r="I105" s="95">
        <v>55</v>
      </c>
      <c r="J105" s="95">
        <v>0.6</v>
      </c>
      <c r="K105" s="204">
        <v>44</v>
      </c>
      <c r="L105" s="204">
        <v>0.5</v>
      </c>
      <c r="M105" s="204" t="s">
        <v>795</v>
      </c>
      <c r="N105" s="206" t="s">
        <v>1136</v>
      </c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</row>
    <row r="106" spans="1:25" x14ac:dyDescent="0.3">
      <c r="A106" s="305"/>
      <c r="B106" s="95" t="s">
        <v>79</v>
      </c>
      <c r="C106" s="95">
        <v>853</v>
      </c>
      <c r="D106" s="95">
        <v>27.8</v>
      </c>
      <c r="E106" s="95">
        <v>1705</v>
      </c>
      <c r="F106" s="95">
        <v>37.9</v>
      </c>
      <c r="G106" s="96">
        <v>3039</v>
      </c>
      <c r="H106" s="95">
        <v>35.200000000000003</v>
      </c>
      <c r="I106" s="96">
        <v>2905</v>
      </c>
      <c r="J106" s="95">
        <v>31.4</v>
      </c>
      <c r="K106" s="204">
        <v>3207</v>
      </c>
      <c r="L106" s="204">
        <v>34.299999999999997</v>
      </c>
      <c r="M106" s="204">
        <v>302</v>
      </c>
      <c r="N106" s="206">
        <v>10.4</v>
      </c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</row>
    <row r="107" spans="1:25" x14ac:dyDescent="0.3">
      <c r="A107" s="305"/>
      <c r="B107" s="95" t="s">
        <v>80</v>
      </c>
      <c r="C107" s="95">
        <v>397</v>
      </c>
      <c r="D107" s="95">
        <v>12.9</v>
      </c>
      <c r="E107" s="95">
        <v>840</v>
      </c>
      <c r="F107" s="95">
        <v>18.7</v>
      </c>
      <c r="G107" s="95">
        <v>1379</v>
      </c>
      <c r="H107" s="95">
        <v>15.9</v>
      </c>
      <c r="I107" s="96">
        <v>1390</v>
      </c>
      <c r="J107" s="95">
        <v>15</v>
      </c>
      <c r="K107" s="204">
        <v>918</v>
      </c>
      <c r="L107" s="204">
        <v>9.8000000000000007</v>
      </c>
      <c r="M107" s="204" t="s">
        <v>1137</v>
      </c>
      <c r="N107" s="206" t="s">
        <v>1138</v>
      </c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</row>
    <row r="108" spans="1:25" x14ac:dyDescent="0.3">
      <c r="A108" s="305"/>
      <c r="B108" s="95" t="s">
        <v>81</v>
      </c>
      <c r="C108" s="95">
        <v>25</v>
      </c>
      <c r="D108" s="95">
        <v>0.8</v>
      </c>
      <c r="E108" s="95">
        <v>45</v>
      </c>
      <c r="F108" s="95">
        <v>1</v>
      </c>
      <c r="G108" s="95">
        <v>83</v>
      </c>
      <c r="H108" s="95">
        <v>1</v>
      </c>
      <c r="I108" s="95">
        <v>164</v>
      </c>
      <c r="J108" s="95">
        <v>1.8</v>
      </c>
      <c r="K108" s="204">
        <v>114</v>
      </c>
      <c r="L108" s="204">
        <v>1.2</v>
      </c>
      <c r="M108" s="204" t="s">
        <v>1139</v>
      </c>
      <c r="N108" s="206" t="s">
        <v>1140</v>
      </c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</row>
    <row r="109" spans="1:25" x14ac:dyDescent="0.3">
      <c r="A109" s="305"/>
      <c r="B109" s="95" t="s">
        <v>82</v>
      </c>
      <c r="C109" s="95">
        <v>562</v>
      </c>
      <c r="D109" s="95">
        <v>18.3</v>
      </c>
      <c r="E109" s="95">
        <v>391</v>
      </c>
      <c r="F109" s="95">
        <v>8.6999999999999993</v>
      </c>
      <c r="G109" s="95">
        <v>752</v>
      </c>
      <c r="H109" s="95">
        <v>8.6999999999999993</v>
      </c>
      <c r="I109" s="95">
        <v>787</v>
      </c>
      <c r="J109" s="95">
        <v>8.5</v>
      </c>
      <c r="K109" s="204">
        <v>665</v>
      </c>
      <c r="L109" s="204">
        <v>7.1</v>
      </c>
      <c r="M109" s="204" t="s">
        <v>1141</v>
      </c>
      <c r="N109" s="206" t="s">
        <v>1142</v>
      </c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</row>
    <row r="110" spans="1:25" x14ac:dyDescent="0.3">
      <c r="A110" s="305"/>
      <c r="B110" s="95" t="s">
        <v>83</v>
      </c>
      <c r="C110" s="96">
        <v>1027</v>
      </c>
      <c r="D110" s="95">
        <v>33.5</v>
      </c>
      <c r="E110" s="96">
        <v>1078</v>
      </c>
      <c r="F110" s="95">
        <v>24</v>
      </c>
      <c r="G110" s="96">
        <v>2406</v>
      </c>
      <c r="H110" s="95">
        <v>27.8</v>
      </c>
      <c r="I110" s="96">
        <v>3332</v>
      </c>
      <c r="J110" s="95">
        <v>36</v>
      </c>
      <c r="K110" s="204">
        <v>4015</v>
      </c>
      <c r="L110" s="204">
        <v>42.9</v>
      </c>
      <c r="M110" s="204">
        <v>683</v>
      </c>
      <c r="N110" s="206">
        <v>20.5</v>
      </c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</row>
    <row r="111" spans="1:25" x14ac:dyDescent="0.3">
      <c r="A111" s="305"/>
      <c r="B111" s="95" t="s">
        <v>84</v>
      </c>
      <c r="C111" s="95" t="s">
        <v>65</v>
      </c>
      <c r="D111" s="95" t="s">
        <v>65</v>
      </c>
      <c r="E111" s="95" t="s">
        <v>65</v>
      </c>
      <c r="F111" s="95" t="s">
        <v>65</v>
      </c>
      <c r="G111" s="95">
        <v>1</v>
      </c>
      <c r="H111" s="95">
        <v>0</v>
      </c>
      <c r="I111" s="95">
        <v>1</v>
      </c>
      <c r="J111" s="95">
        <v>0</v>
      </c>
      <c r="K111" s="204">
        <v>1</v>
      </c>
      <c r="L111" s="204">
        <v>0</v>
      </c>
      <c r="M111" s="204">
        <v>0</v>
      </c>
      <c r="N111" s="206">
        <v>0</v>
      </c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</row>
    <row r="112" spans="1:25" x14ac:dyDescent="0.3">
      <c r="A112" s="305"/>
      <c r="B112" s="95" t="s">
        <v>85</v>
      </c>
      <c r="C112" s="95">
        <v>166</v>
      </c>
      <c r="D112" s="95">
        <v>5.4</v>
      </c>
      <c r="E112" s="95">
        <v>395</v>
      </c>
      <c r="F112" s="95">
        <v>8.8000000000000007</v>
      </c>
      <c r="G112" s="95">
        <v>899</v>
      </c>
      <c r="H112" s="95">
        <v>10.4</v>
      </c>
      <c r="I112" s="95">
        <v>618</v>
      </c>
      <c r="J112" s="95">
        <v>6.7</v>
      </c>
      <c r="K112" s="204">
        <v>398</v>
      </c>
      <c r="L112" s="204">
        <v>4.2</v>
      </c>
      <c r="M112" s="204" t="s">
        <v>1143</v>
      </c>
      <c r="N112" s="206" t="s">
        <v>1144</v>
      </c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</row>
    <row r="113" spans="1:25" x14ac:dyDescent="0.3">
      <c r="A113" s="306"/>
      <c r="B113" s="97" t="s">
        <v>110</v>
      </c>
      <c r="C113" s="98">
        <v>3069</v>
      </c>
      <c r="D113" s="97">
        <v>100</v>
      </c>
      <c r="E113" s="98">
        <v>4493</v>
      </c>
      <c r="F113" s="97">
        <v>100</v>
      </c>
      <c r="G113" s="98">
        <v>8645</v>
      </c>
      <c r="H113" s="97">
        <v>100</v>
      </c>
      <c r="I113" s="98">
        <v>9252</v>
      </c>
      <c r="J113" s="97">
        <v>100</v>
      </c>
      <c r="K113" s="207">
        <v>9360</v>
      </c>
      <c r="L113" s="207">
        <v>100</v>
      </c>
      <c r="M113" s="207">
        <v>108</v>
      </c>
      <c r="N113" s="209">
        <v>1.2</v>
      </c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</row>
    <row r="114" spans="1:25" x14ac:dyDescent="0.3">
      <c r="A114" s="304" t="s">
        <v>802</v>
      </c>
      <c r="B114" s="95" t="s">
        <v>78</v>
      </c>
      <c r="C114" s="95">
        <v>917</v>
      </c>
      <c r="D114" s="95">
        <v>17.8</v>
      </c>
      <c r="E114" s="95">
        <v>1140</v>
      </c>
      <c r="F114" s="95">
        <v>17.7</v>
      </c>
      <c r="G114" s="96">
        <v>391</v>
      </c>
      <c r="H114" s="95">
        <v>6.8</v>
      </c>
      <c r="I114" s="95">
        <v>359</v>
      </c>
      <c r="J114" s="95">
        <v>5.8</v>
      </c>
      <c r="K114" s="204">
        <v>108</v>
      </c>
      <c r="L114" s="204">
        <v>1.8</v>
      </c>
      <c r="M114" s="204" t="s">
        <v>1145</v>
      </c>
      <c r="N114" s="206" t="s">
        <v>1146</v>
      </c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</row>
    <row r="115" spans="1:25" x14ac:dyDescent="0.3">
      <c r="A115" s="305"/>
      <c r="B115" s="95" t="s">
        <v>79</v>
      </c>
      <c r="C115" s="95">
        <v>946</v>
      </c>
      <c r="D115" s="95">
        <v>18.399999999999999</v>
      </c>
      <c r="E115" s="95">
        <v>916</v>
      </c>
      <c r="F115" s="95">
        <v>14.2</v>
      </c>
      <c r="G115" s="95">
        <v>931</v>
      </c>
      <c r="H115" s="95">
        <v>16.100000000000001</v>
      </c>
      <c r="I115" s="95">
        <v>991</v>
      </c>
      <c r="J115" s="95">
        <v>15.9</v>
      </c>
      <c r="K115" s="204">
        <v>908</v>
      </c>
      <c r="L115" s="204">
        <v>14.8</v>
      </c>
      <c r="M115" s="204" t="s">
        <v>442</v>
      </c>
      <c r="N115" s="206" t="s">
        <v>817</v>
      </c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</row>
    <row r="116" spans="1:25" x14ac:dyDescent="0.3">
      <c r="A116" s="305"/>
      <c r="B116" s="95" t="s">
        <v>80</v>
      </c>
      <c r="C116" s="96">
        <v>2223</v>
      </c>
      <c r="D116" s="95">
        <v>43.2</v>
      </c>
      <c r="E116" s="96">
        <v>2572</v>
      </c>
      <c r="F116" s="95">
        <v>40</v>
      </c>
      <c r="G116" s="96">
        <v>2301</v>
      </c>
      <c r="H116" s="95">
        <v>39.9</v>
      </c>
      <c r="I116" s="96">
        <v>2614</v>
      </c>
      <c r="J116" s="95">
        <v>42</v>
      </c>
      <c r="K116" s="204">
        <v>2876</v>
      </c>
      <c r="L116" s="204">
        <v>46.8</v>
      </c>
      <c r="M116" s="204">
        <v>262</v>
      </c>
      <c r="N116" s="206">
        <v>10</v>
      </c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</row>
    <row r="117" spans="1:25" x14ac:dyDescent="0.3">
      <c r="A117" s="305"/>
      <c r="B117" s="95" t="s">
        <v>81</v>
      </c>
      <c r="C117" s="95">
        <v>15</v>
      </c>
      <c r="D117" s="95">
        <v>0.3</v>
      </c>
      <c r="E117" s="95">
        <v>31</v>
      </c>
      <c r="F117" s="95">
        <v>0.5</v>
      </c>
      <c r="G117" s="95">
        <v>351</v>
      </c>
      <c r="H117" s="95">
        <v>6.1</v>
      </c>
      <c r="I117" s="95">
        <v>14</v>
      </c>
      <c r="J117" s="95">
        <v>0.2</v>
      </c>
      <c r="K117" s="204">
        <v>24</v>
      </c>
      <c r="L117" s="204">
        <v>0.4</v>
      </c>
      <c r="M117" s="204">
        <v>10</v>
      </c>
      <c r="N117" s="206">
        <v>73.599999999999994</v>
      </c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</row>
    <row r="118" spans="1:25" x14ac:dyDescent="0.3">
      <c r="A118" s="305"/>
      <c r="B118" s="95" t="s">
        <v>82</v>
      </c>
      <c r="C118" s="95">
        <v>151</v>
      </c>
      <c r="D118" s="95">
        <v>2.9</v>
      </c>
      <c r="E118" s="95">
        <v>469</v>
      </c>
      <c r="F118" s="95">
        <v>7.3</v>
      </c>
      <c r="G118" s="95">
        <v>138</v>
      </c>
      <c r="H118" s="95">
        <v>2.4</v>
      </c>
      <c r="I118" s="95">
        <v>104</v>
      </c>
      <c r="J118" s="95">
        <v>1.7</v>
      </c>
      <c r="K118" s="204">
        <v>41</v>
      </c>
      <c r="L118" s="204">
        <v>0.7</v>
      </c>
      <c r="M118" s="204" t="s">
        <v>1147</v>
      </c>
      <c r="N118" s="206" t="s">
        <v>830</v>
      </c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</row>
    <row r="119" spans="1:25" x14ac:dyDescent="0.3">
      <c r="A119" s="305"/>
      <c r="B119" s="95" t="s">
        <v>83</v>
      </c>
      <c r="C119" s="95">
        <v>506</v>
      </c>
      <c r="D119" s="95">
        <v>9.8000000000000007</v>
      </c>
      <c r="E119" s="95">
        <v>841</v>
      </c>
      <c r="F119" s="95">
        <v>13.1</v>
      </c>
      <c r="G119" s="95">
        <v>893</v>
      </c>
      <c r="H119" s="95">
        <v>15.5</v>
      </c>
      <c r="I119" s="95">
        <v>1298</v>
      </c>
      <c r="J119" s="95">
        <v>20.9</v>
      </c>
      <c r="K119" s="204">
        <v>1314</v>
      </c>
      <c r="L119" s="204">
        <v>21.4</v>
      </c>
      <c r="M119" s="204">
        <v>16</v>
      </c>
      <c r="N119" s="206">
        <v>1.2</v>
      </c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</row>
    <row r="120" spans="1:25" x14ac:dyDescent="0.3">
      <c r="A120" s="305"/>
      <c r="B120" s="95" t="s">
        <v>84</v>
      </c>
      <c r="C120" s="95" t="s">
        <v>65</v>
      </c>
      <c r="D120" s="95" t="s">
        <v>65</v>
      </c>
      <c r="E120" s="95" t="s">
        <v>65</v>
      </c>
      <c r="F120" s="95" t="s">
        <v>65</v>
      </c>
      <c r="G120" s="95" t="s">
        <v>65</v>
      </c>
      <c r="H120" s="95" t="s">
        <v>65</v>
      </c>
      <c r="I120" s="95" t="s">
        <v>65</v>
      </c>
      <c r="J120" s="95" t="s">
        <v>65</v>
      </c>
      <c r="K120" s="204">
        <v>0</v>
      </c>
      <c r="L120" s="204">
        <v>0</v>
      </c>
      <c r="M120" s="204">
        <v>0</v>
      </c>
      <c r="N120" s="204" t="s">
        <v>65</v>
      </c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</row>
    <row r="121" spans="1:25" x14ac:dyDescent="0.3">
      <c r="A121" s="305"/>
      <c r="B121" s="95" t="s">
        <v>85</v>
      </c>
      <c r="C121" s="95">
        <v>385</v>
      </c>
      <c r="D121" s="95">
        <v>7.5</v>
      </c>
      <c r="E121" s="95">
        <v>463</v>
      </c>
      <c r="F121" s="95">
        <v>7.2</v>
      </c>
      <c r="G121" s="95">
        <v>764</v>
      </c>
      <c r="H121" s="95">
        <v>13.2</v>
      </c>
      <c r="I121" s="95">
        <v>843</v>
      </c>
      <c r="J121" s="95">
        <v>13.6</v>
      </c>
      <c r="K121" s="204">
        <v>870</v>
      </c>
      <c r="L121" s="204">
        <v>14.2</v>
      </c>
      <c r="M121" s="204">
        <v>26</v>
      </c>
      <c r="N121" s="206">
        <v>3.1</v>
      </c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</row>
    <row r="122" spans="1:25" x14ac:dyDescent="0.3">
      <c r="A122" s="306"/>
      <c r="B122" s="97" t="s">
        <v>110</v>
      </c>
      <c r="C122" s="98">
        <v>5142</v>
      </c>
      <c r="D122" s="97">
        <v>100</v>
      </c>
      <c r="E122" s="98">
        <v>6433</v>
      </c>
      <c r="F122" s="97">
        <v>100</v>
      </c>
      <c r="G122" s="98">
        <v>5768</v>
      </c>
      <c r="H122" s="97">
        <v>100</v>
      </c>
      <c r="I122" s="98">
        <v>6224</v>
      </c>
      <c r="J122" s="97">
        <v>100</v>
      </c>
      <c r="K122" s="207">
        <v>6140</v>
      </c>
      <c r="L122" s="207">
        <v>100</v>
      </c>
      <c r="M122" s="207" t="s">
        <v>1148</v>
      </c>
      <c r="N122" s="209" t="s">
        <v>388</v>
      </c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</row>
    <row r="123" spans="1:25" x14ac:dyDescent="0.3">
      <c r="A123" s="304" t="s">
        <v>56</v>
      </c>
      <c r="B123" s="95" t="s">
        <v>78</v>
      </c>
      <c r="C123" s="95">
        <v>876</v>
      </c>
      <c r="D123" s="95">
        <v>80.5</v>
      </c>
      <c r="E123" s="95">
        <v>888</v>
      </c>
      <c r="F123" s="95">
        <v>77.400000000000006</v>
      </c>
      <c r="G123" s="95">
        <v>899</v>
      </c>
      <c r="H123" s="95">
        <v>66.7</v>
      </c>
      <c r="I123" s="95">
        <v>974</v>
      </c>
      <c r="J123" s="95">
        <v>66.2</v>
      </c>
      <c r="K123" s="204">
        <v>1106</v>
      </c>
      <c r="L123" s="204">
        <v>68.099999999999994</v>
      </c>
      <c r="M123" s="204">
        <v>132</v>
      </c>
      <c r="N123" s="206">
        <v>13.6</v>
      </c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</row>
    <row r="124" spans="1:25" x14ac:dyDescent="0.3">
      <c r="A124" s="305"/>
      <c r="B124" s="95" t="s">
        <v>79</v>
      </c>
      <c r="C124" s="95">
        <v>12</v>
      </c>
      <c r="D124" s="95">
        <v>1.1000000000000001</v>
      </c>
      <c r="E124" s="95">
        <v>9</v>
      </c>
      <c r="F124" s="95">
        <v>0.8</v>
      </c>
      <c r="G124" s="95">
        <v>20</v>
      </c>
      <c r="H124" s="95">
        <v>1.5</v>
      </c>
      <c r="I124" s="95">
        <v>23</v>
      </c>
      <c r="J124" s="95">
        <v>1.6</v>
      </c>
      <c r="K124" s="204">
        <v>22</v>
      </c>
      <c r="L124" s="204">
        <v>1.4</v>
      </c>
      <c r="M124" s="204" t="s">
        <v>821</v>
      </c>
      <c r="N124" s="206" t="s">
        <v>1149</v>
      </c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</row>
    <row r="125" spans="1:25" x14ac:dyDescent="0.3">
      <c r="A125" s="305"/>
      <c r="B125" s="95" t="s">
        <v>80</v>
      </c>
      <c r="C125" s="95">
        <v>136</v>
      </c>
      <c r="D125" s="95">
        <v>12.5</v>
      </c>
      <c r="E125" s="95">
        <v>146</v>
      </c>
      <c r="F125" s="95">
        <v>12.7</v>
      </c>
      <c r="G125" s="95">
        <v>247</v>
      </c>
      <c r="H125" s="95">
        <v>18.399999999999999</v>
      </c>
      <c r="I125" s="95">
        <v>276</v>
      </c>
      <c r="J125" s="95">
        <v>18.8</v>
      </c>
      <c r="K125" s="204">
        <v>256</v>
      </c>
      <c r="L125" s="204">
        <v>15.7</v>
      </c>
      <c r="M125" s="204" t="s">
        <v>828</v>
      </c>
      <c r="N125" s="206" t="s">
        <v>1150</v>
      </c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</row>
    <row r="126" spans="1:25" x14ac:dyDescent="0.3">
      <c r="A126" s="305"/>
      <c r="B126" s="95" t="s">
        <v>81</v>
      </c>
      <c r="C126" s="95">
        <v>1</v>
      </c>
      <c r="D126" s="95">
        <v>0.1</v>
      </c>
      <c r="E126" s="95" t="s">
        <v>65</v>
      </c>
      <c r="F126" s="95" t="s">
        <v>65</v>
      </c>
      <c r="G126" s="95" t="s">
        <v>65</v>
      </c>
      <c r="H126" s="95" t="s">
        <v>65</v>
      </c>
      <c r="I126" s="95" t="s">
        <v>65</v>
      </c>
      <c r="J126" s="95" t="s">
        <v>65</v>
      </c>
      <c r="K126" s="204">
        <v>0</v>
      </c>
      <c r="L126" s="204">
        <v>0</v>
      </c>
      <c r="M126" s="204">
        <v>0</v>
      </c>
      <c r="N126" s="204" t="s">
        <v>65</v>
      </c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</row>
    <row r="127" spans="1:25" x14ac:dyDescent="0.3">
      <c r="A127" s="305"/>
      <c r="B127" s="95" t="s">
        <v>82</v>
      </c>
      <c r="C127" s="95">
        <v>3</v>
      </c>
      <c r="D127" s="95">
        <v>0.2</v>
      </c>
      <c r="E127" s="95">
        <v>1</v>
      </c>
      <c r="F127" s="95">
        <v>0.1</v>
      </c>
      <c r="G127" s="95">
        <v>1</v>
      </c>
      <c r="H127" s="95">
        <v>0.1</v>
      </c>
      <c r="I127" s="95">
        <v>2</v>
      </c>
      <c r="J127" s="95">
        <v>0.1</v>
      </c>
      <c r="K127" s="204">
        <v>2</v>
      </c>
      <c r="L127" s="204">
        <v>0.1</v>
      </c>
      <c r="M127" s="204">
        <v>0</v>
      </c>
      <c r="N127" s="206" t="s">
        <v>1151</v>
      </c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</row>
    <row r="128" spans="1:25" x14ac:dyDescent="0.3">
      <c r="A128" s="305"/>
      <c r="B128" s="95" t="s">
        <v>83</v>
      </c>
      <c r="C128" s="95">
        <v>37</v>
      </c>
      <c r="D128" s="95">
        <v>3.4</v>
      </c>
      <c r="E128" s="95">
        <v>69</v>
      </c>
      <c r="F128" s="95">
        <v>6</v>
      </c>
      <c r="G128" s="95">
        <v>110</v>
      </c>
      <c r="H128" s="95">
        <v>8.1999999999999993</v>
      </c>
      <c r="I128" s="95">
        <v>117</v>
      </c>
      <c r="J128" s="95">
        <v>7.9</v>
      </c>
      <c r="K128" s="204">
        <v>153</v>
      </c>
      <c r="L128" s="204">
        <v>9.4</v>
      </c>
      <c r="M128" s="204">
        <v>37</v>
      </c>
      <c r="N128" s="206">
        <v>31.4</v>
      </c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</row>
    <row r="129" spans="1:25" x14ac:dyDescent="0.3">
      <c r="A129" s="305"/>
      <c r="B129" s="95" t="s">
        <v>84</v>
      </c>
      <c r="C129" s="95" t="s">
        <v>65</v>
      </c>
      <c r="D129" s="95" t="s">
        <v>65</v>
      </c>
      <c r="E129" s="95" t="s">
        <v>65</v>
      </c>
      <c r="F129" s="95" t="s">
        <v>65</v>
      </c>
      <c r="G129" s="95">
        <v>0</v>
      </c>
      <c r="H129" s="95">
        <v>0</v>
      </c>
      <c r="I129" s="95">
        <v>0</v>
      </c>
      <c r="J129" s="95">
        <v>0</v>
      </c>
      <c r="K129" s="204">
        <v>0</v>
      </c>
      <c r="L129" s="204">
        <v>0</v>
      </c>
      <c r="M129" s="204">
        <v>0</v>
      </c>
      <c r="N129" s="206" t="s">
        <v>1107</v>
      </c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</row>
    <row r="130" spans="1:25" x14ac:dyDescent="0.3">
      <c r="A130" s="305"/>
      <c r="B130" s="95" t="s">
        <v>85</v>
      </c>
      <c r="C130" s="95">
        <v>24</v>
      </c>
      <c r="D130" s="95">
        <v>2.2000000000000002</v>
      </c>
      <c r="E130" s="95">
        <v>35</v>
      </c>
      <c r="F130" s="95">
        <v>3.1</v>
      </c>
      <c r="G130" s="95">
        <v>70</v>
      </c>
      <c r="H130" s="95">
        <v>5.2</v>
      </c>
      <c r="I130" s="95">
        <v>80</v>
      </c>
      <c r="J130" s="95">
        <v>5.4</v>
      </c>
      <c r="K130" s="204">
        <v>86</v>
      </c>
      <c r="L130" s="204">
        <v>5.3</v>
      </c>
      <c r="M130" s="204">
        <v>6</v>
      </c>
      <c r="N130" s="206">
        <v>7.8</v>
      </c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</row>
    <row r="131" spans="1:25" x14ac:dyDescent="0.3">
      <c r="A131" s="306"/>
      <c r="B131" s="97" t="s">
        <v>110</v>
      </c>
      <c r="C131" s="98">
        <v>1088</v>
      </c>
      <c r="D131" s="97">
        <v>100</v>
      </c>
      <c r="E131" s="98">
        <v>1147</v>
      </c>
      <c r="F131" s="97">
        <v>100</v>
      </c>
      <c r="G131" s="98">
        <v>1348</v>
      </c>
      <c r="H131" s="97">
        <v>100</v>
      </c>
      <c r="I131" s="98">
        <v>1471</v>
      </c>
      <c r="J131" s="97">
        <v>100</v>
      </c>
      <c r="K131" s="207">
        <v>1625</v>
      </c>
      <c r="L131" s="207">
        <v>100</v>
      </c>
      <c r="M131" s="207">
        <v>154</v>
      </c>
      <c r="N131" s="209">
        <v>10.4</v>
      </c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</row>
    <row r="132" spans="1:25" x14ac:dyDescent="0.3">
      <c r="A132" s="304" t="s">
        <v>57</v>
      </c>
      <c r="B132" s="95" t="s">
        <v>78</v>
      </c>
      <c r="C132" s="95" t="s">
        <v>65</v>
      </c>
      <c r="D132" s="95" t="s">
        <v>65</v>
      </c>
      <c r="E132" s="95" t="s">
        <v>65</v>
      </c>
      <c r="F132" s="95" t="s">
        <v>65</v>
      </c>
      <c r="G132" s="95">
        <v>41</v>
      </c>
      <c r="H132" s="95">
        <v>0.1</v>
      </c>
      <c r="I132" s="95">
        <v>9</v>
      </c>
      <c r="J132" s="95">
        <v>0</v>
      </c>
      <c r="K132" s="204">
        <v>12</v>
      </c>
      <c r="L132" s="204">
        <v>0</v>
      </c>
      <c r="M132" s="204">
        <v>3</v>
      </c>
      <c r="N132" s="206">
        <v>31.8</v>
      </c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</row>
    <row r="133" spans="1:25" x14ac:dyDescent="0.3">
      <c r="A133" s="305"/>
      <c r="B133" s="95" t="s">
        <v>79</v>
      </c>
      <c r="C133" s="96">
        <v>4812</v>
      </c>
      <c r="D133" s="95">
        <v>14.9</v>
      </c>
      <c r="E133" s="96">
        <v>5905</v>
      </c>
      <c r="F133" s="95">
        <v>14.7</v>
      </c>
      <c r="G133" s="96">
        <v>6552</v>
      </c>
      <c r="H133" s="95">
        <v>14.1</v>
      </c>
      <c r="I133" s="96">
        <v>7405</v>
      </c>
      <c r="J133" s="95">
        <v>14.6</v>
      </c>
      <c r="K133" s="204">
        <v>7391</v>
      </c>
      <c r="L133" s="204">
        <v>13.5</v>
      </c>
      <c r="M133" s="204" t="s">
        <v>807</v>
      </c>
      <c r="N133" s="206" t="s">
        <v>378</v>
      </c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</row>
    <row r="134" spans="1:25" x14ac:dyDescent="0.3">
      <c r="A134" s="305"/>
      <c r="B134" s="95" t="s">
        <v>80</v>
      </c>
      <c r="C134" s="96">
        <v>2798</v>
      </c>
      <c r="D134" s="95">
        <v>8.6999999999999993</v>
      </c>
      <c r="E134" s="96">
        <v>2974</v>
      </c>
      <c r="F134" s="95">
        <v>7.4</v>
      </c>
      <c r="G134" s="96">
        <v>2536</v>
      </c>
      <c r="H134" s="95">
        <v>5.5</v>
      </c>
      <c r="I134" s="96">
        <v>2795</v>
      </c>
      <c r="J134" s="95">
        <v>5.5</v>
      </c>
      <c r="K134" s="204">
        <v>3232</v>
      </c>
      <c r="L134" s="204">
        <v>5.9</v>
      </c>
      <c r="M134" s="204">
        <v>438</v>
      </c>
      <c r="N134" s="206">
        <v>15.7</v>
      </c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 spans="1:25" x14ac:dyDescent="0.3">
      <c r="A135" s="305"/>
      <c r="B135" s="95" t="s">
        <v>81</v>
      </c>
      <c r="C135" s="96">
        <v>1353</v>
      </c>
      <c r="D135" s="95">
        <v>4.2</v>
      </c>
      <c r="E135" s="96">
        <v>2024</v>
      </c>
      <c r="F135" s="95">
        <v>5</v>
      </c>
      <c r="G135" s="96">
        <v>2340</v>
      </c>
      <c r="H135" s="95">
        <v>5</v>
      </c>
      <c r="I135" s="96">
        <v>3067</v>
      </c>
      <c r="J135" s="95">
        <v>6.1</v>
      </c>
      <c r="K135" s="204">
        <v>3630</v>
      </c>
      <c r="L135" s="204">
        <v>6.7</v>
      </c>
      <c r="M135" s="204">
        <v>563</v>
      </c>
      <c r="N135" s="206">
        <v>18.399999999999999</v>
      </c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</row>
    <row r="136" spans="1:25" x14ac:dyDescent="0.3">
      <c r="A136" s="305"/>
      <c r="B136" s="95" t="s">
        <v>82</v>
      </c>
      <c r="C136" s="96">
        <v>3639</v>
      </c>
      <c r="D136" s="95">
        <v>11.3</v>
      </c>
      <c r="E136" s="96">
        <v>4784</v>
      </c>
      <c r="F136" s="95">
        <v>11.9</v>
      </c>
      <c r="G136" s="96">
        <v>5037</v>
      </c>
      <c r="H136" s="95">
        <v>10.8</v>
      </c>
      <c r="I136" s="96">
        <v>6887</v>
      </c>
      <c r="J136" s="95">
        <v>13.6</v>
      </c>
      <c r="K136" s="204">
        <v>8070</v>
      </c>
      <c r="L136" s="204">
        <v>14.8</v>
      </c>
      <c r="M136" s="204">
        <v>1183</v>
      </c>
      <c r="N136" s="206">
        <v>17.2</v>
      </c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</row>
    <row r="137" spans="1:25" x14ac:dyDescent="0.3">
      <c r="A137" s="305"/>
      <c r="B137" s="95" t="s">
        <v>83</v>
      </c>
      <c r="C137" s="96">
        <v>13213</v>
      </c>
      <c r="D137" s="95">
        <v>40.9</v>
      </c>
      <c r="E137" s="96">
        <v>15967</v>
      </c>
      <c r="F137" s="95">
        <v>39.799999999999997</v>
      </c>
      <c r="G137" s="96">
        <v>19853</v>
      </c>
      <c r="H137" s="95">
        <v>42.7</v>
      </c>
      <c r="I137" s="96">
        <v>20744</v>
      </c>
      <c r="J137" s="95">
        <v>40.9</v>
      </c>
      <c r="K137" s="204">
        <v>22296</v>
      </c>
      <c r="L137" s="204">
        <v>40.9</v>
      </c>
      <c r="M137" s="204">
        <v>1551</v>
      </c>
      <c r="N137" s="206">
        <v>7.5</v>
      </c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</row>
    <row r="138" spans="1:25" x14ac:dyDescent="0.3">
      <c r="A138" s="305"/>
      <c r="B138" s="95" t="s">
        <v>84</v>
      </c>
      <c r="C138" s="95" t="s">
        <v>65</v>
      </c>
      <c r="D138" s="95" t="s">
        <v>65</v>
      </c>
      <c r="E138" s="95" t="s">
        <v>65</v>
      </c>
      <c r="F138" s="95" t="s">
        <v>65</v>
      </c>
      <c r="G138" s="95" t="s">
        <v>65</v>
      </c>
      <c r="H138" s="95" t="s">
        <v>65</v>
      </c>
      <c r="I138" s="95" t="s">
        <v>65</v>
      </c>
      <c r="J138" s="95" t="s">
        <v>65</v>
      </c>
      <c r="K138" s="204">
        <v>0</v>
      </c>
      <c r="L138" s="204">
        <v>0</v>
      </c>
      <c r="M138" s="204">
        <v>0</v>
      </c>
      <c r="N138" s="204" t="s">
        <v>65</v>
      </c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</row>
    <row r="139" spans="1:25" x14ac:dyDescent="0.3">
      <c r="A139" s="305"/>
      <c r="B139" s="95" t="s">
        <v>85</v>
      </c>
      <c r="C139" s="96">
        <v>6525</v>
      </c>
      <c r="D139" s="95">
        <v>20.2</v>
      </c>
      <c r="E139" s="96">
        <v>8459</v>
      </c>
      <c r="F139" s="95">
        <v>21.1</v>
      </c>
      <c r="G139" s="96">
        <v>10092</v>
      </c>
      <c r="H139" s="95">
        <v>21.7</v>
      </c>
      <c r="I139" s="96">
        <v>9768</v>
      </c>
      <c r="J139" s="95">
        <v>19.3</v>
      </c>
      <c r="K139" s="204">
        <v>9945</v>
      </c>
      <c r="L139" s="204">
        <v>18.2</v>
      </c>
      <c r="M139" s="204">
        <v>177</v>
      </c>
      <c r="N139" s="206">
        <v>1.8</v>
      </c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</row>
    <row r="140" spans="1:25" x14ac:dyDescent="0.3">
      <c r="A140" s="306"/>
      <c r="B140" s="97" t="s">
        <v>110</v>
      </c>
      <c r="C140" s="98">
        <v>32339</v>
      </c>
      <c r="D140" s="97">
        <v>100</v>
      </c>
      <c r="E140" s="98">
        <v>40113</v>
      </c>
      <c r="F140" s="97">
        <v>100</v>
      </c>
      <c r="G140" s="98">
        <v>46451</v>
      </c>
      <c r="H140" s="97">
        <v>100</v>
      </c>
      <c r="I140" s="98">
        <v>50675</v>
      </c>
      <c r="J140" s="97">
        <v>100</v>
      </c>
      <c r="K140" s="207">
        <v>54576</v>
      </c>
      <c r="L140" s="207">
        <v>100</v>
      </c>
      <c r="M140" s="207">
        <v>3901</v>
      </c>
      <c r="N140" s="209">
        <v>7.7</v>
      </c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</row>
    <row r="141" spans="1:25" x14ac:dyDescent="0.3">
      <c r="A141" s="304" t="s">
        <v>806</v>
      </c>
      <c r="B141" s="95" t="s">
        <v>78</v>
      </c>
      <c r="C141" s="95">
        <v>264</v>
      </c>
      <c r="D141" s="95">
        <v>30.6</v>
      </c>
      <c r="E141" s="95">
        <v>262</v>
      </c>
      <c r="F141" s="95">
        <v>28.4</v>
      </c>
      <c r="G141" s="95">
        <v>268</v>
      </c>
      <c r="H141" s="95">
        <v>25.3</v>
      </c>
      <c r="I141" s="95">
        <v>256</v>
      </c>
      <c r="J141" s="95">
        <v>23.2</v>
      </c>
      <c r="K141" s="204">
        <v>286</v>
      </c>
      <c r="L141" s="204">
        <v>21.3</v>
      </c>
      <c r="M141" s="204">
        <v>30</v>
      </c>
      <c r="N141" s="206">
        <v>11.7</v>
      </c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</row>
    <row r="142" spans="1:25" x14ac:dyDescent="0.3">
      <c r="A142" s="305"/>
      <c r="B142" s="95" t="s">
        <v>79</v>
      </c>
      <c r="C142" s="95">
        <v>47</v>
      </c>
      <c r="D142" s="95">
        <v>5.5</v>
      </c>
      <c r="E142" s="95">
        <v>45</v>
      </c>
      <c r="F142" s="95">
        <v>4.9000000000000004</v>
      </c>
      <c r="G142" s="95">
        <v>47</v>
      </c>
      <c r="H142" s="95">
        <v>4.4000000000000004</v>
      </c>
      <c r="I142" s="95">
        <v>60</v>
      </c>
      <c r="J142" s="95">
        <v>5.4</v>
      </c>
      <c r="K142" s="204">
        <v>81</v>
      </c>
      <c r="L142" s="204">
        <v>6.1</v>
      </c>
      <c r="M142" s="204">
        <v>22</v>
      </c>
      <c r="N142" s="206">
        <v>36.5</v>
      </c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</row>
    <row r="143" spans="1:25" x14ac:dyDescent="0.3">
      <c r="A143" s="305"/>
      <c r="B143" s="95" t="s">
        <v>80</v>
      </c>
      <c r="C143" s="95">
        <v>419</v>
      </c>
      <c r="D143" s="95">
        <v>48.6</v>
      </c>
      <c r="E143" s="95">
        <v>473</v>
      </c>
      <c r="F143" s="95">
        <v>51.3</v>
      </c>
      <c r="G143" s="95">
        <v>541</v>
      </c>
      <c r="H143" s="95">
        <v>51.2</v>
      </c>
      <c r="I143" s="95">
        <v>547</v>
      </c>
      <c r="J143" s="95">
        <v>49.6</v>
      </c>
      <c r="K143" s="204">
        <v>680</v>
      </c>
      <c r="L143" s="204">
        <v>50.7</v>
      </c>
      <c r="M143" s="204">
        <v>133</v>
      </c>
      <c r="N143" s="206">
        <v>24.3</v>
      </c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</row>
    <row r="144" spans="1:25" x14ac:dyDescent="0.3">
      <c r="A144" s="305"/>
      <c r="B144" s="95" t="s">
        <v>81</v>
      </c>
      <c r="C144" s="95">
        <v>3</v>
      </c>
      <c r="D144" s="95">
        <v>0.3</v>
      </c>
      <c r="E144" s="95" t="s">
        <v>65</v>
      </c>
      <c r="F144" s="95" t="s">
        <v>65</v>
      </c>
      <c r="G144" s="95">
        <v>1</v>
      </c>
      <c r="H144" s="95">
        <v>0.1</v>
      </c>
      <c r="I144" s="95">
        <v>3</v>
      </c>
      <c r="J144" s="95">
        <v>0.3</v>
      </c>
      <c r="K144" s="204">
        <v>0</v>
      </c>
      <c r="L144" s="204">
        <v>0</v>
      </c>
      <c r="M144" s="204" t="s">
        <v>810</v>
      </c>
      <c r="N144" s="206" t="s">
        <v>1107</v>
      </c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</row>
    <row r="145" spans="1:25" x14ac:dyDescent="0.3">
      <c r="A145" s="305"/>
      <c r="B145" s="95" t="s">
        <v>82</v>
      </c>
      <c r="C145" s="95">
        <v>5</v>
      </c>
      <c r="D145" s="95">
        <v>0.6</v>
      </c>
      <c r="E145" s="95">
        <v>5</v>
      </c>
      <c r="F145" s="95">
        <v>0.6</v>
      </c>
      <c r="G145" s="95">
        <v>8</v>
      </c>
      <c r="H145" s="95">
        <v>0.7</v>
      </c>
      <c r="I145" s="95">
        <v>3</v>
      </c>
      <c r="J145" s="95">
        <v>0.2</v>
      </c>
      <c r="K145" s="204">
        <v>4</v>
      </c>
      <c r="L145" s="204">
        <v>0.3</v>
      </c>
      <c r="M145" s="204">
        <v>2</v>
      </c>
      <c r="N145" s="206">
        <v>70.5</v>
      </c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</row>
    <row r="146" spans="1:25" x14ac:dyDescent="0.3">
      <c r="A146" s="305"/>
      <c r="B146" s="95" t="s">
        <v>83</v>
      </c>
      <c r="C146" s="95">
        <v>59</v>
      </c>
      <c r="D146" s="95">
        <v>6.8</v>
      </c>
      <c r="E146" s="95">
        <v>70</v>
      </c>
      <c r="F146" s="95">
        <v>7.5</v>
      </c>
      <c r="G146" s="95">
        <v>78</v>
      </c>
      <c r="H146" s="95">
        <v>7.4</v>
      </c>
      <c r="I146" s="95">
        <v>84</v>
      </c>
      <c r="J146" s="95">
        <v>7.6</v>
      </c>
      <c r="K146" s="204">
        <v>109</v>
      </c>
      <c r="L146" s="204">
        <v>8.1</v>
      </c>
      <c r="M146" s="204">
        <v>26</v>
      </c>
      <c r="N146" s="206">
        <v>30.6</v>
      </c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</row>
    <row r="147" spans="1:25" x14ac:dyDescent="0.3">
      <c r="A147" s="305"/>
      <c r="B147" s="95" t="s">
        <v>84</v>
      </c>
      <c r="C147" s="95">
        <v>10</v>
      </c>
      <c r="D147" s="95">
        <v>1.2</v>
      </c>
      <c r="E147" s="95">
        <v>13</v>
      </c>
      <c r="F147" s="95">
        <v>1.4</v>
      </c>
      <c r="G147" s="95">
        <v>15</v>
      </c>
      <c r="H147" s="95">
        <v>1.4</v>
      </c>
      <c r="I147" s="95">
        <v>25</v>
      </c>
      <c r="J147" s="95">
        <v>2.2999999999999998</v>
      </c>
      <c r="K147" s="204">
        <v>9</v>
      </c>
      <c r="L147" s="204">
        <v>0.7</v>
      </c>
      <c r="M147" s="204" t="s">
        <v>1119</v>
      </c>
      <c r="N147" s="206" t="s">
        <v>1152</v>
      </c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</row>
    <row r="148" spans="1:25" x14ac:dyDescent="0.3">
      <c r="A148" s="305"/>
      <c r="B148" s="95" t="s">
        <v>85</v>
      </c>
      <c r="C148" s="95">
        <v>55</v>
      </c>
      <c r="D148" s="95">
        <v>6.4</v>
      </c>
      <c r="E148" s="95">
        <v>54</v>
      </c>
      <c r="F148" s="95">
        <v>5.8</v>
      </c>
      <c r="G148" s="95">
        <v>99</v>
      </c>
      <c r="H148" s="95">
        <v>9.4</v>
      </c>
      <c r="I148" s="95">
        <v>124</v>
      </c>
      <c r="J148" s="95">
        <v>11.3</v>
      </c>
      <c r="K148" s="204">
        <v>171</v>
      </c>
      <c r="L148" s="204">
        <v>12.8</v>
      </c>
      <c r="M148" s="204">
        <v>47</v>
      </c>
      <c r="N148" s="206">
        <v>37.700000000000003</v>
      </c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</row>
    <row r="149" spans="1:25" x14ac:dyDescent="0.3">
      <c r="A149" s="306"/>
      <c r="B149" s="97" t="s">
        <v>110</v>
      </c>
      <c r="C149" s="97">
        <v>862</v>
      </c>
      <c r="D149" s="97">
        <v>100</v>
      </c>
      <c r="E149" s="97">
        <v>921</v>
      </c>
      <c r="F149" s="97">
        <v>100</v>
      </c>
      <c r="G149" s="97">
        <v>1056</v>
      </c>
      <c r="H149" s="97">
        <v>100</v>
      </c>
      <c r="I149" s="98">
        <v>1102</v>
      </c>
      <c r="J149" s="97">
        <v>100</v>
      </c>
      <c r="K149" s="207">
        <v>1341</v>
      </c>
      <c r="L149" s="207">
        <v>100</v>
      </c>
      <c r="M149" s="207">
        <v>240</v>
      </c>
      <c r="N149" s="209">
        <v>21.7</v>
      </c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</row>
    <row r="150" spans="1:25" x14ac:dyDescent="0.3">
      <c r="A150" s="304" t="s">
        <v>808</v>
      </c>
      <c r="B150" s="95" t="s">
        <v>78</v>
      </c>
      <c r="C150" s="95" t="s">
        <v>65</v>
      </c>
      <c r="D150" s="95" t="s">
        <v>65</v>
      </c>
      <c r="E150" s="95" t="s">
        <v>65</v>
      </c>
      <c r="F150" s="95" t="s">
        <v>65</v>
      </c>
      <c r="G150" s="95" t="s">
        <v>65</v>
      </c>
      <c r="H150" s="95" t="s">
        <v>65</v>
      </c>
      <c r="I150" s="95" t="s">
        <v>65</v>
      </c>
      <c r="J150" s="95" t="s">
        <v>65</v>
      </c>
      <c r="K150" s="204">
        <v>0</v>
      </c>
      <c r="L150" s="204">
        <v>0</v>
      </c>
      <c r="M150" s="204">
        <v>0</v>
      </c>
      <c r="N150" s="204" t="s">
        <v>65</v>
      </c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</row>
    <row r="151" spans="1:25" x14ac:dyDescent="0.3">
      <c r="A151" s="305"/>
      <c r="B151" s="95" t="s">
        <v>79</v>
      </c>
      <c r="C151" s="95">
        <v>610</v>
      </c>
      <c r="D151" s="95">
        <v>82.1</v>
      </c>
      <c r="E151" s="95">
        <v>558</v>
      </c>
      <c r="F151" s="95">
        <v>76.599999999999994</v>
      </c>
      <c r="G151" s="95">
        <v>853</v>
      </c>
      <c r="H151" s="95">
        <v>74.599999999999994</v>
      </c>
      <c r="I151" s="95">
        <v>865</v>
      </c>
      <c r="J151" s="95">
        <v>75.3</v>
      </c>
      <c r="K151" s="204">
        <v>725</v>
      </c>
      <c r="L151" s="204">
        <v>74.099999999999994</v>
      </c>
      <c r="M151" s="204" t="s">
        <v>1153</v>
      </c>
      <c r="N151" s="206" t="s">
        <v>1154</v>
      </c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</row>
    <row r="152" spans="1:25" x14ac:dyDescent="0.3">
      <c r="A152" s="305"/>
      <c r="B152" s="95" t="s">
        <v>80</v>
      </c>
      <c r="C152" s="95">
        <v>103</v>
      </c>
      <c r="D152" s="95">
        <v>13.9</v>
      </c>
      <c r="E152" s="95">
        <v>121</v>
      </c>
      <c r="F152" s="95">
        <v>16.600000000000001</v>
      </c>
      <c r="G152" s="95">
        <v>187</v>
      </c>
      <c r="H152" s="95">
        <v>16.399999999999999</v>
      </c>
      <c r="I152" s="95">
        <v>168</v>
      </c>
      <c r="J152" s="95">
        <v>14.6</v>
      </c>
      <c r="K152" s="204">
        <v>140</v>
      </c>
      <c r="L152" s="204">
        <v>14.3</v>
      </c>
      <c r="M152" s="204" t="s">
        <v>803</v>
      </c>
      <c r="N152" s="206" t="s">
        <v>1155</v>
      </c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</row>
    <row r="153" spans="1:25" x14ac:dyDescent="0.3">
      <c r="A153" s="305"/>
      <c r="B153" s="95" t="s">
        <v>81</v>
      </c>
      <c r="C153" s="95" t="s">
        <v>65</v>
      </c>
      <c r="D153" s="95" t="s">
        <v>65</v>
      </c>
      <c r="E153" s="95" t="s">
        <v>65</v>
      </c>
      <c r="F153" s="95" t="s">
        <v>65</v>
      </c>
      <c r="G153" s="95" t="s">
        <v>65</v>
      </c>
      <c r="H153" s="95" t="s">
        <v>65</v>
      </c>
      <c r="I153" s="95" t="s">
        <v>65</v>
      </c>
      <c r="J153" s="95" t="s">
        <v>65</v>
      </c>
      <c r="K153" s="204">
        <v>0</v>
      </c>
      <c r="L153" s="204">
        <v>0</v>
      </c>
      <c r="M153" s="204">
        <v>0</v>
      </c>
      <c r="N153" s="204" t="s">
        <v>65</v>
      </c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</row>
    <row r="154" spans="1:25" x14ac:dyDescent="0.3">
      <c r="A154" s="305"/>
      <c r="B154" s="95" t="s">
        <v>82</v>
      </c>
      <c r="C154" s="95" t="s">
        <v>65</v>
      </c>
      <c r="D154" s="95" t="s">
        <v>65</v>
      </c>
      <c r="E154" s="95" t="s">
        <v>65</v>
      </c>
      <c r="F154" s="95" t="s">
        <v>65</v>
      </c>
      <c r="G154" s="95">
        <v>0</v>
      </c>
      <c r="H154" s="95">
        <v>0</v>
      </c>
      <c r="I154" s="95">
        <v>0</v>
      </c>
      <c r="J154" s="95">
        <v>0</v>
      </c>
      <c r="K154" s="204">
        <v>1</v>
      </c>
      <c r="L154" s="204">
        <v>0.1</v>
      </c>
      <c r="M154" s="204">
        <v>0</v>
      </c>
      <c r="N154" s="206">
        <v>75</v>
      </c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</row>
    <row r="155" spans="1:25" x14ac:dyDescent="0.3">
      <c r="A155" s="305"/>
      <c r="B155" s="95" t="s">
        <v>83</v>
      </c>
      <c r="C155" s="95">
        <v>11</v>
      </c>
      <c r="D155" s="95">
        <v>1.5</v>
      </c>
      <c r="E155" s="95">
        <v>17</v>
      </c>
      <c r="F155" s="95">
        <v>2.2999999999999998</v>
      </c>
      <c r="G155" s="95">
        <v>62</v>
      </c>
      <c r="H155" s="95">
        <v>5.4</v>
      </c>
      <c r="I155" s="95">
        <v>62</v>
      </c>
      <c r="J155" s="95">
        <v>5.4</v>
      </c>
      <c r="K155" s="204">
        <v>58</v>
      </c>
      <c r="L155" s="204">
        <v>5.9</v>
      </c>
      <c r="M155" s="204" t="s">
        <v>827</v>
      </c>
      <c r="N155" s="206" t="s">
        <v>1156</v>
      </c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</row>
    <row r="156" spans="1:25" x14ac:dyDescent="0.3">
      <c r="A156" s="305"/>
      <c r="B156" s="95" t="s">
        <v>84</v>
      </c>
      <c r="C156" s="95" t="s">
        <v>65</v>
      </c>
      <c r="D156" s="95" t="s">
        <v>65</v>
      </c>
      <c r="E156" s="95" t="s">
        <v>65</v>
      </c>
      <c r="F156" s="95" t="s">
        <v>65</v>
      </c>
      <c r="G156" s="95" t="s">
        <v>65</v>
      </c>
      <c r="H156" s="95" t="s">
        <v>65</v>
      </c>
      <c r="I156" s="47" t="s">
        <v>65</v>
      </c>
      <c r="J156" s="47" t="s">
        <v>65</v>
      </c>
      <c r="K156" s="250">
        <v>0</v>
      </c>
      <c r="L156" s="250">
        <v>0</v>
      </c>
      <c r="M156" s="250">
        <v>0</v>
      </c>
      <c r="N156" s="250" t="s">
        <v>65</v>
      </c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</row>
    <row r="157" spans="1:25" x14ac:dyDescent="0.3">
      <c r="A157" s="305"/>
      <c r="B157" s="95" t="s">
        <v>85</v>
      </c>
      <c r="C157" s="95">
        <v>19</v>
      </c>
      <c r="D157" s="95">
        <v>2.6</v>
      </c>
      <c r="E157" s="95">
        <v>32</v>
      </c>
      <c r="F157" s="95">
        <v>4.4000000000000004</v>
      </c>
      <c r="G157" s="95">
        <v>41</v>
      </c>
      <c r="H157" s="95">
        <v>3.5</v>
      </c>
      <c r="I157" s="47">
        <v>53</v>
      </c>
      <c r="J157" s="47">
        <v>4.5999999999999996</v>
      </c>
      <c r="K157" s="250">
        <v>56</v>
      </c>
      <c r="L157" s="250">
        <v>5.7</v>
      </c>
      <c r="M157" s="250">
        <v>3</v>
      </c>
      <c r="N157" s="262">
        <v>4.9000000000000004</v>
      </c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</row>
    <row r="158" spans="1:25" x14ac:dyDescent="0.3">
      <c r="A158" s="306"/>
      <c r="B158" s="97" t="s">
        <v>110</v>
      </c>
      <c r="C158" s="97">
        <v>744</v>
      </c>
      <c r="D158" s="97">
        <v>100</v>
      </c>
      <c r="E158" s="97">
        <v>729</v>
      </c>
      <c r="F158" s="97">
        <v>100</v>
      </c>
      <c r="G158" s="97">
        <v>1143</v>
      </c>
      <c r="H158" s="97">
        <v>100</v>
      </c>
      <c r="I158" s="267">
        <v>1149</v>
      </c>
      <c r="J158" s="50">
        <v>100</v>
      </c>
      <c r="K158" s="251">
        <v>979</v>
      </c>
      <c r="L158" s="251">
        <v>100</v>
      </c>
      <c r="M158" s="251" t="s">
        <v>1157</v>
      </c>
      <c r="N158" s="264" t="s">
        <v>444</v>
      </c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</row>
    <row r="159" spans="1:25" x14ac:dyDescent="0.3">
      <c r="A159" s="304" t="s">
        <v>63</v>
      </c>
      <c r="B159" s="95" t="s">
        <v>78</v>
      </c>
      <c r="C159" s="95" t="s">
        <v>65</v>
      </c>
      <c r="D159" s="95" t="s">
        <v>65</v>
      </c>
      <c r="E159" s="95" t="s">
        <v>65</v>
      </c>
      <c r="F159" s="95" t="s">
        <v>65</v>
      </c>
      <c r="G159" s="95" t="s">
        <v>65</v>
      </c>
      <c r="H159" s="95" t="s">
        <v>65</v>
      </c>
      <c r="I159" s="47" t="s">
        <v>65</v>
      </c>
      <c r="J159" s="47" t="s">
        <v>65</v>
      </c>
      <c r="K159" s="250">
        <v>0</v>
      </c>
      <c r="L159" s="250">
        <v>0</v>
      </c>
      <c r="M159" s="250">
        <v>0</v>
      </c>
      <c r="N159" s="250" t="s">
        <v>65</v>
      </c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</row>
    <row r="160" spans="1:25" x14ac:dyDescent="0.3">
      <c r="A160" s="305"/>
      <c r="B160" s="95" t="s">
        <v>79</v>
      </c>
      <c r="C160" s="95">
        <v>617</v>
      </c>
      <c r="D160" s="95">
        <v>6.1</v>
      </c>
      <c r="E160" s="95">
        <v>788</v>
      </c>
      <c r="F160" s="95">
        <v>5.6</v>
      </c>
      <c r="G160" s="95">
        <v>884</v>
      </c>
      <c r="H160" s="95">
        <v>5.3</v>
      </c>
      <c r="I160" s="47">
        <v>890</v>
      </c>
      <c r="J160" s="47">
        <v>5.0999999999999996</v>
      </c>
      <c r="K160" s="250">
        <v>984</v>
      </c>
      <c r="L160" s="250">
        <v>5.4</v>
      </c>
      <c r="M160" s="250">
        <v>94</v>
      </c>
      <c r="N160" s="262">
        <v>10.6</v>
      </c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</row>
    <row r="161" spans="1:25" x14ac:dyDescent="0.3">
      <c r="A161" s="305"/>
      <c r="B161" s="95" t="s">
        <v>80</v>
      </c>
      <c r="C161" s="95">
        <v>198</v>
      </c>
      <c r="D161" s="95">
        <v>1.9</v>
      </c>
      <c r="E161" s="95">
        <v>264</v>
      </c>
      <c r="F161" s="95">
        <v>1.9</v>
      </c>
      <c r="G161" s="95">
        <v>325</v>
      </c>
      <c r="H161" s="95">
        <v>2</v>
      </c>
      <c r="I161" s="47">
        <v>320</v>
      </c>
      <c r="J161" s="47">
        <v>1.9</v>
      </c>
      <c r="K161" s="250">
        <v>234</v>
      </c>
      <c r="L161" s="250">
        <v>1.3</v>
      </c>
      <c r="M161" s="250" t="s">
        <v>1158</v>
      </c>
      <c r="N161" s="262" t="s">
        <v>1159</v>
      </c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</row>
    <row r="162" spans="1:25" x14ac:dyDescent="0.3">
      <c r="A162" s="305"/>
      <c r="B162" s="95" t="s">
        <v>81</v>
      </c>
      <c r="C162" s="95">
        <v>8</v>
      </c>
      <c r="D162" s="95">
        <v>0.1</v>
      </c>
      <c r="E162" s="95">
        <v>3</v>
      </c>
      <c r="F162" s="95">
        <v>0</v>
      </c>
      <c r="G162" s="95">
        <v>7</v>
      </c>
      <c r="H162" s="95">
        <v>0</v>
      </c>
      <c r="I162" s="47">
        <v>3</v>
      </c>
      <c r="J162" s="47">
        <v>0</v>
      </c>
      <c r="K162" s="250">
        <v>0</v>
      </c>
      <c r="L162" s="250">
        <v>0</v>
      </c>
      <c r="M162" s="250" t="s">
        <v>810</v>
      </c>
      <c r="N162" s="262" t="s">
        <v>1107</v>
      </c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</row>
    <row r="163" spans="1:25" x14ac:dyDescent="0.3">
      <c r="A163" s="305"/>
      <c r="B163" s="95" t="s">
        <v>82</v>
      </c>
      <c r="C163" s="95">
        <v>13</v>
      </c>
      <c r="D163" s="95">
        <v>0.1</v>
      </c>
      <c r="E163" s="95">
        <v>61</v>
      </c>
      <c r="F163" s="95">
        <v>0.4</v>
      </c>
      <c r="G163" s="95">
        <v>128</v>
      </c>
      <c r="H163" s="95">
        <v>0.8</v>
      </c>
      <c r="I163" s="47">
        <v>128</v>
      </c>
      <c r="J163" s="47">
        <v>0.7</v>
      </c>
      <c r="K163" s="250">
        <v>145</v>
      </c>
      <c r="L163" s="250">
        <v>0.8</v>
      </c>
      <c r="M163" s="250">
        <v>17</v>
      </c>
      <c r="N163" s="262">
        <v>13</v>
      </c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</row>
    <row r="164" spans="1:25" x14ac:dyDescent="0.3">
      <c r="A164" s="305"/>
      <c r="B164" s="95" t="s">
        <v>83</v>
      </c>
      <c r="C164" s="96">
        <v>8981</v>
      </c>
      <c r="D164" s="95">
        <v>88.1</v>
      </c>
      <c r="E164" s="96">
        <v>12301</v>
      </c>
      <c r="F164" s="95">
        <v>87.6</v>
      </c>
      <c r="G164" s="96">
        <v>14511</v>
      </c>
      <c r="H164" s="95">
        <v>87.2</v>
      </c>
      <c r="I164" s="271">
        <v>15172</v>
      </c>
      <c r="J164" s="47">
        <v>87.7</v>
      </c>
      <c r="K164" s="250">
        <v>16189</v>
      </c>
      <c r="L164" s="250">
        <v>88.8</v>
      </c>
      <c r="M164" s="250">
        <v>1017</v>
      </c>
      <c r="N164" s="262">
        <v>6.7</v>
      </c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</row>
    <row r="165" spans="1:25" x14ac:dyDescent="0.3">
      <c r="A165" s="305"/>
      <c r="B165" s="95" t="s">
        <v>84</v>
      </c>
      <c r="C165" s="95" t="s">
        <v>65</v>
      </c>
      <c r="D165" s="95" t="s">
        <v>65</v>
      </c>
      <c r="E165" s="95" t="s">
        <v>65</v>
      </c>
      <c r="F165" s="95" t="s">
        <v>65</v>
      </c>
      <c r="G165" s="95" t="s">
        <v>65</v>
      </c>
      <c r="H165" s="95" t="s">
        <v>65</v>
      </c>
      <c r="I165" s="47" t="s">
        <v>65</v>
      </c>
      <c r="J165" s="47" t="s">
        <v>65</v>
      </c>
      <c r="K165" s="250">
        <v>0</v>
      </c>
      <c r="L165" s="250">
        <v>0</v>
      </c>
      <c r="M165" s="250">
        <v>0</v>
      </c>
      <c r="N165" s="250" t="s">
        <v>65</v>
      </c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</row>
    <row r="166" spans="1:25" x14ac:dyDescent="0.3">
      <c r="A166" s="305"/>
      <c r="B166" s="95" t="s">
        <v>85</v>
      </c>
      <c r="C166" s="95">
        <v>377</v>
      </c>
      <c r="D166" s="95">
        <v>3.7</v>
      </c>
      <c r="E166" s="95">
        <v>629</v>
      </c>
      <c r="F166" s="95">
        <v>4.5</v>
      </c>
      <c r="G166" s="95">
        <v>794</v>
      </c>
      <c r="H166" s="95">
        <v>4.8</v>
      </c>
      <c r="I166" s="47">
        <v>784</v>
      </c>
      <c r="J166" s="47">
        <v>4.5</v>
      </c>
      <c r="K166" s="250">
        <v>672</v>
      </c>
      <c r="L166" s="250">
        <v>3.7</v>
      </c>
      <c r="M166" s="250" t="s">
        <v>1160</v>
      </c>
      <c r="N166" s="262" t="s">
        <v>819</v>
      </c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</row>
    <row r="167" spans="1:25" x14ac:dyDescent="0.3">
      <c r="A167" s="306"/>
      <c r="B167" s="97" t="s">
        <v>110</v>
      </c>
      <c r="C167" s="98">
        <v>10194</v>
      </c>
      <c r="D167" s="97">
        <v>100</v>
      </c>
      <c r="E167" s="98">
        <v>14046</v>
      </c>
      <c r="F167" s="97">
        <v>100</v>
      </c>
      <c r="G167" s="98">
        <v>16650</v>
      </c>
      <c r="H167" s="97">
        <v>100</v>
      </c>
      <c r="I167" s="267">
        <v>17296</v>
      </c>
      <c r="J167" s="50">
        <v>100</v>
      </c>
      <c r="K167" s="251">
        <v>18224</v>
      </c>
      <c r="L167" s="251">
        <v>100</v>
      </c>
      <c r="M167" s="251">
        <v>928</v>
      </c>
      <c r="N167" s="264">
        <v>5.4</v>
      </c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</row>
    <row r="168" spans="1:25" x14ac:dyDescent="0.3">
      <c r="A168" s="304" t="s">
        <v>68</v>
      </c>
      <c r="B168" s="95" t="s">
        <v>78</v>
      </c>
      <c r="C168" s="96">
        <v>1271</v>
      </c>
      <c r="D168" s="95">
        <v>20.2</v>
      </c>
      <c r="E168" s="96">
        <v>1326</v>
      </c>
      <c r="F168" s="95">
        <v>19.5</v>
      </c>
      <c r="G168" s="96">
        <v>1378</v>
      </c>
      <c r="H168" s="95">
        <v>18.3</v>
      </c>
      <c r="I168" s="271">
        <v>1464</v>
      </c>
      <c r="J168" s="47">
        <v>17.5</v>
      </c>
      <c r="K168" s="250">
        <v>1501</v>
      </c>
      <c r="L168" s="250">
        <v>16.3</v>
      </c>
      <c r="M168" s="250">
        <v>37</v>
      </c>
      <c r="N168" s="262">
        <v>2.5</v>
      </c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</row>
    <row r="169" spans="1:25" x14ac:dyDescent="0.3">
      <c r="A169" s="305"/>
      <c r="B169" s="95" t="s">
        <v>79</v>
      </c>
      <c r="C169" s="96">
        <v>3563</v>
      </c>
      <c r="D169" s="95">
        <v>56.5</v>
      </c>
      <c r="E169" s="96">
        <v>3501</v>
      </c>
      <c r="F169" s="95">
        <v>51.5</v>
      </c>
      <c r="G169" s="96">
        <v>3534</v>
      </c>
      <c r="H169" s="95">
        <v>47</v>
      </c>
      <c r="I169" s="271">
        <v>4064</v>
      </c>
      <c r="J169" s="47">
        <v>48.6</v>
      </c>
      <c r="K169" s="250">
        <v>4838</v>
      </c>
      <c r="L169" s="250">
        <v>52.5</v>
      </c>
      <c r="M169" s="250">
        <v>774</v>
      </c>
      <c r="N169" s="262">
        <v>19</v>
      </c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</row>
    <row r="170" spans="1:25" x14ac:dyDescent="0.3">
      <c r="A170" s="305"/>
      <c r="B170" s="95" t="s">
        <v>80</v>
      </c>
      <c r="C170" s="95">
        <v>573</v>
      </c>
      <c r="D170" s="95">
        <v>9.1</v>
      </c>
      <c r="E170" s="95">
        <v>569</v>
      </c>
      <c r="F170" s="95">
        <v>8.4</v>
      </c>
      <c r="G170" s="95">
        <v>779</v>
      </c>
      <c r="H170" s="95">
        <v>10.4</v>
      </c>
      <c r="I170" s="47">
        <v>831</v>
      </c>
      <c r="J170" s="47">
        <v>9.9</v>
      </c>
      <c r="K170" s="250">
        <v>900</v>
      </c>
      <c r="L170" s="250">
        <v>9.8000000000000007</v>
      </c>
      <c r="M170" s="250">
        <v>70</v>
      </c>
      <c r="N170" s="262">
        <v>8.4</v>
      </c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</row>
    <row r="171" spans="1:25" x14ac:dyDescent="0.3">
      <c r="A171" s="305"/>
      <c r="B171" s="95" t="s">
        <v>81</v>
      </c>
      <c r="C171" s="95">
        <v>23</v>
      </c>
      <c r="D171" s="95">
        <v>0.4</v>
      </c>
      <c r="E171" s="95">
        <v>85</v>
      </c>
      <c r="F171" s="95">
        <v>1.2</v>
      </c>
      <c r="G171" s="95">
        <v>27</v>
      </c>
      <c r="H171" s="95">
        <v>0.4</v>
      </c>
      <c r="I171" s="47">
        <v>40</v>
      </c>
      <c r="J171" s="47">
        <v>0.5</v>
      </c>
      <c r="K171" s="250">
        <v>32</v>
      </c>
      <c r="L171" s="250">
        <v>0.4</v>
      </c>
      <c r="M171" s="250" t="s">
        <v>805</v>
      </c>
      <c r="N171" s="262" t="s">
        <v>1161</v>
      </c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</row>
    <row r="172" spans="1:25" x14ac:dyDescent="0.3">
      <c r="A172" s="305"/>
      <c r="B172" s="95" t="s">
        <v>82</v>
      </c>
      <c r="C172" s="95">
        <v>18</v>
      </c>
      <c r="D172" s="95">
        <v>0.3</v>
      </c>
      <c r="E172" s="95">
        <v>54</v>
      </c>
      <c r="F172" s="95">
        <v>0.8</v>
      </c>
      <c r="G172" s="95">
        <v>56</v>
      </c>
      <c r="H172" s="95">
        <v>0.7</v>
      </c>
      <c r="I172" s="47">
        <v>41</v>
      </c>
      <c r="J172" s="47">
        <v>0.5</v>
      </c>
      <c r="K172" s="250">
        <v>42</v>
      </c>
      <c r="L172" s="250">
        <v>0.5</v>
      </c>
      <c r="M172" s="250">
        <v>1</v>
      </c>
      <c r="N172" s="262">
        <v>1.9</v>
      </c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</row>
    <row r="173" spans="1:25" x14ac:dyDescent="0.3">
      <c r="A173" s="305"/>
      <c r="B173" s="95" t="s">
        <v>83</v>
      </c>
      <c r="C173" s="95">
        <v>696</v>
      </c>
      <c r="D173" s="95">
        <v>11</v>
      </c>
      <c r="E173" s="95">
        <v>1010</v>
      </c>
      <c r="F173" s="95">
        <v>14.8</v>
      </c>
      <c r="G173" s="96">
        <v>1405</v>
      </c>
      <c r="H173" s="95">
        <v>18.7</v>
      </c>
      <c r="I173" s="271">
        <v>1591</v>
      </c>
      <c r="J173" s="47">
        <v>19</v>
      </c>
      <c r="K173" s="250">
        <v>1501</v>
      </c>
      <c r="L173" s="250">
        <v>16.3</v>
      </c>
      <c r="M173" s="250" t="s">
        <v>1162</v>
      </c>
      <c r="N173" s="262" t="s">
        <v>1163</v>
      </c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</row>
    <row r="174" spans="1:25" x14ac:dyDescent="0.3">
      <c r="A174" s="305"/>
      <c r="B174" s="95" t="s">
        <v>84</v>
      </c>
      <c r="C174" s="95" t="s">
        <v>65</v>
      </c>
      <c r="D174" s="95" t="s">
        <v>65</v>
      </c>
      <c r="E174" s="95" t="s">
        <v>65</v>
      </c>
      <c r="F174" s="95" t="s">
        <v>65</v>
      </c>
      <c r="G174" s="95" t="s">
        <v>65</v>
      </c>
      <c r="H174" s="95" t="s">
        <v>65</v>
      </c>
      <c r="I174" s="47" t="s">
        <v>65</v>
      </c>
      <c r="J174" s="47" t="s">
        <v>65</v>
      </c>
      <c r="K174" s="250">
        <v>0</v>
      </c>
      <c r="L174" s="250">
        <v>0</v>
      </c>
      <c r="M174" s="250">
        <v>0</v>
      </c>
      <c r="N174" s="250" t="s">
        <v>65</v>
      </c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</row>
    <row r="175" spans="1:25" x14ac:dyDescent="0.3">
      <c r="A175" s="305"/>
      <c r="B175" s="95" t="s">
        <v>85</v>
      </c>
      <c r="C175" s="95">
        <v>162</v>
      </c>
      <c r="D175" s="95">
        <v>2.6</v>
      </c>
      <c r="E175" s="95">
        <v>258</v>
      </c>
      <c r="F175" s="95">
        <v>3.8</v>
      </c>
      <c r="G175" s="95">
        <v>346</v>
      </c>
      <c r="H175" s="95">
        <v>4.5999999999999996</v>
      </c>
      <c r="I175" s="47">
        <v>339</v>
      </c>
      <c r="J175" s="47">
        <v>4.0999999999999996</v>
      </c>
      <c r="K175" s="250">
        <v>398</v>
      </c>
      <c r="L175" s="250">
        <v>4.3</v>
      </c>
      <c r="M175" s="250">
        <v>59</v>
      </c>
      <c r="N175" s="262">
        <v>17.399999999999999</v>
      </c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</row>
    <row r="176" spans="1:25" x14ac:dyDescent="0.3">
      <c r="A176" s="306"/>
      <c r="B176" s="97" t="s">
        <v>110</v>
      </c>
      <c r="C176" s="98">
        <v>6305</v>
      </c>
      <c r="D176" s="97">
        <v>100</v>
      </c>
      <c r="E176" s="98">
        <v>6803</v>
      </c>
      <c r="F176" s="97">
        <v>100</v>
      </c>
      <c r="G176" s="98">
        <v>7524</v>
      </c>
      <c r="H176" s="97">
        <v>100</v>
      </c>
      <c r="I176" s="267">
        <v>8370</v>
      </c>
      <c r="J176" s="50">
        <v>100</v>
      </c>
      <c r="K176" s="251">
        <v>9212</v>
      </c>
      <c r="L176" s="251">
        <v>100</v>
      </c>
      <c r="M176" s="251">
        <v>842</v>
      </c>
      <c r="N176" s="264">
        <v>10.1</v>
      </c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</row>
    <row r="177" spans="1:25" x14ac:dyDescent="0.3">
      <c r="A177" s="304" t="s">
        <v>71</v>
      </c>
      <c r="B177" s="95" t="s">
        <v>78</v>
      </c>
      <c r="C177" s="95">
        <v>794</v>
      </c>
      <c r="D177" s="95">
        <v>24.5</v>
      </c>
      <c r="E177" s="95">
        <v>899</v>
      </c>
      <c r="F177" s="95">
        <v>24.5</v>
      </c>
      <c r="G177" s="95">
        <v>953</v>
      </c>
      <c r="H177" s="95">
        <v>23.8</v>
      </c>
      <c r="I177" s="47">
        <v>873</v>
      </c>
      <c r="J177" s="47">
        <v>20.5</v>
      </c>
      <c r="K177" s="250">
        <v>905</v>
      </c>
      <c r="L177" s="250">
        <v>21.4</v>
      </c>
      <c r="M177" s="250">
        <v>32</v>
      </c>
      <c r="N177" s="262">
        <v>3.7</v>
      </c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</row>
    <row r="178" spans="1:25" x14ac:dyDescent="0.3">
      <c r="A178" s="305"/>
      <c r="B178" s="95" t="s">
        <v>79</v>
      </c>
      <c r="C178" s="95">
        <v>492</v>
      </c>
      <c r="D178" s="95">
        <v>15.2</v>
      </c>
      <c r="E178" s="95">
        <v>474</v>
      </c>
      <c r="F178" s="95">
        <v>12.9</v>
      </c>
      <c r="G178" s="95">
        <v>545</v>
      </c>
      <c r="H178" s="95">
        <v>13.6</v>
      </c>
      <c r="I178" s="47">
        <v>674</v>
      </c>
      <c r="J178" s="47">
        <v>15.9</v>
      </c>
      <c r="K178" s="250">
        <v>557</v>
      </c>
      <c r="L178" s="250">
        <v>13.2</v>
      </c>
      <c r="M178" s="250" t="s">
        <v>1164</v>
      </c>
      <c r="N178" s="262" t="s">
        <v>1165</v>
      </c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</row>
    <row r="179" spans="1:25" x14ac:dyDescent="0.3">
      <c r="A179" s="305"/>
      <c r="B179" s="95" t="s">
        <v>80</v>
      </c>
      <c r="C179" s="95">
        <v>852</v>
      </c>
      <c r="D179" s="95">
        <v>26.3</v>
      </c>
      <c r="E179" s="95">
        <v>957</v>
      </c>
      <c r="F179" s="95">
        <v>26.1</v>
      </c>
      <c r="G179" s="95">
        <v>1036</v>
      </c>
      <c r="H179" s="95">
        <v>25.8</v>
      </c>
      <c r="I179" s="271">
        <v>1165</v>
      </c>
      <c r="J179" s="47">
        <v>27.4</v>
      </c>
      <c r="K179" s="250">
        <v>1203</v>
      </c>
      <c r="L179" s="250">
        <v>28.4</v>
      </c>
      <c r="M179" s="250">
        <v>38</v>
      </c>
      <c r="N179" s="262">
        <v>3.3</v>
      </c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</row>
    <row r="180" spans="1:25" x14ac:dyDescent="0.3">
      <c r="A180" s="305"/>
      <c r="B180" s="95" t="s">
        <v>81</v>
      </c>
      <c r="C180" s="95">
        <v>110</v>
      </c>
      <c r="D180" s="95">
        <v>3.4</v>
      </c>
      <c r="E180" s="95">
        <v>112</v>
      </c>
      <c r="F180" s="95">
        <v>3.1</v>
      </c>
      <c r="G180" s="95">
        <v>72</v>
      </c>
      <c r="H180" s="95">
        <v>1.8</v>
      </c>
      <c r="I180" s="47">
        <v>63</v>
      </c>
      <c r="J180" s="47">
        <v>1.5</v>
      </c>
      <c r="K180" s="250">
        <v>86</v>
      </c>
      <c r="L180" s="250">
        <v>2</v>
      </c>
      <c r="M180" s="250">
        <v>23</v>
      </c>
      <c r="N180" s="262">
        <v>36.799999999999997</v>
      </c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</row>
    <row r="181" spans="1:25" x14ac:dyDescent="0.3">
      <c r="A181" s="305"/>
      <c r="B181" s="95" t="s">
        <v>82</v>
      </c>
      <c r="C181" s="95">
        <v>83</v>
      </c>
      <c r="D181" s="95">
        <v>2.6</v>
      </c>
      <c r="E181" s="95">
        <v>96</v>
      </c>
      <c r="F181" s="95">
        <v>2.6</v>
      </c>
      <c r="G181" s="95">
        <v>90</v>
      </c>
      <c r="H181" s="95">
        <v>2.2000000000000002</v>
      </c>
      <c r="I181" s="47">
        <v>124</v>
      </c>
      <c r="J181" s="47">
        <v>2.9</v>
      </c>
      <c r="K181" s="250">
        <v>124</v>
      </c>
      <c r="L181" s="250">
        <v>2.9</v>
      </c>
      <c r="M181" s="250">
        <v>0</v>
      </c>
      <c r="N181" s="262" t="s">
        <v>475</v>
      </c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</row>
    <row r="182" spans="1:25" x14ac:dyDescent="0.3">
      <c r="A182" s="305"/>
      <c r="B182" s="95" t="s">
        <v>83</v>
      </c>
      <c r="C182" s="95">
        <v>810</v>
      </c>
      <c r="D182" s="95">
        <v>25</v>
      </c>
      <c r="E182" s="95">
        <v>971</v>
      </c>
      <c r="F182" s="95">
        <v>26.5</v>
      </c>
      <c r="G182" s="95">
        <v>1175</v>
      </c>
      <c r="H182" s="95">
        <v>29.3</v>
      </c>
      <c r="I182" s="271">
        <v>1154</v>
      </c>
      <c r="J182" s="47">
        <v>27.2</v>
      </c>
      <c r="K182" s="250">
        <v>1161</v>
      </c>
      <c r="L182" s="250">
        <v>27.4</v>
      </c>
      <c r="M182" s="250">
        <v>7</v>
      </c>
      <c r="N182" s="262">
        <v>0.6</v>
      </c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</row>
    <row r="183" spans="1:25" x14ac:dyDescent="0.3">
      <c r="A183" s="305"/>
      <c r="B183" s="95" t="s">
        <v>84</v>
      </c>
      <c r="C183" s="95" t="s">
        <v>65</v>
      </c>
      <c r="D183" s="95" t="s">
        <v>65</v>
      </c>
      <c r="E183" s="95" t="s">
        <v>65</v>
      </c>
      <c r="F183" s="95" t="s">
        <v>65</v>
      </c>
      <c r="G183" s="95" t="s">
        <v>65</v>
      </c>
      <c r="H183" s="95" t="s">
        <v>65</v>
      </c>
      <c r="I183" s="47" t="s">
        <v>65</v>
      </c>
      <c r="J183" s="47" t="s">
        <v>65</v>
      </c>
      <c r="K183" s="250">
        <v>0</v>
      </c>
      <c r="L183" s="250">
        <v>0</v>
      </c>
      <c r="M183" s="250">
        <v>0</v>
      </c>
      <c r="N183" s="250" t="s">
        <v>65</v>
      </c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</row>
    <row r="184" spans="1:25" x14ac:dyDescent="0.3">
      <c r="A184" s="305"/>
      <c r="B184" s="95" t="s">
        <v>85</v>
      </c>
      <c r="C184" s="95">
        <v>94</v>
      </c>
      <c r="D184" s="95">
        <v>2.9</v>
      </c>
      <c r="E184" s="95">
        <v>160</v>
      </c>
      <c r="F184" s="95">
        <v>4.4000000000000004</v>
      </c>
      <c r="G184" s="95">
        <v>140</v>
      </c>
      <c r="H184" s="95">
        <v>3.5</v>
      </c>
      <c r="I184" s="47">
        <v>195</v>
      </c>
      <c r="J184" s="47">
        <v>4.5999999999999996</v>
      </c>
      <c r="K184" s="250">
        <v>196</v>
      </c>
      <c r="L184" s="250">
        <v>4.5999999999999996</v>
      </c>
      <c r="M184" s="250">
        <v>1</v>
      </c>
      <c r="N184" s="262">
        <v>0.4</v>
      </c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</row>
    <row r="185" spans="1:25" x14ac:dyDescent="0.3">
      <c r="A185" s="306"/>
      <c r="B185" s="97" t="s">
        <v>110</v>
      </c>
      <c r="C185" s="98">
        <v>3235</v>
      </c>
      <c r="D185" s="97">
        <v>100</v>
      </c>
      <c r="E185" s="98">
        <v>3670</v>
      </c>
      <c r="F185" s="97">
        <v>100</v>
      </c>
      <c r="G185" s="98">
        <v>4011</v>
      </c>
      <c r="H185" s="97">
        <v>100</v>
      </c>
      <c r="I185" s="267">
        <v>4247</v>
      </c>
      <c r="J185" s="50">
        <v>100</v>
      </c>
      <c r="K185" s="251">
        <v>4232</v>
      </c>
      <c r="L185" s="251">
        <v>100</v>
      </c>
      <c r="M185" s="251" t="s">
        <v>1119</v>
      </c>
      <c r="N185" s="264" t="s">
        <v>448</v>
      </c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</row>
    <row r="186" spans="1:25" x14ac:dyDescent="0.3">
      <c r="A186" s="304" t="s">
        <v>253</v>
      </c>
      <c r="B186" s="95" t="s">
        <v>78</v>
      </c>
      <c r="C186" s="95">
        <v>317</v>
      </c>
      <c r="D186" s="95">
        <v>22.1</v>
      </c>
      <c r="E186" s="95">
        <v>308</v>
      </c>
      <c r="F186" s="95">
        <v>16.7</v>
      </c>
      <c r="G186" s="95">
        <v>1194</v>
      </c>
      <c r="H186" s="95">
        <v>33.200000000000003</v>
      </c>
      <c r="I186" s="271">
        <v>1406</v>
      </c>
      <c r="J186" s="47">
        <v>19.7</v>
      </c>
      <c r="K186" s="250">
        <v>1605</v>
      </c>
      <c r="L186" s="250">
        <v>32.6</v>
      </c>
      <c r="M186" s="250">
        <v>200</v>
      </c>
      <c r="N186" s="262">
        <v>14.2</v>
      </c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</row>
    <row r="187" spans="1:25" x14ac:dyDescent="0.3">
      <c r="A187" s="305"/>
      <c r="B187" s="95" t="s">
        <v>79</v>
      </c>
      <c r="C187" s="95">
        <v>216</v>
      </c>
      <c r="D187" s="95">
        <v>15.1</v>
      </c>
      <c r="E187" s="95">
        <v>262</v>
      </c>
      <c r="F187" s="95">
        <v>14.2</v>
      </c>
      <c r="G187" s="95">
        <v>384</v>
      </c>
      <c r="H187" s="95">
        <v>10.7</v>
      </c>
      <c r="I187" s="47">
        <v>1337</v>
      </c>
      <c r="J187" s="47">
        <v>18.7</v>
      </c>
      <c r="K187" s="250">
        <v>428</v>
      </c>
      <c r="L187" s="250">
        <v>8.6999999999999993</v>
      </c>
      <c r="M187" s="250" t="s">
        <v>1166</v>
      </c>
      <c r="N187" s="262" t="s">
        <v>1167</v>
      </c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</row>
    <row r="188" spans="1:25" x14ac:dyDescent="0.3">
      <c r="A188" s="305"/>
      <c r="B188" s="95" t="s">
        <v>80</v>
      </c>
      <c r="C188" s="95">
        <v>264</v>
      </c>
      <c r="D188" s="95">
        <v>18.399999999999999</v>
      </c>
      <c r="E188" s="95">
        <v>298</v>
      </c>
      <c r="F188" s="95">
        <v>16.2</v>
      </c>
      <c r="G188" s="95">
        <v>565</v>
      </c>
      <c r="H188" s="95">
        <v>15.7</v>
      </c>
      <c r="I188" s="47">
        <v>1317</v>
      </c>
      <c r="J188" s="47">
        <v>18.5</v>
      </c>
      <c r="K188" s="250">
        <v>918</v>
      </c>
      <c r="L188" s="250">
        <v>18.600000000000001</v>
      </c>
      <c r="M188" s="250" t="s">
        <v>1168</v>
      </c>
      <c r="N188" s="262" t="s">
        <v>1169</v>
      </c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</row>
    <row r="189" spans="1:25" x14ac:dyDescent="0.3">
      <c r="A189" s="305"/>
      <c r="B189" s="95" t="s">
        <v>81</v>
      </c>
      <c r="C189" s="95">
        <v>9</v>
      </c>
      <c r="D189" s="95">
        <v>0.7</v>
      </c>
      <c r="E189" s="95">
        <v>3</v>
      </c>
      <c r="F189" s="95">
        <v>0.1</v>
      </c>
      <c r="G189" s="95">
        <v>5</v>
      </c>
      <c r="H189" s="95">
        <v>0.1</v>
      </c>
      <c r="I189" s="47">
        <v>154</v>
      </c>
      <c r="J189" s="47">
        <v>2.2000000000000002</v>
      </c>
      <c r="K189" s="250">
        <v>19</v>
      </c>
      <c r="L189" s="250">
        <v>0.4</v>
      </c>
      <c r="M189" s="250" t="s">
        <v>1170</v>
      </c>
      <c r="N189" s="262" t="s">
        <v>1171</v>
      </c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</row>
    <row r="190" spans="1:25" x14ac:dyDescent="0.3">
      <c r="A190" s="305"/>
      <c r="B190" s="95" t="s">
        <v>82</v>
      </c>
      <c r="C190" s="95">
        <v>7</v>
      </c>
      <c r="D190" s="95">
        <v>0.5</v>
      </c>
      <c r="E190" s="95">
        <v>8</v>
      </c>
      <c r="F190" s="95">
        <v>0.4</v>
      </c>
      <c r="G190" s="95">
        <v>20</v>
      </c>
      <c r="H190" s="95">
        <v>0.6</v>
      </c>
      <c r="I190" s="47">
        <v>133</v>
      </c>
      <c r="J190" s="47">
        <v>1.9</v>
      </c>
      <c r="K190" s="250">
        <v>68</v>
      </c>
      <c r="L190" s="250">
        <v>1.4</v>
      </c>
      <c r="M190" s="250" t="s">
        <v>1096</v>
      </c>
      <c r="N190" s="262" t="s">
        <v>1172</v>
      </c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</row>
    <row r="191" spans="1:25" x14ac:dyDescent="0.3">
      <c r="A191" s="305"/>
      <c r="B191" s="95" t="s">
        <v>83</v>
      </c>
      <c r="C191" s="95">
        <v>244</v>
      </c>
      <c r="D191" s="95">
        <v>17</v>
      </c>
      <c r="E191" s="95">
        <v>293</v>
      </c>
      <c r="F191" s="95">
        <v>15.9</v>
      </c>
      <c r="G191" s="95">
        <v>443</v>
      </c>
      <c r="H191" s="95">
        <v>12.3</v>
      </c>
      <c r="I191" s="47">
        <v>1354</v>
      </c>
      <c r="J191" s="47">
        <v>19</v>
      </c>
      <c r="K191" s="250">
        <v>734</v>
      </c>
      <c r="L191" s="250">
        <v>14.9</v>
      </c>
      <c r="M191" s="250" t="s">
        <v>1328</v>
      </c>
      <c r="N191" s="262" t="s">
        <v>1329</v>
      </c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</row>
    <row r="192" spans="1:25" x14ac:dyDescent="0.3">
      <c r="A192" s="305"/>
      <c r="B192" s="95" t="s">
        <v>84</v>
      </c>
      <c r="C192" s="95" t="s">
        <v>65</v>
      </c>
      <c r="D192" s="95" t="s">
        <v>65</v>
      </c>
      <c r="E192" s="95">
        <v>7</v>
      </c>
      <c r="F192" s="95">
        <v>0.4</v>
      </c>
      <c r="G192" s="95">
        <v>9</v>
      </c>
      <c r="H192" s="95">
        <v>0.3</v>
      </c>
      <c r="I192" s="47">
        <v>17</v>
      </c>
      <c r="J192" s="47">
        <v>0.2</v>
      </c>
      <c r="K192" s="250">
        <v>10</v>
      </c>
      <c r="L192" s="250">
        <v>0.2</v>
      </c>
      <c r="M192" s="250" t="s">
        <v>805</v>
      </c>
      <c r="N192" s="262" t="s">
        <v>1173</v>
      </c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</row>
    <row r="193" spans="1:25" x14ac:dyDescent="0.3">
      <c r="A193" s="305"/>
      <c r="B193" s="95" t="s">
        <v>85</v>
      </c>
      <c r="C193" s="95">
        <v>377</v>
      </c>
      <c r="D193" s="95">
        <v>26.3</v>
      </c>
      <c r="E193" s="95">
        <v>662</v>
      </c>
      <c r="F193" s="95">
        <v>35.9</v>
      </c>
      <c r="G193" s="95">
        <v>978</v>
      </c>
      <c r="H193" s="95">
        <v>27.2</v>
      </c>
      <c r="I193" s="47">
        <v>1417</v>
      </c>
      <c r="J193" s="47">
        <v>19.899999999999999</v>
      </c>
      <c r="K193" s="250">
        <v>1141</v>
      </c>
      <c r="L193" s="250">
        <v>23.2</v>
      </c>
      <c r="M193" s="250" t="s">
        <v>1174</v>
      </c>
      <c r="N193" s="262" t="s">
        <v>1175</v>
      </c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</row>
    <row r="194" spans="1:25" x14ac:dyDescent="0.3">
      <c r="A194" s="306"/>
      <c r="B194" s="97" t="s">
        <v>110</v>
      </c>
      <c r="C194" s="98">
        <v>1435</v>
      </c>
      <c r="D194" s="97">
        <v>100</v>
      </c>
      <c r="E194" s="98">
        <v>1841</v>
      </c>
      <c r="F194" s="97">
        <v>100</v>
      </c>
      <c r="G194" s="98">
        <v>3598</v>
      </c>
      <c r="H194" s="97">
        <v>100</v>
      </c>
      <c r="I194" s="267">
        <v>7134</v>
      </c>
      <c r="J194" s="50">
        <v>100</v>
      </c>
      <c r="K194" s="251">
        <v>4923</v>
      </c>
      <c r="L194" s="251">
        <v>100</v>
      </c>
      <c r="M194" s="251" t="s">
        <v>1330</v>
      </c>
      <c r="N194" s="264" t="s">
        <v>1331</v>
      </c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</row>
    <row r="195" spans="1:25" x14ac:dyDescent="0.3">
      <c r="A195" s="304" t="s">
        <v>86</v>
      </c>
      <c r="B195" s="95" t="s">
        <v>78</v>
      </c>
      <c r="C195" s="96">
        <v>10527</v>
      </c>
      <c r="D195" s="95">
        <v>5.0999999999999996</v>
      </c>
      <c r="E195" s="96">
        <v>11323</v>
      </c>
      <c r="F195" s="95">
        <v>4.7</v>
      </c>
      <c r="G195" s="96">
        <v>12313</v>
      </c>
      <c r="H195" s="95">
        <v>4.5999999999999996</v>
      </c>
      <c r="I195" s="271">
        <v>13024</v>
      </c>
      <c r="J195" s="47">
        <v>4.5</v>
      </c>
      <c r="K195" s="250">
        <v>14404</v>
      </c>
      <c r="L195" s="250">
        <v>4.7</v>
      </c>
      <c r="M195" s="250">
        <v>1379</v>
      </c>
      <c r="N195" s="262">
        <v>10.6</v>
      </c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</row>
    <row r="196" spans="1:25" x14ac:dyDescent="0.3">
      <c r="A196" s="305"/>
      <c r="B196" s="95" t="s">
        <v>79</v>
      </c>
      <c r="C196" s="96">
        <v>82597</v>
      </c>
      <c r="D196" s="95">
        <v>40</v>
      </c>
      <c r="E196" s="96">
        <v>90289</v>
      </c>
      <c r="F196" s="95">
        <v>37.799999999999997</v>
      </c>
      <c r="G196" s="96">
        <v>96058</v>
      </c>
      <c r="H196" s="95">
        <v>36.1</v>
      </c>
      <c r="I196" s="271">
        <v>103737</v>
      </c>
      <c r="J196" s="47">
        <v>36.200000000000003</v>
      </c>
      <c r="K196" s="250">
        <v>110861</v>
      </c>
      <c r="L196" s="250">
        <v>36.299999999999997</v>
      </c>
      <c r="M196" s="250">
        <v>7124</v>
      </c>
      <c r="N196" s="262">
        <v>6.9</v>
      </c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</row>
    <row r="197" spans="1:25" x14ac:dyDescent="0.3">
      <c r="A197" s="305"/>
      <c r="B197" s="95" t="s">
        <v>80</v>
      </c>
      <c r="C197" s="96">
        <v>50278</v>
      </c>
      <c r="D197" s="95">
        <v>24.4</v>
      </c>
      <c r="E197" s="96">
        <v>57508</v>
      </c>
      <c r="F197" s="95">
        <v>24.1</v>
      </c>
      <c r="G197" s="96">
        <v>63317</v>
      </c>
      <c r="H197" s="95">
        <v>23.8</v>
      </c>
      <c r="I197" s="271">
        <v>69738</v>
      </c>
      <c r="J197" s="47">
        <v>24.3</v>
      </c>
      <c r="K197" s="250">
        <v>74033</v>
      </c>
      <c r="L197" s="250">
        <v>24.2</v>
      </c>
      <c r="M197" s="250">
        <v>4295</v>
      </c>
      <c r="N197" s="262">
        <v>6.2</v>
      </c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</row>
    <row r="198" spans="1:25" x14ac:dyDescent="0.3">
      <c r="A198" s="305"/>
      <c r="B198" s="95" t="s">
        <v>81</v>
      </c>
      <c r="C198" s="96">
        <v>3735</v>
      </c>
      <c r="D198" s="95">
        <v>1.8</v>
      </c>
      <c r="E198" s="96">
        <v>3820</v>
      </c>
      <c r="F198" s="95">
        <v>1.6</v>
      </c>
      <c r="G198" s="96">
        <v>4327</v>
      </c>
      <c r="H198" s="95">
        <v>1.6</v>
      </c>
      <c r="I198" s="271">
        <v>5889</v>
      </c>
      <c r="J198" s="47">
        <v>2.1</v>
      </c>
      <c r="K198" s="250">
        <v>8121</v>
      </c>
      <c r="L198" s="250">
        <v>2.7</v>
      </c>
      <c r="M198" s="250">
        <v>2232</v>
      </c>
      <c r="N198" s="262">
        <v>37.9</v>
      </c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</row>
    <row r="199" spans="1:25" x14ac:dyDescent="0.3">
      <c r="A199" s="305"/>
      <c r="B199" s="95" t="s">
        <v>82</v>
      </c>
      <c r="C199" s="96">
        <v>14165</v>
      </c>
      <c r="D199" s="95">
        <v>6.9</v>
      </c>
      <c r="E199" s="96">
        <v>18212</v>
      </c>
      <c r="F199" s="95">
        <v>7.6</v>
      </c>
      <c r="G199" s="96">
        <v>16166</v>
      </c>
      <c r="H199" s="95">
        <v>6.1</v>
      </c>
      <c r="I199" s="271">
        <v>18716</v>
      </c>
      <c r="J199" s="47">
        <v>6.5</v>
      </c>
      <c r="K199" s="250">
        <v>18545</v>
      </c>
      <c r="L199" s="250">
        <v>6.1</v>
      </c>
      <c r="M199" s="250" t="s">
        <v>781</v>
      </c>
      <c r="N199" s="262" t="s">
        <v>386</v>
      </c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</row>
    <row r="200" spans="1:25" x14ac:dyDescent="0.3">
      <c r="A200" s="305"/>
      <c r="B200" s="95" t="s">
        <v>83</v>
      </c>
      <c r="C200" s="96">
        <v>30910</v>
      </c>
      <c r="D200" s="95">
        <v>15</v>
      </c>
      <c r="E200" s="96">
        <v>39753</v>
      </c>
      <c r="F200" s="95">
        <v>16.600000000000001</v>
      </c>
      <c r="G200" s="96">
        <v>49721</v>
      </c>
      <c r="H200" s="95">
        <v>18.7</v>
      </c>
      <c r="I200" s="271">
        <v>54924</v>
      </c>
      <c r="J200" s="47">
        <v>19.2</v>
      </c>
      <c r="K200" s="250">
        <v>58379</v>
      </c>
      <c r="L200" s="250">
        <v>19.100000000000001</v>
      </c>
      <c r="M200" s="250">
        <v>3454</v>
      </c>
      <c r="N200" s="262">
        <v>6.3</v>
      </c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</row>
    <row r="201" spans="1:25" x14ac:dyDescent="0.3">
      <c r="A201" s="305"/>
      <c r="B201" s="95" t="s">
        <v>84</v>
      </c>
      <c r="C201" s="96">
        <v>1829</v>
      </c>
      <c r="D201" s="95">
        <v>0.9</v>
      </c>
      <c r="E201" s="96">
        <v>1914</v>
      </c>
      <c r="F201" s="95">
        <v>0.8</v>
      </c>
      <c r="G201" s="96">
        <v>2634</v>
      </c>
      <c r="H201" s="95">
        <v>1</v>
      </c>
      <c r="I201" s="271">
        <v>626</v>
      </c>
      <c r="J201" s="47">
        <v>0.2</v>
      </c>
      <c r="K201" s="250">
        <v>755</v>
      </c>
      <c r="L201" s="250">
        <v>0.2</v>
      </c>
      <c r="M201" s="250">
        <v>129</v>
      </c>
      <c r="N201" s="262">
        <v>20.6</v>
      </c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</row>
    <row r="202" spans="1:25" x14ac:dyDescent="0.3">
      <c r="A202" s="305"/>
      <c r="B202" s="95" t="s">
        <v>85</v>
      </c>
      <c r="C202" s="96">
        <v>12212</v>
      </c>
      <c r="D202" s="95">
        <v>5.9</v>
      </c>
      <c r="E202" s="96">
        <v>15986</v>
      </c>
      <c r="F202" s="95">
        <v>6.7</v>
      </c>
      <c r="G202" s="96">
        <v>21254</v>
      </c>
      <c r="H202" s="95">
        <v>8</v>
      </c>
      <c r="I202" s="271">
        <v>20128</v>
      </c>
      <c r="J202" s="47">
        <v>7</v>
      </c>
      <c r="K202" s="250">
        <v>20635</v>
      </c>
      <c r="L202" s="250">
        <v>6.7</v>
      </c>
      <c r="M202" s="250">
        <v>507</v>
      </c>
      <c r="N202" s="262">
        <v>2.5</v>
      </c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</row>
    <row r="203" spans="1:25" x14ac:dyDescent="0.3">
      <c r="A203" s="306"/>
      <c r="B203" s="97" t="s">
        <v>110</v>
      </c>
      <c r="C203" s="98">
        <v>206254</v>
      </c>
      <c r="D203" s="97">
        <v>100</v>
      </c>
      <c r="E203" s="98">
        <v>238803</v>
      </c>
      <c r="F203" s="97">
        <v>100</v>
      </c>
      <c r="G203" s="98">
        <v>265791</v>
      </c>
      <c r="H203" s="97">
        <v>100</v>
      </c>
      <c r="I203" s="267">
        <v>286782</v>
      </c>
      <c r="J203" s="50">
        <v>100</v>
      </c>
      <c r="K203" s="251">
        <v>305731</v>
      </c>
      <c r="L203" s="251">
        <v>100</v>
      </c>
      <c r="M203" s="251">
        <v>18950</v>
      </c>
      <c r="N203" s="264">
        <v>6.6</v>
      </c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</row>
    <row r="204" spans="1:25" x14ac:dyDescent="0.3">
      <c r="I204" s="266"/>
      <c r="J204" s="266"/>
      <c r="K204" s="266"/>
      <c r="L204" s="266"/>
      <c r="M204" s="266"/>
      <c r="N204" s="266"/>
    </row>
    <row r="205" spans="1:25" ht="18.75" x14ac:dyDescent="0.3">
      <c r="A205" s="291" t="s">
        <v>1349</v>
      </c>
    </row>
  </sheetData>
  <mergeCells count="29">
    <mergeCell ref="A42:A50"/>
    <mergeCell ref="A4:B5"/>
    <mergeCell ref="C4:D4"/>
    <mergeCell ref="E4:F4"/>
    <mergeCell ref="G4:H4"/>
    <mergeCell ref="M4:N4"/>
    <mergeCell ref="A6:A14"/>
    <mergeCell ref="A15:A23"/>
    <mergeCell ref="A24:A32"/>
    <mergeCell ref="A33:A41"/>
    <mergeCell ref="I4:J4"/>
    <mergeCell ref="K4:L4"/>
    <mergeCell ref="A150:A158"/>
    <mergeCell ref="A51:A59"/>
    <mergeCell ref="A60:A68"/>
    <mergeCell ref="A69:A77"/>
    <mergeCell ref="A78:A86"/>
    <mergeCell ref="A87:A95"/>
    <mergeCell ref="A96:A104"/>
    <mergeCell ref="A105:A113"/>
    <mergeCell ref="A114:A122"/>
    <mergeCell ref="A123:A131"/>
    <mergeCell ref="A132:A140"/>
    <mergeCell ref="A141:A149"/>
    <mergeCell ref="A159:A167"/>
    <mergeCell ref="A168:A176"/>
    <mergeCell ref="A177:A185"/>
    <mergeCell ref="A186:A194"/>
    <mergeCell ref="A195:A203"/>
  </mergeCells>
  <phoneticPr fontId="1" type="noConversion"/>
  <hyperlinks>
    <hyperlink ref="H1" location="목차!A1" display="목차" xr:uid="{DAF7EF0E-2002-42DF-9816-19A0FF66C37D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D1D9-930B-496E-B06E-77CD39530BEF}">
  <sheetPr>
    <tabColor theme="1" tint="0.499984740745262"/>
  </sheetPr>
  <dimension ref="A1:Y186"/>
  <sheetViews>
    <sheetView topLeftCell="A31" zoomScale="55" zoomScaleNormal="55" workbookViewId="0">
      <selection activeCell="G108" sqref="G108"/>
    </sheetView>
  </sheetViews>
  <sheetFormatPr defaultRowHeight="16.5" x14ac:dyDescent="0.3"/>
  <cols>
    <col min="1" max="1" width="23" customWidth="1"/>
  </cols>
  <sheetData>
    <row r="1" spans="1:25" ht="17.25" x14ac:dyDescent="0.3">
      <c r="A1" s="7" t="s">
        <v>1176</v>
      </c>
      <c r="B1" s="2"/>
      <c r="C1" s="2"/>
      <c r="D1" s="2"/>
      <c r="E1" s="2"/>
      <c r="G1" s="72" t="s">
        <v>367</v>
      </c>
    </row>
    <row r="3" spans="1:25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3" t="s">
        <v>87</v>
      </c>
    </row>
    <row r="4" spans="1:25" ht="17.25" thickBot="1" x14ac:dyDescent="0.35">
      <c r="A4" s="312" t="s">
        <v>0</v>
      </c>
      <c r="B4" s="313"/>
      <c r="C4" s="318" t="s">
        <v>8</v>
      </c>
      <c r="D4" s="320"/>
      <c r="E4" s="318" t="s">
        <v>9</v>
      </c>
      <c r="F4" s="320"/>
      <c r="G4" s="318" t="s">
        <v>10</v>
      </c>
      <c r="H4" s="320"/>
      <c r="I4" s="318" t="s">
        <v>369</v>
      </c>
      <c r="J4" s="320"/>
      <c r="K4" s="318" t="s">
        <v>402</v>
      </c>
      <c r="L4" s="320"/>
      <c r="M4" s="318" t="s">
        <v>32</v>
      </c>
      <c r="N4" s="319"/>
    </row>
    <row r="5" spans="1:25" ht="17.25" thickTop="1" x14ac:dyDescent="0.3">
      <c r="A5" s="312"/>
      <c r="B5" s="313"/>
      <c r="C5" s="173" t="s">
        <v>77</v>
      </c>
      <c r="D5" s="173" t="s">
        <v>36</v>
      </c>
      <c r="E5" s="173" t="s">
        <v>77</v>
      </c>
      <c r="F5" s="173" t="s">
        <v>36</v>
      </c>
      <c r="G5" s="173" t="s">
        <v>73</v>
      </c>
      <c r="H5" s="173" t="s">
        <v>36</v>
      </c>
      <c r="I5" s="173" t="s">
        <v>74</v>
      </c>
      <c r="J5" s="173" t="s">
        <v>36</v>
      </c>
      <c r="K5" s="173" t="s">
        <v>74</v>
      </c>
      <c r="L5" s="173" t="s">
        <v>36</v>
      </c>
      <c r="M5" s="173" t="s">
        <v>37</v>
      </c>
      <c r="N5" s="174" t="s">
        <v>38</v>
      </c>
    </row>
    <row r="6" spans="1:25" x14ac:dyDescent="0.3">
      <c r="A6" s="305" t="s">
        <v>792</v>
      </c>
      <c r="B6" s="169" t="s">
        <v>115</v>
      </c>
      <c r="C6" s="178">
        <v>21625</v>
      </c>
      <c r="D6" s="169">
        <v>31</v>
      </c>
      <c r="E6" s="178">
        <v>23939</v>
      </c>
      <c r="F6" s="169">
        <v>31.1</v>
      </c>
      <c r="G6" s="178">
        <v>27753</v>
      </c>
      <c r="H6" s="169">
        <v>33.4</v>
      </c>
      <c r="I6" s="178">
        <v>29679</v>
      </c>
      <c r="J6" s="169">
        <v>33.5</v>
      </c>
      <c r="K6" s="201">
        <v>31870</v>
      </c>
      <c r="L6" s="201">
        <v>34.1</v>
      </c>
      <c r="M6" s="201">
        <v>2191</v>
      </c>
      <c r="N6" s="203">
        <v>7.4</v>
      </c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</row>
    <row r="7" spans="1:25" x14ac:dyDescent="0.3">
      <c r="A7" s="305"/>
      <c r="B7" s="95" t="s">
        <v>833</v>
      </c>
      <c r="C7" s="96">
        <v>31828</v>
      </c>
      <c r="D7" s="95">
        <v>45.6</v>
      </c>
      <c r="E7" s="96">
        <v>34073</v>
      </c>
      <c r="F7" s="95">
        <v>44.3</v>
      </c>
      <c r="G7" s="96">
        <v>34052</v>
      </c>
      <c r="H7" s="95">
        <v>40.9</v>
      </c>
      <c r="I7" s="96">
        <v>36007</v>
      </c>
      <c r="J7" s="95">
        <v>40.700000000000003</v>
      </c>
      <c r="K7" s="204">
        <v>37817</v>
      </c>
      <c r="L7" s="204">
        <v>40.4</v>
      </c>
      <c r="M7" s="204">
        <v>1810</v>
      </c>
      <c r="N7" s="206">
        <v>5</v>
      </c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</row>
    <row r="8" spans="1:25" x14ac:dyDescent="0.3">
      <c r="A8" s="305"/>
      <c r="B8" s="95" t="s">
        <v>834</v>
      </c>
      <c r="C8" s="96">
        <v>16335</v>
      </c>
      <c r="D8" s="95">
        <v>23.4</v>
      </c>
      <c r="E8" s="96">
        <v>18961</v>
      </c>
      <c r="F8" s="95">
        <v>24.6</v>
      </c>
      <c r="G8" s="96">
        <v>21352</v>
      </c>
      <c r="H8" s="95">
        <v>25.7</v>
      </c>
      <c r="I8" s="96">
        <v>22837</v>
      </c>
      <c r="J8" s="95">
        <v>25.8</v>
      </c>
      <c r="K8" s="204">
        <v>23816</v>
      </c>
      <c r="L8" s="204">
        <v>25.5</v>
      </c>
      <c r="M8" s="204">
        <v>979</v>
      </c>
      <c r="N8" s="206">
        <v>4.3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</row>
    <row r="9" spans="1:25" x14ac:dyDescent="0.3">
      <c r="A9" s="306"/>
      <c r="B9" s="97" t="s">
        <v>86</v>
      </c>
      <c r="C9" s="98">
        <v>69788</v>
      </c>
      <c r="D9" s="97">
        <v>100</v>
      </c>
      <c r="E9" s="98">
        <v>76973</v>
      </c>
      <c r="F9" s="97">
        <v>100</v>
      </c>
      <c r="G9" s="98">
        <v>83157</v>
      </c>
      <c r="H9" s="97">
        <v>100</v>
      </c>
      <c r="I9" s="98">
        <v>88523</v>
      </c>
      <c r="J9" s="97">
        <v>100</v>
      </c>
      <c r="K9" s="207">
        <v>93504</v>
      </c>
      <c r="L9" s="207">
        <v>100</v>
      </c>
      <c r="M9" s="207">
        <v>4981</v>
      </c>
      <c r="N9" s="209">
        <v>5.6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</row>
    <row r="10" spans="1:25" x14ac:dyDescent="0.3">
      <c r="A10" s="304" t="s">
        <v>41</v>
      </c>
      <c r="B10" s="95" t="s">
        <v>115</v>
      </c>
      <c r="C10" s="96">
        <v>7425</v>
      </c>
      <c r="D10" s="95">
        <v>39.1</v>
      </c>
      <c r="E10" s="96">
        <v>8001</v>
      </c>
      <c r="F10" s="95">
        <v>37.1</v>
      </c>
      <c r="G10" s="96">
        <v>9700</v>
      </c>
      <c r="H10" s="95">
        <v>42.2</v>
      </c>
      <c r="I10" s="96">
        <v>8672</v>
      </c>
      <c r="J10" s="95">
        <v>36.5</v>
      </c>
      <c r="K10" s="204">
        <v>10307</v>
      </c>
      <c r="L10" s="204">
        <v>36.700000000000003</v>
      </c>
      <c r="M10" s="204">
        <v>1635</v>
      </c>
      <c r="N10" s="206">
        <v>18.899999999999999</v>
      </c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spans="1:25" x14ac:dyDescent="0.3">
      <c r="A11" s="305"/>
      <c r="B11" s="95" t="s">
        <v>833</v>
      </c>
      <c r="C11" s="96">
        <v>1447</v>
      </c>
      <c r="D11" s="95">
        <v>7.6</v>
      </c>
      <c r="E11" s="96">
        <v>1626</v>
      </c>
      <c r="F11" s="95">
        <v>7.5</v>
      </c>
      <c r="G11" s="96">
        <v>1583</v>
      </c>
      <c r="H11" s="95">
        <v>6.9</v>
      </c>
      <c r="I11" s="96">
        <v>1571</v>
      </c>
      <c r="J11" s="95">
        <v>6.6</v>
      </c>
      <c r="K11" s="204">
        <v>1661</v>
      </c>
      <c r="L11" s="204">
        <v>5.9</v>
      </c>
      <c r="M11" s="204">
        <v>91</v>
      </c>
      <c r="N11" s="206">
        <v>5.8</v>
      </c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spans="1:25" x14ac:dyDescent="0.3">
      <c r="A12" s="305"/>
      <c r="B12" s="95" t="s">
        <v>834</v>
      </c>
      <c r="C12" s="96">
        <v>10134</v>
      </c>
      <c r="D12" s="95">
        <v>53.3</v>
      </c>
      <c r="E12" s="96">
        <v>11946</v>
      </c>
      <c r="F12" s="95">
        <v>55.4</v>
      </c>
      <c r="G12" s="96">
        <v>11713</v>
      </c>
      <c r="H12" s="95">
        <v>50.9</v>
      </c>
      <c r="I12" s="96">
        <v>13547</v>
      </c>
      <c r="J12" s="95">
        <v>56.9</v>
      </c>
      <c r="K12" s="204">
        <v>16102</v>
      </c>
      <c r="L12" s="204">
        <v>57.4</v>
      </c>
      <c r="M12" s="204">
        <v>2555</v>
      </c>
      <c r="N12" s="206">
        <v>18.899999999999999</v>
      </c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</row>
    <row r="13" spans="1:25" x14ac:dyDescent="0.3">
      <c r="A13" s="306"/>
      <c r="B13" s="97" t="s">
        <v>86</v>
      </c>
      <c r="C13" s="98">
        <v>19005</v>
      </c>
      <c r="D13" s="97">
        <v>100</v>
      </c>
      <c r="E13" s="98">
        <v>21573</v>
      </c>
      <c r="F13" s="97">
        <v>100</v>
      </c>
      <c r="G13" s="98">
        <v>22996</v>
      </c>
      <c r="H13" s="97">
        <v>100</v>
      </c>
      <c r="I13" s="98">
        <v>23790</v>
      </c>
      <c r="J13" s="97">
        <v>100</v>
      </c>
      <c r="K13" s="207">
        <v>28070</v>
      </c>
      <c r="L13" s="207">
        <v>100</v>
      </c>
      <c r="M13" s="207">
        <v>4281</v>
      </c>
      <c r="N13" s="209">
        <v>18</v>
      </c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spans="1:25" x14ac:dyDescent="0.3">
      <c r="A14" s="304" t="s">
        <v>793</v>
      </c>
      <c r="B14" s="95" t="s">
        <v>115</v>
      </c>
      <c r="C14" s="95">
        <v>576</v>
      </c>
      <c r="D14" s="95">
        <v>11.1</v>
      </c>
      <c r="E14" s="95">
        <v>653</v>
      </c>
      <c r="F14" s="95">
        <v>12.6</v>
      </c>
      <c r="G14" s="95">
        <v>680</v>
      </c>
      <c r="H14" s="95">
        <v>12.5</v>
      </c>
      <c r="I14" s="95">
        <v>568</v>
      </c>
      <c r="J14" s="95">
        <v>10.199999999999999</v>
      </c>
      <c r="K14" s="204">
        <v>419</v>
      </c>
      <c r="L14" s="204">
        <v>7.7</v>
      </c>
      <c r="M14" s="204" t="s">
        <v>1177</v>
      </c>
      <c r="N14" s="206" t="s">
        <v>1178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</row>
    <row r="15" spans="1:25" x14ac:dyDescent="0.3">
      <c r="A15" s="305"/>
      <c r="B15" s="95" t="s">
        <v>833</v>
      </c>
      <c r="C15" s="79" t="s">
        <v>372</v>
      </c>
      <c r="D15" s="79" t="s">
        <v>372</v>
      </c>
      <c r="E15" s="79" t="s">
        <v>372</v>
      </c>
      <c r="F15" s="79" t="s">
        <v>372</v>
      </c>
      <c r="G15" s="95">
        <v>0</v>
      </c>
      <c r="H15" s="95">
        <v>0</v>
      </c>
      <c r="I15" s="79" t="s">
        <v>372</v>
      </c>
      <c r="J15" s="79" t="s">
        <v>372</v>
      </c>
      <c r="K15" s="210">
        <v>0</v>
      </c>
      <c r="L15" s="210">
        <v>0</v>
      </c>
      <c r="M15" s="210">
        <v>0</v>
      </c>
      <c r="N15" s="210" t="s">
        <v>65</v>
      </c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 spans="1:25" x14ac:dyDescent="0.3">
      <c r="A16" s="305"/>
      <c r="B16" s="95" t="s">
        <v>834</v>
      </c>
      <c r="C16" s="96">
        <v>4625</v>
      </c>
      <c r="D16" s="95">
        <v>88.9</v>
      </c>
      <c r="E16" s="96">
        <v>4513</v>
      </c>
      <c r="F16" s="95">
        <v>87.4</v>
      </c>
      <c r="G16" s="96">
        <v>4744</v>
      </c>
      <c r="H16" s="95">
        <v>87.5</v>
      </c>
      <c r="I16" s="96">
        <v>5003</v>
      </c>
      <c r="J16" s="95">
        <v>89.8</v>
      </c>
      <c r="K16" s="204">
        <v>5021</v>
      </c>
      <c r="L16" s="204">
        <v>92.3</v>
      </c>
      <c r="M16" s="204">
        <v>18</v>
      </c>
      <c r="N16" s="206">
        <v>0.4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</row>
    <row r="17" spans="1:25" x14ac:dyDescent="0.3">
      <c r="A17" s="306"/>
      <c r="B17" s="97" t="s">
        <v>86</v>
      </c>
      <c r="C17" s="98">
        <v>5201</v>
      </c>
      <c r="D17" s="97">
        <v>100</v>
      </c>
      <c r="E17" s="98">
        <v>5165</v>
      </c>
      <c r="F17" s="97">
        <v>100</v>
      </c>
      <c r="G17" s="98">
        <v>5424</v>
      </c>
      <c r="H17" s="97">
        <v>100</v>
      </c>
      <c r="I17" s="98">
        <v>5571</v>
      </c>
      <c r="J17" s="97">
        <v>100</v>
      </c>
      <c r="K17" s="207">
        <v>5439</v>
      </c>
      <c r="L17" s="207">
        <v>100</v>
      </c>
      <c r="M17" s="207" t="s">
        <v>1106</v>
      </c>
      <c r="N17" s="209" t="s">
        <v>376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</row>
    <row r="18" spans="1:25" x14ac:dyDescent="0.3">
      <c r="A18" s="304" t="s">
        <v>43</v>
      </c>
      <c r="B18" s="95" t="s">
        <v>115</v>
      </c>
      <c r="C18" s="95">
        <v>488</v>
      </c>
      <c r="D18" s="95">
        <v>97.2</v>
      </c>
      <c r="E18" s="95">
        <v>506</v>
      </c>
      <c r="F18" s="95">
        <v>95.8</v>
      </c>
      <c r="G18" s="95">
        <v>521</v>
      </c>
      <c r="H18" s="95">
        <v>96</v>
      </c>
      <c r="I18" s="95">
        <v>577</v>
      </c>
      <c r="J18" s="95">
        <v>87.6</v>
      </c>
      <c r="K18" s="204">
        <v>608</v>
      </c>
      <c r="L18" s="204">
        <v>76.7</v>
      </c>
      <c r="M18" s="204">
        <v>31</v>
      </c>
      <c r="N18" s="206">
        <v>5.4</v>
      </c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spans="1:25" x14ac:dyDescent="0.3">
      <c r="A19" s="305"/>
      <c r="B19" s="95" t="s">
        <v>833</v>
      </c>
      <c r="C19" s="95">
        <v>0</v>
      </c>
      <c r="D19" s="95">
        <v>0.1</v>
      </c>
      <c r="E19" s="79" t="s">
        <v>372</v>
      </c>
      <c r="F19" s="79" t="s">
        <v>372</v>
      </c>
      <c r="G19" s="95">
        <v>1</v>
      </c>
      <c r="H19" s="95">
        <v>0.1</v>
      </c>
      <c r="I19" s="95">
        <v>34</v>
      </c>
      <c r="J19" s="95">
        <v>5.2</v>
      </c>
      <c r="K19" s="204">
        <v>129</v>
      </c>
      <c r="L19" s="204">
        <v>16.2</v>
      </c>
      <c r="M19" s="204">
        <v>95</v>
      </c>
      <c r="N19" s="206">
        <v>277.3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spans="1:25" x14ac:dyDescent="0.3">
      <c r="A20" s="305"/>
      <c r="B20" s="95" t="s">
        <v>834</v>
      </c>
      <c r="C20" s="95">
        <v>13</v>
      </c>
      <c r="D20" s="95">
        <v>2.7</v>
      </c>
      <c r="E20" s="95">
        <v>22</v>
      </c>
      <c r="F20" s="95">
        <v>4.2</v>
      </c>
      <c r="G20" s="95">
        <v>21</v>
      </c>
      <c r="H20" s="95">
        <v>3.8</v>
      </c>
      <c r="I20" s="95">
        <v>48</v>
      </c>
      <c r="J20" s="95">
        <v>7.2</v>
      </c>
      <c r="K20" s="204">
        <v>56</v>
      </c>
      <c r="L20" s="204">
        <v>7.1</v>
      </c>
      <c r="M20" s="204">
        <v>9</v>
      </c>
      <c r="N20" s="206">
        <v>18.3</v>
      </c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spans="1:25" x14ac:dyDescent="0.3">
      <c r="A21" s="306"/>
      <c r="B21" s="97" t="s">
        <v>86</v>
      </c>
      <c r="C21" s="97">
        <v>502</v>
      </c>
      <c r="D21" s="97">
        <v>100</v>
      </c>
      <c r="E21" s="97">
        <v>528</v>
      </c>
      <c r="F21" s="97">
        <v>100</v>
      </c>
      <c r="G21" s="97">
        <v>542</v>
      </c>
      <c r="H21" s="97">
        <v>100</v>
      </c>
      <c r="I21" s="97">
        <v>659</v>
      </c>
      <c r="J21" s="97">
        <v>100</v>
      </c>
      <c r="K21" s="207">
        <v>793</v>
      </c>
      <c r="L21" s="207">
        <v>100</v>
      </c>
      <c r="M21" s="207">
        <v>134</v>
      </c>
      <c r="N21" s="209">
        <v>20.399999999999999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spans="1:25" x14ac:dyDescent="0.3">
      <c r="A22" s="304" t="s">
        <v>796</v>
      </c>
      <c r="B22" s="95" t="s">
        <v>115</v>
      </c>
      <c r="C22" s="96">
        <v>2852</v>
      </c>
      <c r="D22" s="95">
        <v>58.5</v>
      </c>
      <c r="E22" s="96">
        <v>2943</v>
      </c>
      <c r="F22" s="95">
        <v>58.9</v>
      </c>
      <c r="G22" s="96">
        <v>3640</v>
      </c>
      <c r="H22" s="95">
        <v>62.3</v>
      </c>
      <c r="I22" s="96">
        <v>3345</v>
      </c>
      <c r="J22" s="95">
        <v>61.1</v>
      </c>
      <c r="K22" s="204">
        <v>3306</v>
      </c>
      <c r="L22" s="204">
        <v>58.4</v>
      </c>
      <c r="M22" s="204" t="s">
        <v>1179</v>
      </c>
      <c r="N22" s="206" t="s">
        <v>785</v>
      </c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 spans="1:25" x14ac:dyDescent="0.3">
      <c r="A23" s="305"/>
      <c r="B23" s="95" t="s">
        <v>833</v>
      </c>
      <c r="C23" s="95">
        <v>1113</v>
      </c>
      <c r="D23" s="95">
        <v>22.8</v>
      </c>
      <c r="E23" s="96">
        <v>952</v>
      </c>
      <c r="F23" s="95">
        <v>19.100000000000001</v>
      </c>
      <c r="G23" s="95">
        <v>1094</v>
      </c>
      <c r="H23" s="95">
        <v>18.7</v>
      </c>
      <c r="I23" s="96">
        <v>1176</v>
      </c>
      <c r="J23" s="95">
        <v>21.5</v>
      </c>
      <c r="K23" s="204">
        <v>1214</v>
      </c>
      <c r="L23" s="204">
        <v>21.5</v>
      </c>
      <c r="M23" s="204">
        <v>38</v>
      </c>
      <c r="N23" s="206">
        <v>3.2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</row>
    <row r="24" spans="1:25" x14ac:dyDescent="0.3">
      <c r="A24" s="305"/>
      <c r="B24" s="95" t="s">
        <v>834</v>
      </c>
      <c r="C24" s="95">
        <v>912</v>
      </c>
      <c r="D24" s="95">
        <v>18.7</v>
      </c>
      <c r="E24" s="95">
        <v>1099</v>
      </c>
      <c r="F24" s="95">
        <v>22</v>
      </c>
      <c r="G24" s="96">
        <v>1111</v>
      </c>
      <c r="H24" s="95">
        <v>19</v>
      </c>
      <c r="I24" s="96">
        <v>949</v>
      </c>
      <c r="J24" s="95">
        <v>17.399999999999999</v>
      </c>
      <c r="K24" s="204">
        <v>1137</v>
      </c>
      <c r="L24" s="204">
        <v>20.100000000000001</v>
      </c>
      <c r="M24" s="204">
        <v>187</v>
      </c>
      <c r="N24" s="206">
        <v>19.7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</row>
    <row r="25" spans="1:25" x14ac:dyDescent="0.3">
      <c r="A25" s="306"/>
      <c r="B25" s="97" t="s">
        <v>86</v>
      </c>
      <c r="C25" s="98">
        <v>4878</v>
      </c>
      <c r="D25" s="97">
        <v>100</v>
      </c>
      <c r="E25" s="98">
        <v>4995</v>
      </c>
      <c r="F25" s="97">
        <v>100</v>
      </c>
      <c r="G25" s="98">
        <v>5846</v>
      </c>
      <c r="H25" s="97">
        <v>100</v>
      </c>
      <c r="I25" s="98">
        <v>5471</v>
      </c>
      <c r="J25" s="97">
        <v>100</v>
      </c>
      <c r="K25" s="207">
        <v>5657</v>
      </c>
      <c r="L25" s="207">
        <v>100</v>
      </c>
      <c r="M25" s="207">
        <v>186</v>
      </c>
      <c r="N25" s="209">
        <v>3.4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</row>
    <row r="26" spans="1:25" x14ac:dyDescent="0.3">
      <c r="A26" s="304" t="s">
        <v>45</v>
      </c>
      <c r="B26" s="95" t="s">
        <v>115</v>
      </c>
      <c r="C26" s="95">
        <v>346</v>
      </c>
      <c r="D26" s="95">
        <v>31.3</v>
      </c>
      <c r="E26" s="95">
        <v>302</v>
      </c>
      <c r="F26" s="95">
        <v>30.6</v>
      </c>
      <c r="G26" s="95">
        <v>387</v>
      </c>
      <c r="H26" s="95">
        <v>33.6</v>
      </c>
      <c r="I26" s="95">
        <v>366</v>
      </c>
      <c r="J26" s="95">
        <v>29.9</v>
      </c>
      <c r="K26" s="204">
        <v>339</v>
      </c>
      <c r="L26" s="204">
        <v>27.8</v>
      </c>
      <c r="M26" s="204" t="s">
        <v>1092</v>
      </c>
      <c r="N26" s="206" t="s">
        <v>1150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</row>
    <row r="27" spans="1:25" x14ac:dyDescent="0.3">
      <c r="A27" s="305"/>
      <c r="B27" s="95" t="s">
        <v>833</v>
      </c>
      <c r="C27" s="95">
        <v>103</v>
      </c>
      <c r="D27" s="95">
        <v>9.3000000000000007</v>
      </c>
      <c r="E27" s="95">
        <v>20</v>
      </c>
      <c r="F27" s="95">
        <v>2</v>
      </c>
      <c r="G27" s="95">
        <v>18</v>
      </c>
      <c r="H27" s="95">
        <v>1.6</v>
      </c>
      <c r="I27" s="95">
        <v>76</v>
      </c>
      <c r="J27" s="95">
        <v>6.2</v>
      </c>
      <c r="K27" s="204">
        <v>99</v>
      </c>
      <c r="L27" s="204">
        <v>8.1</v>
      </c>
      <c r="M27" s="204">
        <v>23</v>
      </c>
      <c r="N27" s="206">
        <v>30.1</v>
      </c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</row>
    <row r="28" spans="1:25" x14ac:dyDescent="0.3">
      <c r="A28" s="305"/>
      <c r="B28" s="95" t="s">
        <v>834</v>
      </c>
      <c r="C28" s="95">
        <v>656</v>
      </c>
      <c r="D28" s="95">
        <v>59.3</v>
      </c>
      <c r="E28" s="95">
        <v>666</v>
      </c>
      <c r="F28" s="95">
        <v>67.5</v>
      </c>
      <c r="G28" s="95">
        <v>749</v>
      </c>
      <c r="H28" s="95">
        <v>64.900000000000006</v>
      </c>
      <c r="I28" s="95">
        <v>782</v>
      </c>
      <c r="J28" s="95">
        <v>63.9</v>
      </c>
      <c r="K28" s="204">
        <v>780</v>
      </c>
      <c r="L28" s="204">
        <v>64.099999999999994</v>
      </c>
      <c r="M28" s="204" t="s">
        <v>482</v>
      </c>
      <c r="N28" s="206" t="s">
        <v>1180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</row>
    <row r="29" spans="1:25" x14ac:dyDescent="0.3">
      <c r="A29" s="306"/>
      <c r="B29" s="97" t="s">
        <v>86</v>
      </c>
      <c r="C29" s="98">
        <v>1106</v>
      </c>
      <c r="D29" s="97">
        <v>100</v>
      </c>
      <c r="E29" s="98">
        <v>988</v>
      </c>
      <c r="F29" s="97">
        <v>100</v>
      </c>
      <c r="G29" s="97">
        <v>1154</v>
      </c>
      <c r="H29" s="97">
        <v>100</v>
      </c>
      <c r="I29" s="98">
        <v>1224</v>
      </c>
      <c r="J29" s="97">
        <v>100</v>
      </c>
      <c r="K29" s="207">
        <v>1218</v>
      </c>
      <c r="L29" s="207">
        <v>100</v>
      </c>
      <c r="M29" s="207" t="s">
        <v>797</v>
      </c>
      <c r="N29" s="209" t="s">
        <v>812</v>
      </c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</row>
    <row r="30" spans="1:25" x14ac:dyDescent="0.3">
      <c r="A30" s="304" t="s">
        <v>47</v>
      </c>
      <c r="B30" s="95" t="s">
        <v>115</v>
      </c>
      <c r="C30" s="95">
        <v>634</v>
      </c>
      <c r="D30" s="95">
        <v>32.5</v>
      </c>
      <c r="E30" s="95">
        <v>524</v>
      </c>
      <c r="F30" s="95">
        <v>25.5</v>
      </c>
      <c r="G30" s="95">
        <v>570</v>
      </c>
      <c r="H30" s="95">
        <v>25.4</v>
      </c>
      <c r="I30" s="95">
        <v>668</v>
      </c>
      <c r="J30" s="95">
        <v>25.6</v>
      </c>
      <c r="K30" s="204">
        <v>654</v>
      </c>
      <c r="L30" s="204">
        <v>26</v>
      </c>
      <c r="M30" s="204" t="s">
        <v>384</v>
      </c>
      <c r="N30" s="206" t="s">
        <v>1181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spans="1:25" x14ac:dyDescent="0.3">
      <c r="A31" s="305"/>
      <c r="B31" s="95" t="s">
        <v>833</v>
      </c>
      <c r="C31" s="95">
        <v>65</v>
      </c>
      <c r="D31" s="95">
        <v>3.3</v>
      </c>
      <c r="E31" s="95">
        <v>115</v>
      </c>
      <c r="F31" s="95">
        <v>5.6</v>
      </c>
      <c r="G31" s="95">
        <v>166</v>
      </c>
      <c r="H31" s="95">
        <v>7.4</v>
      </c>
      <c r="I31" s="95">
        <v>225</v>
      </c>
      <c r="J31" s="95">
        <v>8.6</v>
      </c>
      <c r="K31" s="204">
        <v>181</v>
      </c>
      <c r="L31" s="204">
        <v>7.2</v>
      </c>
      <c r="M31" s="204" t="s">
        <v>1182</v>
      </c>
      <c r="N31" s="206" t="s">
        <v>1183</v>
      </c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 spans="1:25" x14ac:dyDescent="0.3">
      <c r="A32" s="305"/>
      <c r="B32" s="95" t="s">
        <v>834</v>
      </c>
      <c r="C32" s="96">
        <v>1253</v>
      </c>
      <c r="D32" s="95">
        <v>64.2</v>
      </c>
      <c r="E32" s="96">
        <v>1411</v>
      </c>
      <c r="F32" s="95">
        <v>68.8</v>
      </c>
      <c r="G32" s="96">
        <v>1510</v>
      </c>
      <c r="H32" s="95">
        <v>67.2</v>
      </c>
      <c r="I32" s="96">
        <v>1717</v>
      </c>
      <c r="J32" s="95">
        <v>65.8</v>
      </c>
      <c r="K32" s="204">
        <v>1683</v>
      </c>
      <c r="L32" s="204">
        <v>66.8</v>
      </c>
      <c r="M32" s="204" t="s">
        <v>826</v>
      </c>
      <c r="N32" s="206" t="s">
        <v>1111</v>
      </c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 spans="1:25" x14ac:dyDescent="0.3">
      <c r="A33" s="306"/>
      <c r="B33" s="97" t="s">
        <v>86</v>
      </c>
      <c r="C33" s="98">
        <v>1952</v>
      </c>
      <c r="D33" s="97">
        <v>100</v>
      </c>
      <c r="E33" s="98">
        <v>2050</v>
      </c>
      <c r="F33" s="97">
        <v>100</v>
      </c>
      <c r="G33" s="98">
        <v>2246</v>
      </c>
      <c r="H33" s="97">
        <v>100</v>
      </c>
      <c r="I33" s="98">
        <v>2610</v>
      </c>
      <c r="J33" s="97">
        <v>100</v>
      </c>
      <c r="K33" s="207">
        <v>2518</v>
      </c>
      <c r="L33" s="207">
        <v>100</v>
      </c>
      <c r="M33" s="207" t="s">
        <v>1184</v>
      </c>
      <c r="N33" s="209" t="s">
        <v>1185</v>
      </c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 spans="1:25" x14ac:dyDescent="0.3">
      <c r="A34" s="304" t="s">
        <v>800</v>
      </c>
      <c r="B34" s="95" t="s">
        <v>115</v>
      </c>
      <c r="C34" s="95">
        <v>800</v>
      </c>
      <c r="D34" s="95">
        <v>12.4</v>
      </c>
      <c r="E34" s="95">
        <v>840</v>
      </c>
      <c r="F34" s="95">
        <v>12.3</v>
      </c>
      <c r="G34" s="95">
        <v>903</v>
      </c>
      <c r="H34" s="95">
        <v>11.7</v>
      </c>
      <c r="I34" s="95">
        <v>970</v>
      </c>
      <c r="J34" s="95">
        <v>12</v>
      </c>
      <c r="K34" s="204">
        <v>725</v>
      </c>
      <c r="L34" s="204">
        <v>8.4</v>
      </c>
      <c r="M34" s="204" t="s">
        <v>1186</v>
      </c>
      <c r="N34" s="206" t="s">
        <v>1187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 spans="1:25" x14ac:dyDescent="0.3">
      <c r="A35" s="305"/>
      <c r="B35" s="95" t="s">
        <v>833</v>
      </c>
      <c r="C35" s="95">
        <v>105</v>
      </c>
      <c r="D35" s="95">
        <v>1.6</v>
      </c>
      <c r="E35" s="95">
        <v>138</v>
      </c>
      <c r="F35" s="95">
        <v>2</v>
      </c>
      <c r="G35" s="95">
        <v>152</v>
      </c>
      <c r="H35" s="95">
        <v>2</v>
      </c>
      <c r="I35" s="95">
        <v>168</v>
      </c>
      <c r="J35" s="95">
        <v>2.1</v>
      </c>
      <c r="K35" s="204">
        <v>101</v>
      </c>
      <c r="L35" s="204">
        <v>1.2</v>
      </c>
      <c r="M35" s="204" t="s">
        <v>1083</v>
      </c>
      <c r="N35" s="206" t="s">
        <v>1127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 spans="1:25" x14ac:dyDescent="0.3">
      <c r="A36" s="305"/>
      <c r="B36" s="95" t="s">
        <v>834</v>
      </c>
      <c r="C36" s="96">
        <v>5550</v>
      </c>
      <c r="D36" s="95">
        <v>86</v>
      </c>
      <c r="E36" s="96">
        <v>5833</v>
      </c>
      <c r="F36" s="95">
        <v>85.6</v>
      </c>
      <c r="G36" s="96">
        <v>6629</v>
      </c>
      <c r="H36" s="95">
        <v>86.3</v>
      </c>
      <c r="I36" s="96">
        <v>6961</v>
      </c>
      <c r="J36" s="95">
        <v>86</v>
      </c>
      <c r="K36" s="204">
        <v>7856</v>
      </c>
      <c r="L36" s="204">
        <v>90.5</v>
      </c>
      <c r="M36" s="204">
        <v>895</v>
      </c>
      <c r="N36" s="206">
        <v>12.9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1:25" x14ac:dyDescent="0.3">
      <c r="A37" s="306"/>
      <c r="B37" s="97" t="s">
        <v>86</v>
      </c>
      <c r="C37" s="98">
        <v>6455</v>
      </c>
      <c r="D37" s="97">
        <v>100</v>
      </c>
      <c r="E37" s="98">
        <v>6811</v>
      </c>
      <c r="F37" s="97">
        <v>100</v>
      </c>
      <c r="G37" s="98">
        <v>7683</v>
      </c>
      <c r="H37" s="97">
        <v>100</v>
      </c>
      <c r="I37" s="98">
        <v>8099</v>
      </c>
      <c r="J37" s="97">
        <v>100</v>
      </c>
      <c r="K37" s="207">
        <v>8682</v>
      </c>
      <c r="L37" s="207">
        <v>100</v>
      </c>
      <c r="M37" s="207">
        <v>584</v>
      </c>
      <c r="N37" s="209">
        <v>7.2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1:25" x14ac:dyDescent="0.3">
      <c r="A38" s="304" t="s">
        <v>50</v>
      </c>
      <c r="B38" s="95" t="s">
        <v>115</v>
      </c>
      <c r="C38" s="95">
        <v>12</v>
      </c>
      <c r="D38" s="95">
        <v>2.8</v>
      </c>
      <c r="E38" s="95">
        <v>13</v>
      </c>
      <c r="F38" s="95">
        <v>2.5</v>
      </c>
      <c r="G38" s="79" t="s">
        <v>372</v>
      </c>
      <c r="H38" s="79" t="s">
        <v>372</v>
      </c>
      <c r="I38" s="79" t="s">
        <v>372</v>
      </c>
      <c r="J38" s="79" t="s">
        <v>372</v>
      </c>
      <c r="K38" s="210">
        <v>0</v>
      </c>
      <c r="L38" s="210">
        <v>0</v>
      </c>
      <c r="M38" s="210">
        <v>0</v>
      </c>
      <c r="N38" s="210" t="s">
        <v>65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1:25" x14ac:dyDescent="0.3">
      <c r="A39" s="305"/>
      <c r="B39" s="95" t="s">
        <v>833</v>
      </c>
      <c r="C39" s="95">
        <v>341</v>
      </c>
      <c r="D39" s="95">
        <v>76.5</v>
      </c>
      <c r="E39" s="95">
        <v>393</v>
      </c>
      <c r="F39" s="95">
        <v>76.400000000000006</v>
      </c>
      <c r="G39" s="95">
        <v>347</v>
      </c>
      <c r="H39" s="95">
        <v>93.1</v>
      </c>
      <c r="I39" s="95">
        <v>600</v>
      </c>
      <c r="J39" s="95">
        <v>93.6</v>
      </c>
      <c r="K39" s="204">
        <v>632</v>
      </c>
      <c r="L39" s="204">
        <v>93.3</v>
      </c>
      <c r="M39" s="204">
        <v>32</v>
      </c>
      <c r="N39" s="206">
        <v>5.3</v>
      </c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</row>
    <row r="40" spans="1:25" x14ac:dyDescent="0.3">
      <c r="A40" s="305"/>
      <c r="B40" s="95" t="s">
        <v>834</v>
      </c>
      <c r="C40" s="95">
        <v>92</v>
      </c>
      <c r="D40" s="95">
        <v>20.7</v>
      </c>
      <c r="E40" s="95">
        <v>108</v>
      </c>
      <c r="F40" s="95">
        <v>21</v>
      </c>
      <c r="G40" s="95">
        <v>26</v>
      </c>
      <c r="H40" s="95">
        <v>6.9</v>
      </c>
      <c r="I40" s="95">
        <v>41</v>
      </c>
      <c r="J40" s="95">
        <v>6.4</v>
      </c>
      <c r="K40" s="204">
        <v>46</v>
      </c>
      <c r="L40" s="204">
        <v>6.7</v>
      </c>
      <c r="M40" s="204">
        <v>4</v>
      </c>
      <c r="N40" s="206">
        <v>10.8</v>
      </c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1:25" x14ac:dyDescent="0.3">
      <c r="A41" s="306"/>
      <c r="B41" s="97" t="s">
        <v>86</v>
      </c>
      <c r="C41" s="97">
        <v>445</v>
      </c>
      <c r="D41" s="97">
        <v>100</v>
      </c>
      <c r="E41" s="97">
        <v>515</v>
      </c>
      <c r="F41" s="97">
        <v>100</v>
      </c>
      <c r="G41" s="97">
        <v>373</v>
      </c>
      <c r="H41" s="97">
        <v>100</v>
      </c>
      <c r="I41" s="97">
        <v>641</v>
      </c>
      <c r="J41" s="97">
        <v>100</v>
      </c>
      <c r="K41" s="207">
        <v>678</v>
      </c>
      <c r="L41" s="207">
        <v>100</v>
      </c>
      <c r="M41" s="207">
        <v>36</v>
      </c>
      <c r="N41" s="209">
        <v>5.7</v>
      </c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</row>
    <row r="42" spans="1:25" x14ac:dyDescent="0.3">
      <c r="A42" s="304" t="s">
        <v>51</v>
      </c>
      <c r="B42" s="95" t="s">
        <v>115</v>
      </c>
      <c r="C42" s="95">
        <v>378</v>
      </c>
      <c r="D42" s="95">
        <v>55.6</v>
      </c>
      <c r="E42" s="95">
        <v>414</v>
      </c>
      <c r="F42" s="95">
        <v>44.3</v>
      </c>
      <c r="G42" s="95">
        <v>536</v>
      </c>
      <c r="H42" s="95">
        <v>48.7</v>
      </c>
      <c r="I42" s="95">
        <v>630</v>
      </c>
      <c r="J42" s="95">
        <v>48.8</v>
      </c>
      <c r="K42" s="204">
        <v>691</v>
      </c>
      <c r="L42" s="204">
        <v>54.1</v>
      </c>
      <c r="M42" s="204">
        <v>61</v>
      </c>
      <c r="N42" s="206">
        <v>9.8000000000000007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</row>
    <row r="43" spans="1:25" x14ac:dyDescent="0.3">
      <c r="A43" s="305"/>
      <c r="B43" s="95" t="s">
        <v>833</v>
      </c>
      <c r="C43" s="95">
        <v>157</v>
      </c>
      <c r="D43" s="95">
        <v>23.1</v>
      </c>
      <c r="E43" s="95">
        <v>262</v>
      </c>
      <c r="F43" s="95">
        <v>28</v>
      </c>
      <c r="G43" s="95">
        <v>318</v>
      </c>
      <c r="H43" s="95">
        <v>28.8</v>
      </c>
      <c r="I43" s="95">
        <v>381</v>
      </c>
      <c r="J43" s="95">
        <v>29.5</v>
      </c>
      <c r="K43" s="204">
        <v>360</v>
      </c>
      <c r="L43" s="204">
        <v>28.1</v>
      </c>
      <c r="M43" s="204" t="s">
        <v>837</v>
      </c>
      <c r="N43" s="206" t="s">
        <v>838</v>
      </c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</row>
    <row r="44" spans="1:25" x14ac:dyDescent="0.3">
      <c r="A44" s="305"/>
      <c r="B44" s="95" t="s">
        <v>834</v>
      </c>
      <c r="C44" s="95">
        <v>145</v>
      </c>
      <c r="D44" s="95">
        <v>21.3</v>
      </c>
      <c r="E44" s="95">
        <v>259</v>
      </c>
      <c r="F44" s="95">
        <v>27.7</v>
      </c>
      <c r="G44" s="95">
        <v>248</v>
      </c>
      <c r="H44" s="95">
        <v>22.5</v>
      </c>
      <c r="I44" s="95">
        <v>280</v>
      </c>
      <c r="J44" s="95">
        <v>21.7</v>
      </c>
      <c r="K44" s="204">
        <v>227</v>
      </c>
      <c r="L44" s="204">
        <v>17.8</v>
      </c>
      <c r="M44" s="204" t="s">
        <v>1116</v>
      </c>
      <c r="N44" s="206" t="s">
        <v>1188</v>
      </c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 spans="1:25" x14ac:dyDescent="0.3">
      <c r="A45" s="306"/>
      <c r="B45" s="97" t="s">
        <v>86</v>
      </c>
      <c r="C45" s="97">
        <v>680</v>
      </c>
      <c r="D45" s="97">
        <v>100</v>
      </c>
      <c r="E45" s="97">
        <v>935</v>
      </c>
      <c r="F45" s="97">
        <v>100</v>
      </c>
      <c r="G45" s="97">
        <v>1102</v>
      </c>
      <c r="H45" s="97">
        <v>100</v>
      </c>
      <c r="I45" s="98">
        <v>1290</v>
      </c>
      <c r="J45" s="97">
        <v>100</v>
      </c>
      <c r="K45" s="207">
        <v>1278</v>
      </c>
      <c r="L45" s="207">
        <v>100</v>
      </c>
      <c r="M45" s="207" t="s">
        <v>377</v>
      </c>
      <c r="N45" s="209" t="s">
        <v>386</v>
      </c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</row>
    <row r="46" spans="1:25" x14ac:dyDescent="0.3">
      <c r="A46" s="304" t="s">
        <v>801</v>
      </c>
      <c r="B46" s="95" t="s">
        <v>115</v>
      </c>
      <c r="C46" s="96">
        <v>3753</v>
      </c>
      <c r="D46" s="95">
        <v>11.9</v>
      </c>
      <c r="E46" s="96">
        <v>3676</v>
      </c>
      <c r="F46" s="95">
        <v>9.8000000000000007</v>
      </c>
      <c r="G46" s="96">
        <v>5256</v>
      </c>
      <c r="H46" s="95">
        <v>13.7</v>
      </c>
      <c r="I46" s="96">
        <v>4552</v>
      </c>
      <c r="J46" s="95">
        <v>11.3</v>
      </c>
      <c r="K46" s="204">
        <v>6548</v>
      </c>
      <c r="L46" s="204">
        <v>14.5</v>
      </c>
      <c r="M46" s="204">
        <v>1996</v>
      </c>
      <c r="N46" s="206">
        <v>43.8</v>
      </c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pans="1:25" x14ac:dyDescent="0.3">
      <c r="A47" s="305"/>
      <c r="B47" s="95" t="s">
        <v>833</v>
      </c>
      <c r="C47" s="96">
        <v>15954</v>
      </c>
      <c r="D47" s="95">
        <v>50.4</v>
      </c>
      <c r="E47" s="96">
        <v>19046</v>
      </c>
      <c r="F47" s="95">
        <v>50.7</v>
      </c>
      <c r="G47" s="96">
        <v>20574</v>
      </c>
      <c r="H47" s="95">
        <v>53.5</v>
      </c>
      <c r="I47" s="96">
        <v>23207</v>
      </c>
      <c r="J47" s="95">
        <v>57.5</v>
      </c>
      <c r="K47" s="204">
        <v>27582</v>
      </c>
      <c r="L47" s="204">
        <v>61</v>
      </c>
      <c r="M47" s="204">
        <v>4375</v>
      </c>
      <c r="N47" s="206">
        <v>18.899999999999999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</row>
    <row r="48" spans="1:25" x14ac:dyDescent="0.3">
      <c r="A48" s="305"/>
      <c r="B48" s="95" t="s">
        <v>834</v>
      </c>
      <c r="C48" s="96">
        <v>11949</v>
      </c>
      <c r="D48" s="95">
        <v>37.700000000000003</v>
      </c>
      <c r="E48" s="96">
        <v>14873</v>
      </c>
      <c r="F48" s="95">
        <v>39.6</v>
      </c>
      <c r="G48" s="96">
        <v>12592</v>
      </c>
      <c r="H48" s="95">
        <v>32.799999999999997</v>
      </c>
      <c r="I48" s="96">
        <v>12616</v>
      </c>
      <c r="J48" s="95">
        <v>31.2</v>
      </c>
      <c r="K48" s="204">
        <v>11120</v>
      </c>
      <c r="L48" s="204">
        <v>24.6</v>
      </c>
      <c r="M48" s="204" t="s">
        <v>1189</v>
      </c>
      <c r="N48" s="206" t="s">
        <v>1190</v>
      </c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</row>
    <row r="49" spans="1:25" x14ac:dyDescent="0.3">
      <c r="A49" s="306"/>
      <c r="B49" s="97" t="s">
        <v>86</v>
      </c>
      <c r="C49" s="98">
        <v>31657</v>
      </c>
      <c r="D49" s="97">
        <v>100</v>
      </c>
      <c r="E49" s="98">
        <v>37595</v>
      </c>
      <c r="F49" s="97">
        <v>100</v>
      </c>
      <c r="G49" s="98">
        <v>38422</v>
      </c>
      <c r="H49" s="97">
        <v>100</v>
      </c>
      <c r="I49" s="98">
        <v>40375</v>
      </c>
      <c r="J49" s="97">
        <v>100</v>
      </c>
      <c r="K49" s="207">
        <v>45250</v>
      </c>
      <c r="L49" s="207">
        <v>100</v>
      </c>
      <c r="M49" s="207">
        <v>4875</v>
      </c>
      <c r="N49" s="209">
        <v>12.1</v>
      </c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</row>
    <row r="50" spans="1:25" x14ac:dyDescent="0.3">
      <c r="A50" s="304" t="s">
        <v>49</v>
      </c>
      <c r="B50" s="95" t="s">
        <v>115</v>
      </c>
      <c r="C50" s="96">
        <v>1228</v>
      </c>
      <c r="D50" s="95">
        <v>40</v>
      </c>
      <c r="E50" s="96">
        <v>1866</v>
      </c>
      <c r="F50" s="95">
        <v>41.6</v>
      </c>
      <c r="G50" s="96">
        <v>3448</v>
      </c>
      <c r="H50" s="95">
        <v>40.5</v>
      </c>
      <c r="I50" s="96">
        <v>4073</v>
      </c>
      <c r="J50" s="95">
        <v>45.3</v>
      </c>
      <c r="K50" s="204">
        <v>3414</v>
      </c>
      <c r="L50" s="204">
        <v>39.6</v>
      </c>
      <c r="M50" s="204" t="s">
        <v>1191</v>
      </c>
      <c r="N50" s="206" t="s">
        <v>1154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</row>
    <row r="51" spans="1:25" x14ac:dyDescent="0.3">
      <c r="A51" s="305"/>
      <c r="B51" s="95" t="s">
        <v>833</v>
      </c>
      <c r="C51" s="95">
        <v>847</v>
      </c>
      <c r="D51" s="95">
        <v>27.6</v>
      </c>
      <c r="E51" s="95">
        <v>1525</v>
      </c>
      <c r="F51" s="95">
        <v>34</v>
      </c>
      <c r="G51" s="96">
        <v>3037</v>
      </c>
      <c r="H51" s="95">
        <v>35.700000000000003</v>
      </c>
      <c r="I51" s="96">
        <v>3108</v>
      </c>
      <c r="J51" s="95">
        <v>34.5</v>
      </c>
      <c r="K51" s="204">
        <v>3553</v>
      </c>
      <c r="L51" s="204">
        <v>41.2</v>
      </c>
      <c r="M51" s="204">
        <v>446</v>
      </c>
      <c r="N51" s="206">
        <v>14.3</v>
      </c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</row>
    <row r="52" spans="1:25" x14ac:dyDescent="0.3">
      <c r="A52" s="305"/>
      <c r="B52" s="95" t="s">
        <v>834</v>
      </c>
      <c r="C52" s="96">
        <v>994</v>
      </c>
      <c r="D52" s="95">
        <v>32.4</v>
      </c>
      <c r="E52" s="95">
        <v>1092</v>
      </c>
      <c r="F52" s="95">
        <v>24.3</v>
      </c>
      <c r="G52" s="96">
        <v>2031</v>
      </c>
      <c r="H52" s="95">
        <v>23.9</v>
      </c>
      <c r="I52" s="96">
        <v>1816</v>
      </c>
      <c r="J52" s="95">
        <v>20.2</v>
      </c>
      <c r="K52" s="204">
        <v>1661</v>
      </c>
      <c r="L52" s="204">
        <v>19.2</v>
      </c>
      <c r="M52" s="204" t="s">
        <v>1192</v>
      </c>
      <c r="N52" s="206" t="s">
        <v>1193</v>
      </c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spans="1:25" x14ac:dyDescent="0.3">
      <c r="A53" s="306"/>
      <c r="B53" s="97" t="s">
        <v>86</v>
      </c>
      <c r="C53" s="98">
        <v>3069</v>
      </c>
      <c r="D53" s="97">
        <v>100</v>
      </c>
      <c r="E53" s="98">
        <v>4483</v>
      </c>
      <c r="F53" s="97">
        <v>100</v>
      </c>
      <c r="G53" s="98">
        <v>8517</v>
      </c>
      <c r="H53" s="97">
        <v>100</v>
      </c>
      <c r="I53" s="98">
        <v>8997</v>
      </c>
      <c r="J53" s="97">
        <v>100</v>
      </c>
      <c r="K53" s="207">
        <v>8628</v>
      </c>
      <c r="L53" s="207">
        <v>100</v>
      </c>
      <c r="M53" s="207" t="s">
        <v>798</v>
      </c>
      <c r="N53" s="209" t="s">
        <v>1194</v>
      </c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spans="1:25" x14ac:dyDescent="0.3">
      <c r="A54" s="304" t="s">
        <v>802</v>
      </c>
      <c r="B54" s="95" t="s">
        <v>115</v>
      </c>
      <c r="C54" s="96">
        <v>3137</v>
      </c>
      <c r="D54" s="95">
        <v>61</v>
      </c>
      <c r="E54" s="96">
        <v>4045</v>
      </c>
      <c r="F54" s="95">
        <v>63.6</v>
      </c>
      <c r="G54" s="96">
        <v>3953</v>
      </c>
      <c r="H54" s="95">
        <v>69.900000000000006</v>
      </c>
      <c r="I54" s="96">
        <v>4360</v>
      </c>
      <c r="J54" s="95">
        <v>70.2</v>
      </c>
      <c r="K54" s="204">
        <v>4622</v>
      </c>
      <c r="L54" s="204">
        <v>75.400000000000006</v>
      </c>
      <c r="M54" s="204">
        <v>262</v>
      </c>
      <c r="N54" s="206">
        <v>6</v>
      </c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</row>
    <row r="55" spans="1:25" x14ac:dyDescent="0.3">
      <c r="A55" s="305"/>
      <c r="B55" s="95" t="s">
        <v>833</v>
      </c>
      <c r="C55" s="95">
        <v>207</v>
      </c>
      <c r="D55" s="95">
        <v>4</v>
      </c>
      <c r="E55" s="95">
        <v>214</v>
      </c>
      <c r="F55" s="95">
        <v>3.4</v>
      </c>
      <c r="G55" s="95">
        <v>176</v>
      </c>
      <c r="H55" s="95">
        <v>3.1</v>
      </c>
      <c r="I55" s="95">
        <v>193</v>
      </c>
      <c r="J55" s="95">
        <v>3.1</v>
      </c>
      <c r="K55" s="204">
        <v>238</v>
      </c>
      <c r="L55" s="204">
        <v>3.9</v>
      </c>
      <c r="M55" s="204">
        <v>45</v>
      </c>
      <c r="N55" s="206">
        <v>23.4</v>
      </c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 spans="1:25" x14ac:dyDescent="0.3">
      <c r="A56" s="305"/>
      <c r="B56" s="95" t="s">
        <v>834</v>
      </c>
      <c r="C56" s="96">
        <v>1799</v>
      </c>
      <c r="D56" s="95">
        <v>35</v>
      </c>
      <c r="E56" s="96">
        <v>2105</v>
      </c>
      <c r="F56" s="95">
        <v>33.1</v>
      </c>
      <c r="G56" s="96">
        <v>1523</v>
      </c>
      <c r="H56" s="95">
        <v>26.9</v>
      </c>
      <c r="I56" s="96">
        <v>1658</v>
      </c>
      <c r="J56" s="95">
        <v>26.7</v>
      </c>
      <c r="K56" s="204">
        <v>1271</v>
      </c>
      <c r="L56" s="204">
        <v>20.7</v>
      </c>
      <c r="M56" s="204" t="s">
        <v>1195</v>
      </c>
      <c r="N56" s="206" t="s">
        <v>1196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x14ac:dyDescent="0.3">
      <c r="A57" s="306"/>
      <c r="B57" s="97" t="s">
        <v>86</v>
      </c>
      <c r="C57" s="98">
        <v>5142</v>
      </c>
      <c r="D57" s="97">
        <v>100</v>
      </c>
      <c r="E57" s="98">
        <v>6364</v>
      </c>
      <c r="F57" s="97">
        <v>100</v>
      </c>
      <c r="G57" s="98">
        <v>5652</v>
      </c>
      <c r="H57" s="97">
        <v>100</v>
      </c>
      <c r="I57" s="98">
        <v>6212</v>
      </c>
      <c r="J57" s="97">
        <v>100</v>
      </c>
      <c r="K57" s="207">
        <v>6132</v>
      </c>
      <c r="L57" s="207">
        <v>100</v>
      </c>
      <c r="M57" s="207" t="s">
        <v>831</v>
      </c>
      <c r="N57" s="209" t="s">
        <v>388</v>
      </c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</row>
    <row r="58" spans="1:25" x14ac:dyDescent="0.3">
      <c r="A58" s="304" t="s">
        <v>56</v>
      </c>
      <c r="B58" s="95" t="s">
        <v>115</v>
      </c>
      <c r="C58" s="95">
        <v>896</v>
      </c>
      <c r="D58" s="95">
        <v>82.4</v>
      </c>
      <c r="E58" s="95">
        <v>920</v>
      </c>
      <c r="F58" s="95">
        <v>80.2</v>
      </c>
      <c r="G58" s="95">
        <v>999</v>
      </c>
      <c r="H58" s="95">
        <v>74.2</v>
      </c>
      <c r="I58" s="95">
        <v>1086</v>
      </c>
      <c r="J58" s="95">
        <v>73.8</v>
      </c>
      <c r="K58" s="204">
        <v>1232</v>
      </c>
      <c r="L58" s="204">
        <v>75.900000000000006</v>
      </c>
      <c r="M58" s="204">
        <v>145</v>
      </c>
      <c r="N58" s="206">
        <v>13.4</v>
      </c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</row>
    <row r="59" spans="1:25" x14ac:dyDescent="0.3">
      <c r="A59" s="305"/>
      <c r="B59" s="95" t="s">
        <v>833</v>
      </c>
      <c r="C59" s="95">
        <v>27</v>
      </c>
      <c r="D59" s="95">
        <v>2.5</v>
      </c>
      <c r="E59" s="95">
        <v>29</v>
      </c>
      <c r="F59" s="95">
        <v>2.6</v>
      </c>
      <c r="G59" s="95">
        <v>58</v>
      </c>
      <c r="H59" s="95">
        <v>4.3</v>
      </c>
      <c r="I59" s="95">
        <v>67</v>
      </c>
      <c r="J59" s="95">
        <v>4.5</v>
      </c>
      <c r="K59" s="204">
        <v>68</v>
      </c>
      <c r="L59" s="204">
        <v>4.2</v>
      </c>
      <c r="M59" s="204">
        <v>1</v>
      </c>
      <c r="N59" s="206">
        <v>1.1000000000000001</v>
      </c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</row>
    <row r="60" spans="1:25" x14ac:dyDescent="0.3">
      <c r="A60" s="305"/>
      <c r="B60" s="95" t="s">
        <v>834</v>
      </c>
      <c r="C60" s="95">
        <v>165</v>
      </c>
      <c r="D60" s="95">
        <v>15.1</v>
      </c>
      <c r="E60" s="95">
        <v>198</v>
      </c>
      <c r="F60" s="95">
        <v>17.2</v>
      </c>
      <c r="G60" s="95">
        <v>289</v>
      </c>
      <c r="H60" s="95">
        <v>21.5</v>
      </c>
      <c r="I60" s="95">
        <v>318</v>
      </c>
      <c r="J60" s="95">
        <v>21.6</v>
      </c>
      <c r="K60" s="204">
        <v>323</v>
      </c>
      <c r="L60" s="204">
        <v>19.899999999999999</v>
      </c>
      <c r="M60" s="204">
        <v>6</v>
      </c>
      <c r="N60" s="206">
        <v>1.7</v>
      </c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</row>
    <row r="61" spans="1:25" x14ac:dyDescent="0.3">
      <c r="A61" s="306"/>
      <c r="B61" s="97" t="s">
        <v>86</v>
      </c>
      <c r="C61" s="98">
        <v>1088</v>
      </c>
      <c r="D61" s="97">
        <v>100</v>
      </c>
      <c r="E61" s="98">
        <v>1147</v>
      </c>
      <c r="F61" s="97">
        <v>100</v>
      </c>
      <c r="G61" s="98">
        <v>1346</v>
      </c>
      <c r="H61" s="97">
        <v>100</v>
      </c>
      <c r="I61" s="98">
        <v>1471</v>
      </c>
      <c r="J61" s="97">
        <v>100</v>
      </c>
      <c r="K61" s="207">
        <v>1623</v>
      </c>
      <c r="L61" s="207">
        <v>100</v>
      </c>
      <c r="M61" s="207">
        <v>152</v>
      </c>
      <c r="N61" s="209">
        <v>10.3</v>
      </c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</row>
    <row r="62" spans="1:25" x14ac:dyDescent="0.3">
      <c r="A62" s="304" t="s">
        <v>57</v>
      </c>
      <c r="B62" s="95" t="s">
        <v>115</v>
      </c>
      <c r="C62" s="96">
        <v>12569</v>
      </c>
      <c r="D62" s="95">
        <v>40.700000000000003</v>
      </c>
      <c r="E62" s="96">
        <v>10679</v>
      </c>
      <c r="F62" s="95">
        <v>36.4</v>
      </c>
      <c r="G62" s="96">
        <v>8899</v>
      </c>
      <c r="H62" s="95">
        <v>36.200000000000003</v>
      </c>
      <c r="I62" s="96">
        <v>10137</v>
      </c>
      <c r="J62" s="95">
        <v>37.5</v>
      </c>
      <c r="K62" s="204">
        <v>22510</v>
      </c>
      <c r="L62" s="204">
        <v>43.3</v>
      </c>
      <c r="M62" s="204">
        <v>12373</v>
      </c>
      <c r="N62" s="206">
        <v>122.1</v>
      </c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</row>
    <row r="63" spans="1:25" x14ac:dyDescent="0.3">
      <c r="A63" s="305"/>
      <c r="B63" s="95" t="s">
        <v>833</v>
      </c>
      <c r="C63" s="96">
        <v>2853</v>
      </c>
      <c r="D63" s="95">
        <v>9.1999999999999993</v>
      </c>
      <c r="E63" s="96">
        <v>3176</v>
      </c>
      <c r="F63" s="95">
        <v>10.8</v>
      </c>
      <c r="G63" s="96">
        <v>3178</v>
      </c>
      <c r="H63" s="95">
        <v>12.9</v>
      </c>
      <c r="I63" s="96">
        <v>3361</v>
      </c>
      <c r="J63" s="95">
        <v>12.4</v>
      </c>
      <c r="K63" s="204">
        <v>4980</v>
      </c>
      <c r="L63" s="204">
        <v>9.6</v>
      </c>
      <c r="M63" s="204">
        <v>1619</v>
      </c>
      <c r="N63" s="206">
        <v>48.2</v>
      </c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</row>
    <row r="64" spans="1:25" x14ac:dyDescent="0.3">
      <c r="A64" s="305"/>
      <c r="B64" s="95" t="s">
        <v>834</v>
      </c>
      <c r="C64" s="96">
        <v>15458</v>
      </c>
      <c r="D64" s="95">
        <v>50.1</v>
      </c>
      <c r="E64" s="96">
        <v>15509</v>
      </c>
      <c r="F64" s="95">
        <v>52.8</v>
      </c>
      <c r="G64" s="96">
        <v>12528</v>
      </c>
      <c r="H64" s="95">
        <v>50.9</v>
      </c>
      <c r="I64" s="96">
        <v>13539</v>
      </c>
      <c r="J64" s="95">
        <v>50.1</v>
      </c>
      <c r="K64" s="204">
        <v>24459</v>
      </c>
      <c r="L64" s="204">
        <v>47.1</v>
      </c>
      <c r="M64" s="204">
        <v>10920</v>
      </c>
      <c r="N64" s="206">
        <v>80.7</v>
      </c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</row>
    <row r="65" spans="1:25" x14ac:dyDescent="0.3">
      <c r="A65" s="306"/>
      <c r="B65" s="97" t="s">
        <v>86</v>
      </c>
      <c r="C65" s="98">
        <v>30881</v>
      </c>
      <c r="D65" s="97">
        <v>100</v>
      </c>
      <c r="E65" s="98">
        <v>29365</v>
      </c>
      <c r="F65" s="97">
        <v>100</v>
      </c>
      <c r="G65" s="98">
        <v>24604</v>
      </c>
      <c r="H65" s="97">
        <v>100</v>
      </c>
      <c r="I65" s="98">
        <v>27038</v>
      </c>
      <c r="J65" s="97">
        <v>100</v>
      </c>
      <c r="K65" s="207">
        <v>51949</v>
      </c>
      <c r="L65" s="207">
        <v>100</v>
      </c>
      <c r="M65" s="207">
        <v>24912</v>
      </c>
      <c r="N65" s="209">
        <v>92.1</v>
      </c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</row>
    <row r="66" spans="1:25" x14ac:dyDescent="0.3">
      <c r="A66" s="304" t="s">
        <v>806</v>
      </c>
      <c r="B66" s="95" t="s">
        <v>115</v>
      </c>
      <c r="C66" s="95">
        <v>405</v>
      </c>
      <c r="D66" s="95">
        <v>47</v>
      </c>
      <c r="E66" s="95">
        <v>425</v>
      </c>
      <c r="F66" s="95">
        <v>46.1</v>
      </c>
      <c r="G66" s="95">
        <v>508</v>
      </c>
      <c r="H66" s="95">
        <v>48.2</v>
      </c>
      <c r="I66" s="95">
        <v>578</v>
      </c>
      <c r="J66" s="95">
        <v>52.6</v>
      </c>
      <c r="K66" s="204">
        <v>714</v>
      </c>
      <c r="L66" s="204">
        <v>54.2</v>
      </c>
      <c r="M66" s="204">
        <v>136</v>
      </c>
      <c r="N66" s="206">
        <v>23.5</v>
      </c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</row>
    <row r="67" spans="1:25" x14ac:dyDescent="0.3">
      <c r="A67" s="305"/>
      <c r="B67" s="95" t="s">
        <v>833</v>
      </c>
      <c r="C67" s="95">
        <v>40</v>
      </c>
      <c r="D67" s="95">
        <v>4.5999999999999996</v>
      </c>
      <c r="E67" s="95">
        <v>48</v>
      </c>
      <c r="F67" s="95">
        <v>5.2</v>
      </c>
      <c r="G67" s="95">
        <v>50</v>
      </c>
      <c r="H67" s="95">
        <v>4.7</v>
      </c>
      <c r="I67" s="95">
        <v>46</v>
      </c>
      <c r="J67" s="95">
        <v>4.2</v>
      </c>
      <c r="K67" s="250">
        <v>59</v>
      </c>
      <c r="L67" s="250">
        <v>4.5</v>
      </c>
      <c r="M67" s="250">
        <v>13</v>
      </c>
      <c r="N67" s="262">
        <v>28.3</v>
      </c>
      <c r="O67" s="272"/>
      <c r="P67" s="90"/>
      <c r="Q67" s="90"/>
      <c r="R67" s="90"/>
      <c r="S67" s="90"/>
      <c r="T67" s="90"/>
      <c r="U67" s="90"/>
      <c r="V67" s="90"/>
      <c r="W67" s="90"/>
      <c r="X67" s="90"/>
      <c r="Y67" s="90"/>
    </row>
    <row r="68" spans="1:25" x14ac:dyDescent="0.3">
      <c r="A68" s="305"/>
      <c r="B68" s="95" t="s">
        <v>834</v>
      </c>
      <c r="C68" s="95">
        <v>418</v>
      </c>
      <c r="D68" s="95">
        <v>48.4</v>
      </c>
      <c r="E68" s="95">
        <v>448</v>
      </c>
      <c r="F68" s="95">
        <v>48.6</v>
      </c>
      <c r="G68" s="95">
        <v>495</v>
      </c>
      <c r="H68" s="95">
        <v>47</v>
      </c>
      <c r="I68" s="95">
        <v>475</v>
      </c>
      <c r="J68" s="95">
        <v>43.2</v>
      </c>
      <c r="K68" s="250">
        <v>545</v>
      </c>
      <c r="L68" s="250">
        <v>41.4</v>
      </c>
      <c r="M68" s="250">
        <v>70</v>
      </c>
      <c r="N68" s="262">
        <v>14.7</v>
      </c>
      <c r="O68" s="272"/>
      <c r="P68" s="90"/>
      <c r="Q68" s="90"/>
      <c r="R68" s="90"/>
      <c r="S68" s="90"/>
      <c r="T68" s="90"/>
      <c r="U68" s="90"/>
      <c r="V68" s="90"/>
      <c r="W68" s="90"/>
      <c r="X68" s="90"/>
      <c r="Y68" s="90"/>
    </row>
    <row r="69" spans="1:25" x14ac:dyDescent="0.3">
      <c r="A69" s="306"/>
      <c r="B69" s="97" t="s">
        <v>86</v>
      </c>
      <c r="C69" s="97">
        <v>862</v>
      </c>
      <c r="D69" s="97">
        <v>100</v>
      </c>
      <c r="E69" s="97">
        <v>921</v>
      </c>
      <c r="F69" s="97">
        <v>100</v>
      </c>
      <c r="G69" s="97">
        <v>1053</v>
      </c>
      <c r="H69" s="97">
        <v>100</v>
      </c>
      <c r="I69" s="98">
        <v>1099</v>
      </c>
      <c r="J69" s="97">
        <v>100</v>
      </c>
      <c r="K69" s="251">
        <v>1318</v>
      </c>
      <c r="L69" s="251">
        <v>100</v>
      </c>
      <c r="M69" s="251">
        <v>219</v>
      </c>
      <c r="N69" s="264">
        <v>19.899999999999999</v>
      </c>
      <c r="O69" s="272"/>
      <c r="P69" s="90"/>
      <c r="Q69" s="90"/>
      <c r="R69" s="90"/>
      <c r="S69" s="90"/>
      <c r="T69" s="90"/>
      <c r="U69" s="90"/>
      <c r="V69" s="90"/>
      <c r="W69" s="90"/>
      <c r="X69" s="90"/>
      <c r="Y69" s="90"/>
    </row>
    <row r="70" spans="1:25" x14ac:dyDescent="0.3">
      <c r="A70" s="304" t="s">
        <v>808</v>
      </c>
      <c r="B70" s="95" t="s">
        <v>115</v>
      </c>
      <c r="C70" s="95">
        <v>71</v>
      </c>
      <c r="D70" s="95">
        <v>9.5</v>
      </c>
      <c r="E70" s="95">
        <v>106</v>
      </c>
      <c r="F70" s="95">
        <v>14.6</v>
      </c>
      <c r="G70" s="95">
        <v>185</v>
      </c>
      <c r="H70" s="95">
        <v>16.2</v>
      </c>
      <c r="I70" s="95">
        <v>196</v>
      </c>
      <c r="J70" s="95">
        <v>17.100000000000001</v>
      </c>
      <c r="K70" s="250">
        <v>181</v>
      </c>
      <c r="L70" s="250">
        <v>18.5</v>
      </c>
      <c r="M70" s="250" t="s">
        <v>384</v>
      </c>
      <c r="N70" s="262" t="s">
        <v>1156</v>
      </c>
      <c r="O70" s="272"/>
      <c r="P70" s="90"/>
      <c r="Q70" s="90"/>
      <c r="R70" s="90"/>
      <c r="S70" s="90"/>
      <c r="T70" s="90"/>
      <c r="U70" s="90"/>
      <c r="V70" s="90"/>
      <c r="W70" s="90"/>
      <c r="X70" s="90"/>
      <c r="Y70" s="90"/>
    </row>
    <row r="71" spans="1:25" x14ac:dyDescent="0.3">
      <c r="A71" s="305"/>
      <c r="B71" s="95" t="s">
        <v>833</v>
      </c>
      <c r="C71" s="95">
        <v>628</v>
      </c>
      <c r="D71" s="95">
        <v>84.5</v>
      </c>
      <c r="E71" s="95">
        <v>571</v>
      </c>
      <c r="F71" s="95">
        <v>78.3</v>
      </c>
      <c r="G71" s="95">
        <v>867</v>
      </c>
      <c r="H71" s="95">
        <v>76.099999999999994</v>
      </c>
      <c r="I71" s="95">
        <v>874</v>
      </c>
      <c r="J71" s="95">
        <v>76.5</v>
      </c>
      <c r="K71" s="250">
        <v>733</v>
      </c>
      <c r="L71" s="250">
        <v>75</v>
      </c>
      <c r="M71" s="250" t="s">
        <v>1197</v>
      </c>
      <c r="N71" s="262" t="s">
        <v>1154</v>
      </c>
      <c r="O71" s="272"/>
      <c r="P71" s="90"/>
      <c r="Q71" s="90"/>
      <c r="R71" s="90"/>
      <c r="S71" s="90"/>
      <c r="T71" s="90"/>
      <c r="U71" s="90"/>
      <c r="V71" s="90"/>
      <c r="W71" s="90"/>
      <c r="X71" s="90"/>
      <c r="Y71" s="90"/>
    </row>
    <row r="72" spans="1:25" x14ac:dyDescent="0.3">
      <c r="A72" s="305"/>
      <c r="B72" s="95" t="s">
        <v>834</v>
      </c>
      <c r="C72" s="95">
        <v>45</v>
      </c>
      <c r="D72" s="95">
        <v>6</v>
      </c>
      <c r="E72" s="95">
        <v>52</v>
      </c>
      <c r="F72" s="95">
        <v>7.1</v>
      </c>
      <c r="G72" s="95">
        <v>87</v>
      </c>
      <c r="H72" s="95">
        <v>7.6</v>
      </c>
      <c r="I72" s="95">
        <v>73</v>
      </c>
      <c r="J72" s="95">
        <v>6.4</v>
      </c>
      <c r="K72" s="250">
        <v>63</v>
      </c>
      <c r="L72" s="250">
        <v>6.5</v>
      </c>
      <c r="M72" s="250" t="s">
        <v>832</v>
      </c>
      <c r="N72" s="262" t="s">
        <v>1198</v>
      </c>
      <c r="O72" s="272"/>
      <c r="P72" s="90"/>
      <c r="Q72" s="90"/>
      <c r="R72" s="90"/>
      <c r="S72" s="90"/>
      <c r="T72" s="90"/>
      <c r="U72" s="90"/>
      <c r="V72" s="90"/>
      <c r="W72" s="90"/>
      <c r="X72" s="90"/>
      <c r="Y72" s="90"/>
    </row>
    <row r="73" spans="1:25" x14ac:dyDescent="0.3">
      <c r="A73" s="306"/>
      <c r="B73" s="97" t="s">
        <v>86</v>
      </c>
      <c r="C73" s="97">
        <v>744</v>
      </c>
      <c r="D73" s="97">
        <v>100</v>
      </c>
      <c r="E73" s="97">
        <v>729</v>
      </c>
      <c r="F73" s="97">
        <v>100</v>
      </c>
      <c r="G73" s="97">
        <v>1139</v>
      </c>
      <c r="H73" s="97">
        <v>100</v>
      </c>
      <c r="I73" s="98">
        <v>1143</v>
      </c>
      <c r="J73" s="97">
        <v>100</v>
      </c>
      <c r="K73" s="251">
        <v>977</v>
      </c>
      <c r="L73" s="251">
        <v>100</v>
      </c>
      <c r="M73" s="251" t="s">
        <v>1199</v>
      </c>
      <c r="N73" s="264" t="s">
        <v>1200</v>
      </c>
      <c r="O73" s="272"/>
      <c r="P73" s="90"/>
      <c r="Q73" s="90"/>
      <c r="R73" s="90"/>
      <c r="S73" s="90"/>
      <c r="T73" s="90"/>
      <c r="U73" s="90"/>
      <c r="V73" s="90"/>
      <c r="W73" s="90"/>
      <c r="X73" s="90"/>
      <c r="Y73" s="90"/>
    </row>
    <row r="74" spans="1:25" x14ac:dyDescent="0.3">
      <c r="A74" s="304" t="s">
        <v>63</v>
      </c>
      <c r="B74" s="95" t="s">
        <v>115</v>
      </c>
      <c r="C74" s="96">
        <v>4955</v>
      </c>
      <c r="D74" s="95">
        <v>48.6</v>
      </c>
      <c r="E74" s="96">
        <v>6821</v>
      </c>
      <c r="F74" s="95">
        <v>48.6</v>
      </c>
      <c r="G74" s="96">
        <v>7963</v>
      </c>
      <c r="H74" s="95">
        <v>48.1</v>
      </c>
      <c r="I74" s="96">
        <v>8398</v>
      </c>
      <c r="J74" s="95">
        <v>48.7</v>
      </c>
      <c r="K74" s="250">
        <v>8651</v>
      </c>
      <c r="L74" s="250">
        <v>47.9</v>
      </c>
      <c r="M74" s="250">
        <v>253</v>
      </c>
      <c r="N74" s="262">
        <v>3</v>
      </c>
      <c r="O74" s="272"/>
      <c r="P74" s="90"/>
      <c r="Q74" s="90"/>
      <c r="R74" s="90"/>
      <c r="S74" s="90"/>
      <c r="T74" s="90"/>
      <c r="U74" s="90"/>
      <c r="V74" s="90"/>
      <c r="W74" s="90"/>
      <c r="X74" s="90"/>
      <c r="Y74" s="90"/>
    </row>
    <row r="75" spans="1:25" x14ac:dyDescent="0.3">
      <c r="A75" s="305"/>
      <c r="B75" s="95" t="s">
        <v>833</v>
      </c>
      <c r="C75" s="96">
        <v>1111</v>
      </c>
      <c r="D75" s="95">
        <v>10.9</v>
      </c>
      <c r="E75" s="96">
        <v>1493</v>
      </c>
      <c r="F75" s="95">
        <v>10.6</v>
      </c>
      <c r="G75" s="96">
        <v>1040</v>
      </c>
      <c r="H75" s="95">
        <v>6.3</v>
      </c>
      <c r="I75" s="96">
        <v>1193</v>
      </c>
      <c r="J75" s="95">
        <v>6.9</v>
      </c>
      <c r="K75" s="250">
        <v>1140</v>
      </c>
      <c r="L75" s="250">
        <v>6.3</v>
      </c>
      <c r="M75" s="250" t="s">
        <v>1116</v>
      </c>
      <c r="N75" s="262" t="s">
        <v>1332</v>
      </c>
      <c r="O75" s="272"/>
      <c r="P75" s="90"/>
      <c r="Q75" s="90"/>
      <c r="R75" s="90"/>
      <c r="S75" s="90"/>
      <c r="T75" s="90"/>
      <c r="U75" s="90"/>
      <c r="V75" s="90"/>
      <c r="W75" s="90"/>
      <c r="X75" s="90"/>
      <c r="Y75" s="90"/>
    </row>
    <row r="76" spans="1:25" x14ac:dyDescent="0.3">
      <c r="A76" s="305"/>
      <c r="B76" s="95" t="s">
        <v>834</v>
      </c>
      <c r="C76" s="96">
        <v>4125</v>
      </c>
      <c r="D76" s="95">
        <v>40.5</v>
      </c>
      <c r="E76" s="96">
        <v>5709</v>
      </c>
      <c r="F76" s="95">
        <v>40.700000000000003</v>
      </c>
      <c r="G76" s="96">
        <v>7556</v>
      </c>
      <c r="H76" s="95">
        <v>45.6</v>
      </c>
      <c r="I76" s="96">
        <v>7646</v>
      </c>
      <c r="J76" s="95">
        <v>44.4</v>
      </c>
      <c r="K76" s="250">
        <v>8262</v>
      </c>
      <c r="L76" s="250">
        <v>45.8</v>
      </c>
      <c r="M76" s="250">
        <v>616</v>
      </c>
      <c r="N76" s="262">
        <v>8.1</v>
      </c>
      <c r="O76" s="272"/>
      <c r="P76" s="90"/>
      <c r="Q76" s="90"/>
      <c r="R76" s="90"/>
      <c r="S76" s="90"/>
      <c r="T76" s="90"/>
      <c r="U76" s="90"/>
      <c r="V76" s="90"/>
      <c r="W76" s="90"/>
      <c r="X76" s="90"/>
      <c r="Y76" s="90"/>
    </row>
    <row r="77" spans="1:25" x14ac:dyDescent="0.3">
      <c r="A77" s="306"/>
      <c r="B77" s="97" t="s">
        <v>86</v>
      </c>
      <c r="C77" s="98">
        <v>10192</v>
      </c>
      <c r="D77" s="97">
        <v>100</v>
      </c>
      <c r="E77" s="98">
        <v>14022</v>
      </c>
      <c r="F77" s="97">
        <v>100</v>
      </c>
      <c r="G77" s="98">
        <v>16559</v>
      </c>
      <c r="H77" s="97">
        <v>100</v>
      </c>
      <c r="I77" s="98">
        <v>17237</v>
      </c>
      <c r="J77" s="97">
        <v>100</v>
      </c>
      <c r="K77" s="251">
        <v>18054</v>
      </c>
      <c r="L77" s="251">
        <v>100</v>
      </c>
      <c r="M77" s="251">
        <v>817</v>
      </c>
      <c r="N77" s="264">
        <v>4.7</v>
      </c>
      <c r="O77" s="272"/>
      <c r="P77" s="90"/>
      <c r="Q77" s="90"/>
      <c r="R77" s="90"/>
      <c r="S77" s="90"/>
      <c r="T77" s="90"/>
      <c r="U77" s="90"/>
      <c r="V77" s="90"/>
      <c r="W77" s="90"/>
      <c r="X77" s="90"/>
      <c r="Y77" s="90"/>
    </row>
    <row r="78" spans="1:25" x14ac:dyDescent="0.3">
      <c r="A78" s="304" t="s">
        <v>813</v>
      </c>
      <c r="B78" s="95" t="s">
        <v>115</v>
      </c>
      <c r="C78" s="96">
        <v>1655</v>
      </c>
      <c r="D78" s="95">
        <v>26.2</v>
      </c>
      <c r="E78" s="96">
        <v>1962</v>
      </c>
      <c r="F78" s="95">
        <v>29</v>
      </c>
      <c r="G78" s="96">
        <v>2142</v>
      </c>
      <c r="H78" s="95">
        <v>28.7</v>
      </c>
      <c r="I78" s="96">
        <v>2301</v>
      </c>
      <c r="J78" s="95">
        <v>28.2</v>
      </c>
      <c r="K78" s="250">
        <v>2835</v>
      </c>
      <c r="L78" s="250">
        <v>31.4</v>
      </c>
      <c r="M78" s="250">
        <v>534</v>
      </c>
      <c r="N78" s="262">
        <v>23.2</v>
      </c>
      <c r="O78" s="272"/>
      <c r="P78" s="90"/>
      <c r="Q78" s="90"/>
      <c r="R78" s="90"/>
      <c r="S78" s="90"/>
      <c r="T78" s="90"/>
      <c r="U78" s="90"/>
      <c r="V78" s="90"/>
      <c r="W78" s="90"/>
      <c r="X78" s="90"/>
      <c r="Y78" s="90"/>
    </row>
    <row r="79" spans="1:25" x14ac:dyDescent="0.3">
      <c r="A79" s="305"/>
      <c r="B79" s="95" t="s">
        <v>833</v>
      </c>
      <c r="C79" s="96">
        <v>1008</v>
      </c>
      <c r="D79" s="95">
        <v>16</v>
      </c>
      <c r="E79" s="96">
        <v>915</v>
      </c>
      <c r="F79" s="95">
        <v>13.5</v>
      </c>
      <c r="G79" s="95">
        <v>907</v>
      </c>
      <c r="H79" s="95">
        <v>12.1</v>
      </c>
      <c r="I79" s="95">
        <v>1084</v>
      </c>
      <c r="J79" s="95">
        <v>13.3</v>
      </c>
      <c r="K79" s="250">
        <v>1404</v>
      </c>
      <c r="L79" s="250">
        <v>15.6</v>
      </c>
      <c r="M79" s="250">
        <v>320</v>
      </c>
      <c r="N79" s="262">
        <v>29.5</v>
      </c>
      <c r="O79" s="272"/>
      <c r="P79" s="90"/>
      <c r="Q79" s="90"/>
      <c r="R79" s="90"/>
      <c r="S79" s="90"/>
      <c r="T79" s="90"/>
      <c r="U79" s="90"/>
      <c r="V79" s="90"/>
      <c r="W79" s="90"/>
      <c r="X79" s="90"/>
      <c r="Y79" s="90"/>
    </row>
    <row r="80" spans="1:25" x14ac:dyDescent="0.3">
      <c r="A80" s="305"/>
      <c r="B80" s="95" t="s">
        <v>834</v>
      </c>
      <c r="C80" s="96">
        <v>3642</v>
      </c>
      <c r="D80" s="95">
        <v>57.8</v>
      </c>
      <c r="E80" s="96">
        <v>3885</v>
      </c>
      <c r="F80" s="95">
        <v>57.4</v>
      </c>
      <c r="G80" s="96">
        <v>4424</v>
      </c>
      <c r="H80" s="95">
        <v>59.2</v>
      </c>
      <c r="I80" s="96">
        <v>4771</v>
      </c>
      <c r="J80" s="95">
        <v>58.5</v>
      </c>
      <c r="K80" s="250">
        <v>4781</v>
      </c>
      <c r="L80" s="250">
        <v>53</v>
      </c>
      <c r="M80" s="250">
        <v>10</v>
      </c>
      <c r="N80" s="262">
        <v>0.2</v>
      </c>
      <c r="O80" s="272"/>
      <c r="P80" s="90"/>
      <c r="Q80" s="90"/>
      <c r="R80" s="90"/>
      <c r="S80" s="90"/>
      <c r="T80" s="90"/>
      <c r="U80" s="90"/>
      <c r="V80" s="90"/>
      <c r="W80" s="90"/>
      <c r="X80" s="90"/>
      <c r="Y80" s="90"/>
    </row>
    <row r="81" spans="1:25" x14ac:dyDescent="0.3">
      <c r="A81" s="306"/>
      <c r="B81" s="97" t="s">
        <v>86</v>
      </c>
      <c r="C81" s="98">
        <v>6305</v>
      </c>
      <c r="D81" s="97">
        <v>100</v>
      </c>
      <c r="E81" s="98">
        <v>6762</v>
      </c>
      <c r="F81" s="97">
        <v>100</v>
      </c>
      <c r="G81" s="98">
        <v>7473</v>
      </c>
      <c r="H81" s="97">
        <v>100</v>
      </c>
      <c r="I81" s="98">
        <v>8156</v>
      </c>
      <c r="J81" s="97">
        <v>100</v>
      </c>
      <c r="K81" s="251">
        <v>9020</v>
      </c>
      <c r="L81" s="251">
        <v>100</v>
      </c>
      <c r="M81" s="251">
        <v>864</v>
      </c>
      <c r="N81" s="264">
        <v>10.6</v>
      </c>
      <c r="O81" s="272"/>
      <c r="P81" s="90"/>
      <c r="Q81" s="90"/>
      <c r="R81" s="90"/>
      <c r="S81" s="90"/>
      <c r="T81" s="90"/>
      <c r="U81" s="90"/>
      <c r="V81" s="90"/>
      <c r="W81" s="90"/>
      <c r="X81" s="90"/>
      <c r="Y81" s="90"/>
    </row>
    <row r="82" spans="1:25" x14ac:dyDescent="0.3">
      <c r="A82" s="304" t="s">
        <v>71</v>
      </c>
      <c r="B82" s="95" t="s">
        <v>115</v>
      </c>
      <c r="C82" s="96">
        <v>2175</v>
      </c>
      <c r="D82" s="95">
        <v>67.599999999999994</v>
      </c>
      <c r="E82" s="96">
        <v>2530</v>
      </c>
      <c r="F82" s="95">
        <v>69.900000000000006</v>
      </c>
      <c r="G82" s="96">
        <v>2743</v>
      </c>
      <c r="H82" s="95">
        <v>72.5</v>
      </c>
      <c r="I82" s="96">
        <v>2841</v>
      </c>
      <c r="J82" s="95">
        <v>70.400000000000006</v>
      </c>
      <c r="K82" s="250">
        <v>2930</v>
      </c>
      <c r="L82" s="250">
        <v>71.900000000000006</v>
      </c>
      <c r="M82" s="250">
        <v>89</v>
      </c>
      <c r="N82" s="262">
        <v>3.1</v>
      </c>
      <c r="O82" s="272"/>
      <c r="P82" s="90"/>
      <c r="Q82" s="90"/>
      <c r="R82" s="90"/>
      <c r="S82" s="90"/>
      <c r="T82" s="90"/>
      <c r="U82" s="90"/>
      <c r="V82" s="90"/>
      <c r="W82" s="90"/>
      <c r="X82" s="90"/>
      <c r="Y82" s="90"/>
    </row>
    <row r="83" spans="1:25" x14ac:dyDescent="0.3">
      <c r="A83" s="305"/>
      <c r="B83" s="95" t="s">
        <v>833</v>
      </c>
      <c r="C83" s="95">
        <v>414</v>
      </c>
      <c r="D83" s="95">
        <v>12.9</v>
      </c>
      <c r="E83" s="95">
        <v>357</v>
      </c>
      <c r="F83" s="95">
        <v>9.9</v>
      </c>
      <c r="G83" s="95">
        <v>351</v>
      </c>
      <c r="H83" s="95">
        <v>9.3000000000000007</v>
      </c>
      <c r="I83" s="95">
        <v>378</v>
      </c>
      <c r="J83" s="95">
        <v>9.4</v>
      </c>
      <c r="K83" s="250">
        <v>303</v>
      </c>
      <c r="L83" s="250">
        <v>7.4</v>
      </c>
      <c r="M83" s="250" t="s">
        <v>1201</v>
      </c>
      <c r="N83" s="262" t="s">
        <v>1202</v>
      </c>
      <c r="O83" s="272"/>
      <c r="P83" s="90"/>
      <c r="Q83" s="90"/>
      <c r="R83" s="90"/>
      <c r="S83" s="90"/>
      <c r="T83" s="90"/>
      <c r="U83" s="90"/>
      <c r="V83" s="90"/>
      <c r="W83" s="90"/>
      <c r="X83" s="90"/>
      <c r="Y83" s="90"/>
    </row>
    <row r="84" spans="1:25" x14ac:dyDescent="0.3">
      <c r="A84" s="305"/>
      <c r="B84" s="95" t="s">
        <v>834</v>
      </c>
      <c r="C84" s="95">
        <v>627</v>
      </c>
      <c r="D84" s="95">
        <v>19.5</v>
      </c>
      <c r="E84" s="95">
        <v>730</v>
      </c>
      <c r="F84" s="95">
        <v>20.2</v>
      </c>
      <c r="G84" s="95">
        <v>690</v>
      </c>
      <c r="H84" s="95">
        <v>18.2</v>
      </c>
      <c r="I84" s="95">
        <v>817</v>
      </c>
      <c r="J84" s="95">
        <v>20.2</v>
      </c>
      <c r="K84" s="250">
        <v>844</v>
      </c>
      <c r="L84" s="250">
        <v>20.7</v>
      </c>
      <c r="M84" s="250">
        <v>28</v>
      </c>
      <c r="N84" s="262">
        <v>3.4</v>
      </c>
      <c r="O84" s="272"/>
      <c r="P84" s="90"/>
      <c r="Q84" s="90"/>
      <c r="R84" s="90"/>
      <c r="S84" s="90"/>
      <c r="T84" s="90"/>
      <c r="U84" s="90"/>
      <c r="V84" s="90"/>
      <c r="W84" s="90"/>
      <c r="X84" s="90"/>
      <c r="Y84" s="90"/>
    </row>
    <row r="85" spans="1:25" x14ac:dyDescent="0.3">
      <c r="A85" s="306"/>
      <c r="B85" s="97" t="s">
        <v>86</v>
      </c>
      <c r="C85" s="98">
        <v>3217</v>
      </c>
      <c r="D85" s="97">
        <v>100</v>
      </c>
      <c r="E85" s="98">
        <v>3617</v>
      </c>
      <c r="F85" s="97">
        <v>100</v>
      </c>
      <c r="G85" s="98">
        <v>3783</v>
      </c>
      <c r="H85" s="97">
        <v>100</v>
      </c>
      <c r="I85" s="98">
        <v>4035</v>
      </c>
      <c r="J85" s="97">
        <v>100</v>
      </c>
      <c r="K85" s="251">
        <v>4076</v>
      </c>
      <c r="L85" s="251">
        <v>100</v>
      </c>
      <c r="M85" s="251">
        <v>42</v>
      </c>
      <c r="N85" s="264">
        <v>1</v>
      </c>
      <c r="O85" s="272"/>
      <c r="P85" s="90"/>
      <c r="Q85" s="90"/>
      <c r="R85" s="90"/>
      <c r="S85" s="90"/>
      <c r="T85" s="90"/>
      <c r="U85" s="90"/>
      <c r="V85" s="90"/>
      <c r="W85" s="90"/>
      <c r="X85" s="90"/>
      <c r="Y85" s="90"/>
    </row>
    <row r="86" spans="1:25" x14ac:dyDescent="0.3">
      <c r="A86" s="304" t="s">
        <v>841</v>
      </c>
      <c r="B86" s="95" t="s">
        <v>115</v>
      </c>
      <c r="C86" s="95">
        <v>745</v>
      </c>
      <c r="D86" s="95">
        <v>52.1</v>
      </c>
      <c r="E86" s="95">
        <v>948</v>
      </c>
      <c r="F86" s="95">
        <v>55.6</v>
      </c>
      <c r="G86" s="95">
        <v>1305</v>
      </c>
      <c r="H86" s="95">
        <v>42.7</v>
      </c>
      <c r="I86" s="96">
        <v>2674</v>
      </c>
      <c r="J86" s="95">
        <v>44</v>
      </c>
      <c r="K86" s="250">
        <v>1468</v>
      </c>
      <c r="L86" s="250">
        <v>31.2</v>
      </c>
      <c r="M86" s="250" t="s">
        <v>1333</v>
      </c>
      <c r="N86" s="262" t="s">
        <v>1334</v>
      </c>
      <c r="O86" s="272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 spans="1:25" x14ac:dyDescent="0.3">
      <c r="A87" s="305"/>
      <c r="B87" s="95" t="s">
        <v>833</v>
      </c>
      <c r="C87" s="95">
        <v>189</v>
      </c>
      <c r="D87" s="95">
        <v>13.3</v>
      </c>
      <c r="E87" s="95">
        <v>178</v>
      </c>
      <c r="F87" s="95">
        <v>10.4</v>
      </c>
      <c r="G87" s="95">
        <v>242</v>
      </c>
      <c r="H87" s="95">
        <v>7.9</v>
      </c>
      <c r="I87" s="95">
        <v>949</v>
      </c>
      <c r="J87" s="95">
        <v>15.6</v>
      </c>
      <c r="K87" s="250">
        <v>796</v>
      </c>
      <c r="L87" s="250">
        <v>17</v>
      </c>
      <c r="M87" s="250" t="s">
        <v>1335</v>
      </c>
      <c r="N87" s="262" t="s">
        <v>1336</v>
      </c>
      <c r="O87" s="272"/>
      <c r="P87" s="90"/>
      <c r="Q87" s="90"/>
      <c r="R87" s="90"/>
      <c r="S87" s="90"/>
      <c r="T87" s="90"/>
      <c r="U87" s="90"/>
      <c r="V87" s="90"/>
      <c r="W87" s="90"/>
      <c r="X87" s="90"/>
      <c r="Y87" s="90"/>
    </row>
    <row r="88" spans="1:25" x14ac:dyDescent="0.3">
      <c r="A88" s="305"/>
      <c r="B88" s="95" t="s">
        <v>834</v>
      </c>
      <c r="C88" s="95">
        <v>494</v>
      </c>
      <c r="D88" s="95">
        <v>34.6</v>
      </c>
      <c r="E88" s="95">
        <v>579</v>
      </c>
      <c r="F88" s="95">
        <v>34</v>
      </c>
      <c r="G88" s="95">
        <v>1507</v>
      </c>
      <c r="H88" s="95">
        <v>49.4</v>
      </c>
      <c r="I88" s="96">
        <v>2454</v>
      </c>
      <c r="J88" s="95">
        <v>40.4</v>
      </c>
      <c r="K88" s="250">
        <v>2434</v>
      </c>
      <c r="L88" s="250">
        <v>51.8</v>
      </c>
      <c r="M88" s="250" t="s">
        <v>828</v>
      </c>
      <c r="N88" s="262" t="s">
        <v>811</v>
      </c>
      <c r="O88" s="272"/>
      <c r="P88" s="90"/>
      <c r="Q88" s="90"/>
      <c r="R88" s="90"/>
      <c r="S88" s="90"/>
      <c r="T88" s="90"/>
      <c r="U88" s="90"/>
      <c r="V88" s="90"/>
      <c r="W88" s="90"/>
      <c r="X88" s="90"/>
      <c r="Y88" s="90"/>
    </row>
    <row r="89" spans="1:25" x14ac:dyDescent="0.3">
      <c r="A89" s="306"/>
      <c r="B89" s="97" t="s">
        <v>86</v>
      </c>
      <c r="C89" s="98">
        <v>1429</v>
      </c>
      <c r="D89" s="97">
        <v>100</v>
      </c>
      <c r="E89" s="98">
        <v>1704</v>
      </c>
      <c r="F89" s="97">
        <v>100</v>
      </c>
      <c r="G89" s="98">
        <v>3054</v>
      </c>
      <c r="H89" s="97">
        <v>100</v>
      </c>
      <c r="I89" s="98">
        <v>6077</v>
      </c>
      <c r="J89" s="97">
        <v>100</v>
      </c>
      <c r="K89" s="251">
        <v>4699</v>
      </c>
      <c r="L89" s="251">
        <v>100</v>
      </c>
      <c r="M89" s="251" t="s">
        <v>1337</v>
      </c>
      <c r="N89" s="264" t="s">
        <v>1338</v>
      </c>
      <c r="O89" s="272"/>
      <c r="P89" s="90"/>
      <c r="Q89" s="90"/>
      <c r="R89" s="90"/>
      <c r="S89" s="90"/>
      <c r="T89" s="90"/>
      <c r="U89" s="90"/>
      <c r="V89" s="90"/>
      <c r="W89" s="90"/>
      <c r="X89" s="90"/>
      <c r="Y89" s="90"/>
    </row>
    <row r="90" spans="1:25" x14ac:dyDescent="0.3">
      <c r="A90" s="304" t="s">
        <v>86</v>
      </c>
      <c r="B90" s="95" t="s">
        <v>115</v>
      </c>
      <c r="C90" s="96">
        <v>66726</v>
      </c>
      <c r="D90" s="95">
        <v>32.6</v>
      </c>
      <c r="E90" s="96">
        <v>72113</v>
      </c>
      <c r="F90" s="95">
        <v>31.7</v>
      </c>
      <c r="G90" s="96">
        <v>82092</v>
      </c>
      <c r="H90" s="95">
        <v>33.9</v>
      </c>
      <c r="I90" s="96">
        <v>86671</v>
      </c>
      <c r="J90" s="95">
        <v>33.4</v>
      </c>
      <c r="K90" s="250">
        <v>104025</v>
      </c>
      <c r="L90" s="250">
        <v>34.700000000000003</v>
      </c>
      <c r="M90" s="250">
        <v>17354</v>
      </c>
      <c r="N90" s="262">
        <v>20</v>
      </c>
      <c r="O90" s="272"/>
      <c r="P90" s="90"/>
      <c r="Q90" s="90"/>
      <c r="R90" s="90"/>
      <c r="S90" s="90"/>
      <c r="T90" s="90"/>
      <c r="U90" s="90"/>
      <c r="V90" s="90"/>
      <c r="W90" s="90"/>
      <c r="X90" s="90"/>
      <c r="Y90" s="90"/>
    </row>
    <row r="91" spans="1:25" x14ac:dyDescent="0.3">
      <c r="A91" s="305"/>
      <c r="B91" s="95" t="s">
        <v>833</v>
      </c>
      <c r="C91" s="96">
        <v>58439</v>
      </c>
      <c r="D91" s="95">
        <v>28.6</v>
      </c>
      <c r="E91" s="96">
        <v>65132</v>
      </c>
      <c r="F91" s="95">
        <v>28.7</v>
      </c>
      <c r="G91" s="96">
        <v>68208</v>
      </c>
      <c r="H91" s="95">
        <v>28.2</v>
      </c>
      <c r="I91" s="96">
        <v>74698</v>
      </c>
      <c r="J91" s="95">
        <v>28.8</v>
      </c>
      <c r="K91" s="250">
        <v>83050</v>
      </c>
      <c r="L91" s="250">
        <v>27.7</v>
      </c>
      <c r="M91" s="250">
        <v>8352</v>
      </c>
      <c r="N91" s="262">
        <v>11.2</v>
      </c>
      <c r="O91" s="272"/>
      <c r="P91" s="90"/>
      <c r="Q91" s="90"/>
      <c r="R91" s="90"/>
      <c r="S91" s="90"/>
      <c r="T91" s="90"/>
      <c r="U91" s="90"/>
      <c r="V91" s="90"/>
      <c r="W91" s="90"/>
      <c r="X91" s="90"/>
      <c r="Y91" s="90"/>
    </row>
    <row r="92" spans="1:25" x14ac:dyDescent="0.3">
      <c r="A92" s="305"/>
      <c r="B92" s="95" t="s">
        <v>834</v>
      </c>
      <c r="C92" s="96">
        <v>79432</v>
      </c>
      <c r="D92" s="95">
        <v>38.799999999999997</v>
      </c>
      <c r="E92" s="96">
        <v>89996</v>
      </c>
      <c r="F92" s="95">
        <v>39.6</v>
      </c>
      <c r="G92" s="96">
        <v>91825</v>
      </c>
      <c r="H92" s="95">
        <v>37.9</v>
      </c>
      <c r="I92" s="96">
        <v>98349</v>
      </c>
      <c r="J92" s="95">
        <v>37.9</v>
      </c>
      <c r="K92" s="250">
        <v>112490</v>
      </c>
      <c r="L92" s="250">
        <v>37.6</v>
      </c>
      <c r="M92" s="250">
        <v>14142</v>
      </c>
      <c r="N92" s="262">
        <v>14.4</v>
      </c>
      <c r="O92" s="272"/>
      <c r="P92" s="90"/>
      <c r="Q92" s="90"/>
      <c r="R92" s="90"/>
      <c r="S92" s="90"/>
      <c r="T92" s="90"/>
      <c r="U92" s="90"/>
      <c r="V92" s="90"/>
      <c r="W92" s="90"/>
      <c r="X92" s="90"/>
      <c r="Y92" s="90"/>
    </row>
    <row r="93" spans="1:25" x14ac:dyDescent="0.3">
      <c r="A93" s="306"/>
      <c r="B93" s="97" t="s">
        <v>86</v>
      </c>
      <c r="C93" s="98">
        <v>204597</v>
      </c>
      <c r="D93" s="97">
        <v>100</v>
      </c>
      <c r="E93" s="98">
        <v>227242</v>
      </c>
      <c r="F93" s="97">
        <v>100</v>
      </c>
      <c r="G93" s="98">
        <v>242125</v>
      </c>
      <c r="H93" s="97">
        <v>100</v>
      </c>
      <c r="I93" s="98">
        <v>259717</v>
      </c>
      <c r="J93" s="97">
        <v>100</v>
      </c>
      <c r="K93" s="251">
        <v>299565</v>
      </c>
      <c r="L93" s="251">
        <v>100</v>
      </c>
      <c r="M93" s="251">
        <v>39848</v>
      </c>
      <c r="N93" s="264">
        <v>15.3</v>
      </c>
      <c r="O93" s="272"/>
      <c r="P93" s="90"/>
      <c r="Q93" s="90"/>
      <c r="R93" s="90"/>
      <c r="S93" s="90"/>
      <c r="T93" s="90"/>
      <c r="U93" s="90"/>
      <c r="V93" s="90"/>
      <c r="W93" s="90"/>
      <c r="X93" s="90"/>
      <c r="Y93" s="90"/>
    </row>
    <row r="94" spans="1:25" x14ac:dyDescent="0.3">
      <c r="K94" s="266"/>
      <c r="L94" s="266"/>
      <c r="M94" s="266"/>
      <c r="N94" s="266"/>
      <c r="O94" s="266"/>
    </row>
    <row r="95" spans="1:25" x14ac:dyDescent="0.3">
      <c r="A95" t="s">
        <v>842</v>
      </c>
      <c r="K95" s="266"/>
      <c r="L95" s="266"/>
      <c r="M95" s="266"/>
      <c r="N95" s="266"/>
      <c r="O95" s="266"/>
    </row>
    <row r="96" spans="1:25" ht="18.75" x14ac:dyDescent="0.4">
      <c r="A96" s="292" t="s">
        <v>1350</v>
      </c>
      <c r="K96" s="266"/>
      <c r="L96" s="266"/>
      <c r="M96" s="266"/>
      <c r="N96" s="266"/>
      <c r="O96" s="266"/>
    </row>
    <row r="97" spans="1:15" x14ac:dyDescent="0.3">
      <c r="A97" s="90" t="s">
        <v>1352</v>
      </c>
      <c r="K97" s="266"/>
      <c r="L97" s="266"/>
      <c r="M97" s="266"/>
      <c r="N97" s="266"/>
      <c r="O97" s="266"/>
    </row>
    <row r="99" spans="1:15" x14ac:dyDescent="0.3"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</row>
    <row r="100" spans="1:15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</row>
    <row r="101" spans="1:15" x14ac:dyDescent="0.3"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</row>
    <row r="102" spans="1:15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</row>
    <row r="103" spans="1:15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</row>
    <row r="104" spans="1:15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</row>
    <row r="105" spans="1:15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15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15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15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15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</row>
    <row r="110" spans="1:15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15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</row>
    <row r="112" spans="1:15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</row>
    <row r="113" spans="3:1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</row>
    <row r="114" spans="3:1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</row>
    <row r="115" spans="3:1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</row>
    <row r="116" spans="3:1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</row>
    <row r="117" spans="3:1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</row>
    <row r="118" spans="3:1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</row>
    <row r="119" spans="3:1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</row>
    <row r="120" spans="3:1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</row>
    <row r="121" spans="3:1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</row>
    <row r="122" spans="3:1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</row>
    <row r="123" spans="3:1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 spans="3:1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</row>
    <row r="125" spans="3:1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</row>
    <row r="126" spans="3:1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</row>
    <row r="127" spans="3:1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</row>
    <row r="128" spans="3:1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</row>
    <row r="129" spans="3:1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</row>
    <row r="130" spans="3:1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</row>
    <row r="131" spans="3:1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</row>
    <row r="132" spans="3:1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</row>
    <row r="133" spans="3:1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</row>
    <row r="134" spans="3:1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</row>
    <row r="135" spans="3:1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</row>
    <row r="136" spans="3:1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</row>
    <row r="137" spans="3:1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</row>
    <row r="138" spans="3:1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</row>
    <row r="139" spans="3:1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</row>
    <row r="140" spans="3:1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</row>
    <row r="141" spans="3:1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</row>
    <row r="142" spans="3:1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</row>
    <row r="143" spans="3:1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</row>
    <row r="144" spans="3:1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</row>
    <row r="145" spans="3:1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</row>
    <row r="146" spans="3:1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</row>
    <row r="147" spans="3:1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</row>
    <row r="148" spans="3:1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</row>
    <row r="149" spans="3:1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</row>
    <row r="150" spans="3:1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</row>
    <row r="151" spans="3:1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</row>
    <row r="152" spans="3:1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</row>
    <row r="153" spans="3:1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</row>
    <row r="154" spans="3:1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</row>
    <row r="155" spans="3:1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</row>
    <row r="156" spans="3:1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</row>
    <row r="157" spans="3:1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</row>
    <row r="158" spans="3:1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</row>
    <row r="159" spans="3:1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</row>
    <row r="160" spans="3:1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</row>
    <row r="161" spans="3:1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</row>
    <row r="162" spans="3:1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</row>
    <row r="163" spans="3:1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</row>
    <row r="164" spans="3:1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</row>
    <row r="165" spans="3:1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</row>
    <row r="166" spans="3:1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</row>
    <row r="167" spans="3:1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</row>
    <row r="168" spans="3:1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</row>
    <row r="169" spans="3:1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</row>
    <row r="170" spans="3:1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</row>
    <row r="171" spans="3:1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</row>
    <row r="172" spans="3:1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</row>
    <row r="173" spans="3:1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</row>
    <row r="174" spans="3:1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</row>
    <row r="175" spans="3:1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</row>
    <row r="176" spans="3:1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</row>
    <row r="177" spans="3:1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</row>
    <row r="178" spans="3:1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</row>
    <row r="179" spans="3:1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</row>
    <row r="180" spans="3:1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</row>
    <row r="181" spans="3:1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</row>
    <row r="182" spans="3:1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</row>
    <row r="183" spans="3:1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</row>
    <row r="184" spans="3:1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</row>
    <row r="185" spans="3:1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</row>
    <row r="186" spans="3:1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</row>
  </sheetData>
  <mergeCells count="29">
    <mergeCell ref="A22:A25"/>
    <mergeCell ref="A4:B5"/>
    <mergeCell ref="C4:D4"/>
    <mergeCell ref="E4:F4"/>
    <mergeCell ref="G4:H4"/>
    <mergeCell ref="M4:N4"/>
    <mergeCell ref="A6:A9"/>
    <mergeCell ref="A10:A13"/>
    <mergeCell ref="A14:A17"/>
    <mergeCell ref="A18:A21"/>
    <mergeCell ref="I4:J4"/>
    <mergeCell ref="K4:L4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4:A77"/>
    <mergeCell ref="A78:A81"/>
    <mergeCell ref="A82:A85"/>
    <mergeCell ref="A86:A89"/>
    <mergeCell ref="A90:A93"/>
  </mergeCells>
  <phoneticPr fontId="1" type="noConversion"/>
  <hyperlinks>
    <hyperlink ref="G1" location="목차!A1" display="목차" xr:uid="{28B89448-FBE4-429B-9D26-A003A8CB2DB8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F156-ECE0-47DD-96BE-F64927F5256B}">
  <sheetPr>
    <tabColor theme="1" tint="0.499984740745262"/>
  </sheetPr>
  <dimension ref="A1:AQ298"/>
  <sheetViews>
    <sheetView zoomScale="55" zoomScaleNormal="55" workbookViewId="0">
      <selection activeCell="C4" sqref="C4:T7"/>
    </sheetView>
  </sheetViews>
  <sheetFormatPr defaultRowHeight="16.5" x14ac:dyDescent="0.3"/>
  <cols>
    <col min="1" max="1" width="15.125" customWidth="1"/>
    <col min="2" max="2" width="34.375" customWidth="1"/>
  </cols>
  <sheetData>
    <row r="1" spans="1:43" ht="17.25" x14ac:dyDescent="0.3">
      <c r="A1" s="7" t="s">
        <v>1204</v>
      </c>
      <c r="B1" s="4"/>
      <c r="C1" s="4"/>
      <c r="D1" s="4"/>
      <c r="E1" s="4"/>
      <c r="F1" s="4"/>
      <c r="G1" s="4"/>
      <c r="H1" s="4"/>
      <c r="J1" s="72" t="s">
        <v>367</v>
      </c>
    </row>
    <row r="3" spans="1:43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33" t="s">
        <v>843</v>
      </c>
    </row>
    <row r="4" spans="1:43" ht="49.5" customHeight="1" x14ac:dyDescent="0.3">
      <c r="A4" s="313" t="s">
        <v>496</v>
      </c>
      <c r="B4" s="311" t="s">
        <v>497</v>
      </c>
      <c r="C4" s="311" t="s">
        <v>40</v>
      </c>
      <c r="D4" s="311" t="s">
        <v>41</v>
      </c>
      <c r="E4" s="311" t="s">
        <v>43</v>
      </c>
      <c r="F4" s="311" t="s">
        <v>44</v>
      </c>
      <c r="G4" s="311" t="s">
        <v>45</v>
      </c>
      <c r="H4" s="311" t="s">
        <v>47</v>
      </c>
      <c r="I4" s="311" t="s">
        <v>48</v>
      </c>
      <c r="J4" s="311" t="s">
        <v>49</v>
      </c>
      <c r="K4" s="311" t="s">
        <v>51</v>
      </c>
      <c r="L4" s="311" t="s">
        <v>52</v>
      </c>
      <c r="M4" s="311" t="s">
        <v>55</v>
      </c>
      <c r="N4" s="311" t="s">
        <v>56</v>
      </c>
      <c r="O4" s="311" t="s">
        <v>57</v>
      </c>
      <c r="P4" s="311" t="s">
        <v>59</v>
      </c>
      <c r="Q4" s="311" t="s">
        <v>62</v>
      </c>
      <c r="R4" s="311" t="s">
        <v>63</v>
      </c>
      <c r="S4" s="311" t="s">
        <v>68</v>
      </c>
      <c r="T4" s="311" t="s">
        <v>71</v>
      </c>
      <c r="U4" s="311" t="s">
        <v>253</v>
      </c>
      <c r="V4" s="332" t="s">
        <v>86</v>
      </c>
    </row>
    <row r="5" spans="1:43" ht="16.5" customHeight="1" x14ac:dyDescent="0.3">
      <c r="A5" s="313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32"/>
    </row>
    <row r="6" spans="1:43" ht="16.5" customHeight="1" x14ac:dyDescent="0.3">
      <c r="A6" s="313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32"/>
    </row>
    <row r="7" spans="1:43" ht="16.5" customHeight="1" x14ac:dyDescent="0.3">
      <c r="A7" s="313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32"/>
    </row>
    <row r="8" spans="1:43" ht="16.5" customHeight="1" x14ac:dyDescent="0.3">
      <c r="A8" s="307" t="s">
        <v>140</v>
      </c>
      <c r="B8" s="95" t="s">
        <v>1353</v>
      </c>
      <c r="C8" s="212">
        <v>76</v>
      </c>
      <c r="D8" s="212">
        <v>8</v>
      </c>
      <c r="E8" s="212" t="s">
        <v>65</v>
      </c>
      <c r="F8" s="212" t="s">
        <v>65</v>
      </c>
      <c r="G8" s="212" t="s">
        <v>65</v>
      </c>
      <c r="H8" s="212" t="s">
        <v>65</v>
      </c>
      <c r="I8" s="212" t="s">
        <v>65</v>
      </c>
      <c r="J8" s="212" t="s">
        <v>65</v>
      </c>
      <c r="K8" s="212" t="s">
        <v>65</v>
      </c>
      <c r="L8" s="212" t="s">
        <v>65</v>
      </c>
      <c r="M8" s="212" t="s">
        <v>65</v>
      </c>
      <c r="N8" s="212" t="s">
        <v>65</v>
      </c>
      <c r="O8" s="212" t="s">
        <v>65</v>
      </c>
      <c r="P8" s="212" t="s">
        <v>65</v>
      </c>
      <c r="Q8" s="212" t="s">
        <v>65</v>
      </c>
      <c r="R8" s="212" t="s">
        <v>65</v>
      </c>
      <c r="S8" s="212" t="s">
        <v>65</v>
      </c>
      <c r="T8" s="212" t="s">
        <v>65</v>
      </c>
      <c r="U8" s="212" t="s">
        <v>65</v>
      </c>
      <c r="V8" s="212">
        <v>84</v>
      </c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</row>
    <row r="9" spans="1:43" ht="16.5" customHeight="1" x14ac:dyDescent="0.3">
      <c r="A9" s="323"/>
      <c r="B9" s="95" t="s">
        <v>503</v>
      </c>
      <c r="C9" s="212">
        <v>96</v>
      </c>
      <c r="D9" s="212">
        <v>27</v>
      </c>
      <c r="E9" s="212" t="s">
        <v>65</v>
      </c>
      <c r="F9" s="212" t="s">
        <v>65</v>
      </c>
      <c r="G9" s="212" t="s">
        <v>65</v>
      </c>
      <c r="H9" s="212" t="s">
        <v>65</v>
      </c>
      <c r="I9" s="212" t="s">
        <v>65</v>
      </c>
      <c r="J9" s="212" t="s">
        <v>65</v>
      </c>
      <c r="K9" s="212" t="s">
        <v>65</v>
      </c>
      <c r="L9" s="212" t="s">
        <v>65</v>
      </c>
      <c r="M9" s="212" t="s">
        <v>65</v>
      </c>
      <c r="N9" s="212" t="s">
        <v>65</v>
      </c>
      <c r="O9" s="212" t="s">
        <v>65</v>
      </c>
      <c r="P9" s="212" t="s">
        <v>65</v>
      </c>
      <c r="Q9" s="212" t="s">
        <v>65</v>
      </c>
      <c r="R9" s="212">
        <v>8</v>
      </c>
      <c r="S9" s="212" t="s">
        <v>65</v>
      </c>
      <c r="T9" s="212" t="s">
        <v>65</v>
      </c>
      <c r="U9" s="212" t="s">
        <v>65</v>
      </c>
      <c r="V9" s="212">
        <v>131</v>
      </c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</row>
    <row r="10" spans="1:43" ht="16.5" customHeight="1" x14ac:dyDescent="0.3">
      <c r="A10" s="323"/>
      <c r="B10" s="95" t="s">
        <v>505</v>
      </c>
      <c r="C10" s="212">
        <v>49</v>
      </c>
      <c r="D10" s="212">
        <v>11</v>
      </c>
      <c r="E10" s="212" t="s">
        <v>65</v>
      </c>
      <c r="F10" s="212" t="s">
        <v>65</v>
      </c>
      <c r="G10" s="212" t="s">
        <v>65</v>
      </c>
      <c r="H10" s="212" t="s">
        <v>65</v>
      </c>
      <c r="I10" s="212" t="s">
        <v>65</v>
      </c>
      <c r="J10" s="212" t="s">
        <v>65</v>
      </c>
      <c r="K10" s="212" t="s">
        <v>65</v>
      </c>
      <c r="L10" s="212" t="s">
        <v>65</v>
      </c>
      <c r="M10" s="212" t="s">
        <v>65</v>
      </c>
      <c r="N10" s="212" t="s">
        <v>65</v>
      </c>
      <c r="O10" s="212" t="s">
        <v>65</v>
      </c>
      <c r="P10" s="212" t="s">
        <v>65</v>
      </c>
      <c r="Q10" s="212" t="s">
        <v>65</v>
      </c>
      <c r="R10" s="212" t="s">
        <v>65</v>
      </c>
      <c r="S10" s="212" t="s">
        <v>65</v>
      </c>
      <c r="T10" s="212" t="s">
        <v>65</v>
      </c>
      <c r="U10" s="212" t="s">
        <v>65</v>
      </c>
      <c r="V10" s="212">
        <v>60</v>
      </c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</row>
    <row r="11" spans="1:43" ht="16.5" customHeight="1" x14ac:dyDescent="0.3">
      <c r="A11" s="323"/>
      <c r="B11" s="95" t="s">
        <v>507</v>
      </c>
      <c r="C11" s="212">
        <v>206</v>
      </c>
      <c r="D11" s="212">
        <v>38</v>
      </c>
      <c r="E11" s="212" t="s">
        <v>65</v>
      </c>
      <c r="F11" s="212" t="s">
        <v>65</v>
      </c>
      <c r="G11" s="212" t="s">
        <v>65</v>
      </c>
      <c r="H11" s="212" t="s">
        <v>65</v>
      </c>
      <c r="I11" s="212" t="s">
        <v>65</v>
      </c>
      <c r="J11" s="212">
        <v>1</v>
      </c>
      <c r="K11" s="212" t="s">
        <v>65</v>
      </c>
      <c r="L11" s="212">
        <v>4</v>
      </c>
      <c r="M11" s="212" t="s">
        <v>65</v>
      </c>
      <c r="N11" s="212" t="s">
        <v>65</v>
      </c>
      <c r="O11" s="212" t="s">
        <v>65</v>
      </c>
      <c r="P11" s="212" t="s">
        <v>65</v>
      </c>
      <c r="Q11" s="212" t="s">
        <v>65</v>
      </c>
      <c r="R11" s="212">
        <v>4</v>
      </c>
      <c r="S11" s="212" t="s">
        <v>65</v>
      </c>
      <c r="T11" s="212" t="s">
        <v>65</v>
      </c>
      <c r="U11" s="212" t="s">
        <v>65</v>
      </c>
      <c r="V11" s="212">
        <v>253</v>
      </c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</row>
    <row r="12" spans="1:43" ht="16.5" customHeight="1" x14ac:dyDescent="0.3">
      <c r="A12" s="323"/>
      <c r="B12" s="95" t="s">
        <v>508</v>
      </c>
      <c r="C12" s="212">
        <v>109</v>
      </c>
      <c r="D12" s="212">
        <v>20</v>
      </c>
      <c r="E12" s="212" t="s">
        <v>65</v>
      </c>
      <c r="F12" s="212" t="s">
        <v>65</v>
      </c>
      <c r="G12" s="212" t="s">
        <v>65</v>
      </c>
      <c r="H12" s="212" t="s">
        <v>65</v>
      </c>
      <c r="I12" s="212" t="s">
        <v>65</v>
      </c>
      <c r="J12" s="212">
        <v>1</v>
      </c>
      <c r="K12" s="212" t="s">
        <v>65</v>
      </c>
      <c r="L12" s="212" t="s">
        <v>65</v>
      </c>
      <c r="M12" s="212">
        <v>1</v>
      </c>
      <c r="N12" s="212" t="s">
        <v>65</v>
      </c>
      <c r="O12" s="212">
        <v>50</v>
      </c>
      <c r="P12" s="212" t="s">
        <v>65</v>
      </c>
      <c r="Q12" s="212" t="s">
        <v>65</v>
      </c>
      <c r="R12" s="212">
        <v>1</v>
      </c>
      <c r="S12" s="212" t="s">
        <v>65</v>
      </c>
      <c r="T12" s="212" t="s">
        <v>65</v>
      </c>
      <c r="U12" s="212">
        <v>3</v>
      </c>
      <c r="V12" s="212">
        <v>185</v>
      </c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</row>
    <row r="13" spans="1:43" ht="16.5" customHeight="1" x14ac:dyDescent="0.3">
      <c r="A13" s="323"/>
      <c r="B13" s="95" t="s">
        <v>664</v>
      </c>
      <c r="C13" s="212">
        <v>120</v>
      </c>
      <c r="D13" s="212">
        <v>9</v>
      </c>
      <c r="E13" s="212" t="s">
        <v>65</v>
      </c>
      <c r="F13" s="212" t="s">
        <v>65</v>
      </c>
      <c r="G13" s="212" t="s">
        <v>65</v>
      </c>
      <c r="H13" s="212" t="s">
        <v>65</v>
      </c>
      <c r="I13" s="212" t="s">
        <v>65</v>
      </c>
      <c r="J13" s="212" t="s">
        <v>65</v>
      </c>
      <c r="K13" s="212" t="s">
        <v>65</v>
      </c>
      <c r="L13" s="212" t="s">
        <v>65</v>
      </c>
      <c r="M13" s="212" t="s">
        <v>65</v>
      </c>
      <c r="N13" s="212" t="s">
        <v>65</v>
      </c>
      <c r="O13" s="212" t="s">
        <v>65</v>
      </c>
      <c r="P13" s="212">
        <v>4</v>
      </c>
      <c r="Q13" s="212" t="s">
        <v>65</v>
      </c>
      <c r="R13" s="212">
        <v>5</v>
      </c>
      <c r="S13" s="212" t="s">
        <v>65</v>
      </c>
      <c r="T13" s="212" t="s">
        <v>65</v>
      </c>
      <c r="U13" s="212" t="s">
        <v>65</v>
      </c>
      <c r="V13" s="212">
        <v>137</v>
      </c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</row>
    <row r="14" spans="1:43" ht="16.5" customHeight="1" x14ac:dyDescent="0.3">
      <c r="A14" s="323"/>
      <c r="B14" s="95" t="s">
        <v>665</v>
      </c>
      <c r="C14" s="212">
        <v>64</v>
      </c>
      <c r="D14" s="212">
        <v>17</v>
      </c>
      <c r="E14" s="212" t="s">
        <v>65</v>
      </c>
      <c r="F14" s="212" t="s">
        <v>65</v>
      </c>
      <c r="G14" s="212" t="s">
        <v>65</v>
      </c>
      <c r="H14" s="212" t="s">
        <v>65</v>
      </c>
      <c r="I14" s="212">
        <v>1</v>
      </c>
      <c r="J14" s="212" t="s">
        <v>65</v>
      </c>
      <c r="K14" s="212" t="s">
        <v>65</v>
      </c>
      <c r="L14" s="212" t="s">
        <v>65</v>
      </c>
      <c r="M14" s="212">
        <v>0</v>
      </c>
      <c r="N14" s="212" t="s">
        <v>65</v>
      </c>
      <c r="O14" s="212" t="s">
        <v>65</v>
      </c>
      <c r="P14" s="212">
        <v>2</v>
      </c>
      <c r="Q14" s="212" t="s">
        <v>65</v>
      </c>
      <c r="R14" s="212">
        <v>1</v>
      </c>
      <c r="S14" s="212" t="s">
        <v>65</v>
      </c>
      <c r="T14" s="212">
        <v>1</v>
      </c>
      <c r="U14" s="212">
        <v>1</v>
      </c>
      <c r="V14" s="212">
        <v>86</v>
      </c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</row>
    <row r="15" spans="1:43" ht="16.5" customHeight="1" x14ac:dyDescent="0.3">
      <c r="A15" s="323"/>
      <c r="B15" s="95" t="s">
        <v>666</v>
      </c>
      <c r="C15" s="212">
        <v>42</v>
      </c>
      <c r="D15" s="212">
        <v>7</v>
      </c>
      <c r="E15" s="212" t="s">
        <v>65</v>
      </c>
      <c r="F15" s="212" t="s">
        <v>65</v>
      </c>
      <c r="G15" s="212" t="s">
        <v>65</v>
      </c>
      <c r="H15" s="212" t="s">
        <v>65</v>
      </c>
      <c r="I15" s="212" t="s">
        <v>65</v>
      </c>
      <c r="J15" s="212" t="s">
        <v>65</v>
      </c>
      <c r="K15" s="212" t="s">
        <v>65</v>
      </c>
      <c r="L15" s="212" t="s">
        <v>65</v>
      </c>
      <c r="M15" s="212" t="s">
        <v>65</v>
      </c>
      <c r="N15" s="212" t="s">
        <v>65</v>
      </c>
      <c r="O15" s="212" t="s">
        <v>65</v>
      </c>
      <c r="P15" s="212" t="s">
        <v>65</v>
      </c>
      <c r="Q15" s="212" t="s">
        <v>65</v>
      </c>
      <c r="R15" s="212" t="s">
        <v>65</v>
      </c>
      <c r="S15" s="212" t="s">
        <v>65</v>
      </c>
      <c r="T15" s="212" t="s">
        <v>65</v>
      </c>
      <c r="U15" s="212" t="s">
        <v>65</v>
      </c>
      <c r="V15" s="212">
        <v>49</v>
      </c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</row>
    <row r="16" spans="1:43" ht="16.5" customHeight="1" x14ac:dyDescent="0.3">
      <c r="A16" s="323"/>
      <c r="B16" s="95" t="s">
        <v>504</v>
      </c>
      <c r="C16" s="212">
        <v>138</v>
      </c>
      <c r="D16" s="212">
        <v>30</v>
      </c>
      <c r="E16" s="212" t="s">
        <v>65</v>
      </c>
      <c r="F16" s="212" t="s">
        <v>65</v>
      </c>
      <c r="G16" s="212" t="s">
        <v>65</v>
      </c>
      <c r="H16" s="212" t="s">
        <v>65</v>
      </c>
      <c r="I16" s="212" t="s">
        <v>65</v>
      </c>
      <c r="J16" s="212" t="s">
        <v>65</v>
      </c>
      <c r="K16" s="212" t="s">
        <v>65</v>
      </c>
      <c r="L16" s="212" t="s">
        <v>65</v>
      </c>
      <c r="M16" s="212" t="s">
        <v>65</v>
      </c>
      <c r="N16" s="212" t="s">
        <v>65</v>
      </c>
      <c r="O16" s="212" t="s">
        <v>65</v>
      </c>
      <c r="P16" s="212" t="s">
        <v>65</v>
      </c>
      <c r="Q16" s="212" t="s">
        <v>65</v>
      </c>
      <c r="R16" s="212">
        <v>0</v>
      </c>
      <c r="S16" s="212" t="s">
        <v>65</v>
      </c>
      <c r="T16" s="212" t="s">
        <v>65</v>
      </c>
      <c r="U16" s="212" t="s">
        <v>65</v>
      </c>
      <c r="V16" s="212">
        <v>168</v>
      </c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</row>
    <row r="17" spans="1:43" ht="16.5" customHeight="1" x14ac:dyDescent="0.3">
      <c r="A17" s="323"/>
      <c r="B17" s="95" t="s">
        <v>509</v>
      </c>
      <c r="C17" s="212">
        <v>29</v>
      </c>
      <c r="D17" s="212">
        <v>2</v>
      </c>
      <c r="E17" s="212" t="s">
        <v>65</v>
      </c>
      <c r="F17" s="212" t="s">
        <v>65</v>
      </c>
      <c r="G17" s="212" t="s">
        <v>65</v>
      </c>
      <c r="H17" s="212" t="s">
        <v>65</v>
      </c>
      <c r="I17" s="212" t="s">
        <v>65</v>
      </c>
      <c r="J17" s="212" t="s">
        <v>65</v>
      </c>
      <c r="K17" s="212" t="s">
        <v>65</v>
      </c>
      <c r="L17" s="212" t="s">
        <v>65</v>
      </c>
      <c r="M17" s="212" t="s">
        <v>65</v>
      </c>
      <c r="N17" s="212" t="s">
        <v>65</v>
      </c>
      <c r="O17" s="212" t="s">
        <v>65</v>
      </c>
      <c r="P17" s="212" t="s">
        <v>65</v>
      </c>
      <c r="Q17" s="212" t="s">
        <v>65</v>
      </c>
      <c r="R17" s="212" t="s">
        <v>65</v>
      </c>
      <c r="S17" s="212" t="s">
        <v>65</v>
      </c>
      <c r="T17" s="212" t="s">
        <v>65</v>
      </c>
      <c r="U17" s="212" t="s">
        <v>65</v>
      </c>
      <c r="V17" s="212">
        <v>32</v>
      </c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</row>
    <row r="18" spans="1:43" ht="16.5" customHeight="1" x14ac:dyDescent="0.3">
      <c r="A18" s="323"/>
      <c r="B18" s="95" t="s">
        <v>510</v>
      </c>
      <c r="C18" s="212">
        <v>121</v>
      </c>
      <c r="D18" s="212">
        <v>30</v>
      </c>
      <c r="E18" s="212" t="s">
        <v>65</v>
      </c>
      <c r="F18" s="212" t="s">
        <v>65</v>
      </c>
      <c r="G18" s="212" t="s">
        <v>65</v>
      </c>
      <c r="H18" s="212" t="s">
        <v>65</v>
      </c>
      <c r="I18" s="212" t="s">
        <v>65</v>
      </c>
      <c r="J18" s="212" t="s">
        <v>65</v>
      </c>
      <c r="K18" s="212" t="s">
        <v>65</v>
      </c>
      <c r="L18" s="212" t="s">
        <v>65</v>
      </c>
      <c r="M18" s="212" t="s">
        <v>65</v>
      </c>
      <c r="N18" s="212" t="s">
        <v>65</v>
      </c>
      <c r="O18" s="212" t="s">
        <v>65</v>
      </c>
      <c r="P18" s="212" t="s">
        <v>65</v>
      </c>
      <c r="Q18" s="212" t="s">
        <v>65</v>
      </c>
      <c r="R18" s="212">
        <v>1</v>
      </c>
      <c r="S18" s="212" t="s">
        <v>65</v>
      </c>
      <c r="T18" s="212" t="s">
        <v>65</v>
      </c>
      <c r="U18" s="212" t="s">
        <v>65</v>
      </c>
      <c r="V18" s="212">
        <v>152</v>
      </c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</row>
    <row r="19" spans="1:43" x14ac:dyDescent="0.3">
      <c r="A19" s="308"/>
      <c r="B19" s="97" t="s">
        <v>86</v>
      </c>
      <c r="C19" s="214">
        <v>1050</v>
      </c>
      <c r="D19" s="214">
        <v>200</v>
      </c>
      <c r="E19" s="214">
        <v>0</v>
      </c>
      <c r="F19" s="214">
        <v>0</v>
      </c>
      <c r="G19" s="214">
        <v>0</v>
      </c>
      <c r="H19" s="214">
        <v>0</v>
      </c>
      <c r="I19" s="214">
        <v>1</v>
      </c>
      <c r="J19" s="214">
        <v>2</v>
      </c>
      <c r="K19" s="214">
        <v>0</v>
      </c>
      <c r="L19" s="214">
        <v>4</v>
      </c>
      <c r="M19" s="214">
        <v>1</v>
      </c>
      <c r="N19" s="214">
        <v>0</v>
      </c>
      <c r="O19" s="214">
        <v>50</v>
      </c>
      <c r="P19" s="214">
        <v>6</v>
      </c>
      <c r="Q19" s="214">
        <v>0</v>
      </c>
      <c r="R19" s="214">
        <v>19</v>
      </c>
      <c r="S19" s="214">
        <v>0</v>
      </c>
      <c r="T19" s="214">
        <v>1</v>
      </c>
      <c r="U19" s="214">
        <v>4</v>
      </c>
      <c r="V19" s="214">
        <v>1337</v>
      </c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</row>
    <row r="20" spans="1:43" ht="16.5" customHeight="1" x14ac:dyDescent="0.3">
      <c r="A20" s="307" t="s">
        <v>141</v>
      </c>
      <c r="B20" s="95" t="s">
        <v>667</v>
      </c>
      <c r="C20" s="212">
        <v>550</v>
      </c>
      <c r="D20" s="212">
        <v>37</v>
      </c>
      <c r="E20" s="212" t="s">
        <v>65</v>
      </c>
      <c r="F20" s="212" t="s">
        <v>65</v>
      </c>
      <c r="G20" s="212" t="s">
        <v>65</v>
      </c>
      <c r="H20" s="212" t="s">
        <v>65</v>
      </c>
      <c r="I20" s="212" t="s">
        <v>65</v>
      </c>
      <c r="J20" s="212">
        <v>18</v>
      </c>
      <c r="K20" s="212" t="s">
        <v>65</v>
      </c>
      <c r="L20" s="212">
        <v>200</v>
      </c>
      <c r="M20" s="212">
        <v>0</v>
      </c>
      <c r="N20" s="212" t="s">
        <v>65</v>
      </c>
      <c r="O20" s="212">
        <v>61</v>
      </c>
      <c r="P20" s="212" t="s">
        <v>65</v>
      </c>
      <c r="Q20" s="212" t="s">
        <v>65</v>
      </c>
      <c r="R20" s="212">
        <v>15</v>
      </c>
      <c r="S20" s="212" t="s">
        <v>65</v>
      </c>
      <c r="T20" s="212" t="s">
        <v>65</v>
      </c>
      <c r="U20" s="212">
        <v>3</v>
      </c>
      <c r="V20" s="212">
        <v>884</v>
      </c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</row>
    <row r="21" spans="1:43" ht="16.5" customHeight="1" x14ac:dyDescent="0.3">
      <c r="A21" s="323"/>
      <c r="B21" s="95" t="s">
        <v>515</v>
      </c>
      <c r="C21" s="212">
        <v>147</v>
      </c>
      <c r="D21" s="212">
        <v>13</v>
      </c>
      <c r="E21" s="212" t="s">
        <v>65</v>
      </c>
      <c r="F21" s="212" t="s">
        <v>65</v>
      </c>
      <c r="G21" s="212" t="s">
        <v>65</v>
      </c>
      <c r="H21" s="212" t="s">
        <v>65</v>
      </c>
      <c r="I21" s="212" t="s">
        <v>65</v>
      </c>
      <c r="J21" s="212" t="s">
        <v>65</v>
      </c>
      <c r="K21" s="212" t="s">
        <v>65</v>
      </c>
      <c r="L21" s="212" t="s">
        <v>65</v>
      </c>
      <c r="M21" s="212">
        <v>1</v>
      </c>
      <c r="N21" s="212" t="s">
        <v>65</v>
      </c>
      <c r="O21" s="212">
        <v>1</v>
      </c>
      <c r="P21" s="212" t="s">
        <v>65</v>
      </c>
      <c r="Q21" s="212">
        <v>0</v>
      </c>
      <c r="R21" s="212">
        <v>2</v>
      </c>
      <c r="S21" s="212" t="s">
        <v>65</v>
      </c>
      <c r="T21" s="212" t="s">
        <v>65</v>
      </c>
      <c r="U21" s="212" t="s">
        <v>65</v>
      </c>
      <c r="V21" s="212">
        <v>163</v>
      </c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</row>
    <row r="22" spans="1:43" ht="16.5" customHeight="1" x14ac:dyDescent="0.3">
      <c r="A22" s="323"/>
      <c r="B22" s="95" t="s">
        <v>513</v>
      </c>
      <c r="C22" s="212">
        <v>603</v>
      </c>
      <c r="D22" s="212">
        <v>2</v>
      </c>
      <c r="E22" s="212" t="s">
        <v>65</v>
      </c>
      <c r="F22" s="212" t="s">
        <v>65</v>
      </c>
      <c r="G22" s="212" t="s">
        <v>65</v>
      </c>
      <c r="H22" s="212" t="s">
        <v>65</v>
      </c>
      <c r="I22" s="212" t="s">
        <v>65</v>
      </c>
      <c r="J22" s="212" t="s">
        <v>65</v>
      </c>
      <c r="K22" s="212" t="s">
        <v>65</v>
      </c>
      <c r="L22" s="212">
        <v>62</v>
      </c>
      <c r="M22" s="212" t="s">
        <v>65</v>
      </c>
      <c r="N22" s="212" t="s">
        <v>65</v>
      </c>
      <c r="O22" s="212">
        <v>3</v>
      </c>
      <c r="P22" s="212" t="s">
        <v>65</v>
      </c>
      <c r="Q22" s="212" t="s">
        <v>65</v>
      </c>
      <c r="R22" s="212" t="s">
        <v>65</v>
      </c>
      <c r="S22" s="212" t="s">
        <v>65</v>
      </c>
      <c r="T22" s="212" t="s">
        <v>65</v>
      </c>
      <c r="U22" s="212" t="s">
        <v>65</v>
      </c>
      <c r="V22" s="212">
        <v>670</v>
      </c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</row>
    <row r="23" spans="1:43" ht="16.5" customHeight="1" x14ac:dyDescent="0.3">
      <c r="A23" s="323"/>
      <c r="B23" s="95" t="s">
        <v>668</v>
      </c>
      <c r="C23" s="212">
        <v>854</v>
      </c>
      <c r="D23" s="212">
        <v>11</v>
      </c>
      <c r="E23" s="212" t="s">
        <v>65</v>
      </c>
      <c r="F23" s="212" t="s">
        <v>65</v>
      </c>
      <c r="G23" s="212" t="s">
        <v>65</v>
      </c>
      <c r="H23" s="212" t="s">
        <v>65</v>
      </c>
      <c r="I23" s="212" t="s">
        <v>65</v>
      </c>
      <c r="J23" s="212">
        <v>2</v>
      </c>
      <c r="K23" s="212" t="s">
        <v>65</v>
      </c>
      <c r="L23" s="212">
        <v>12</v>
      </c>
      <c r="M23" s="212">
        <v>0</v>
      </c>
      <c r="N23" s="212" t="s">
        <v>65</v>
      </c>
      <c r="O23" s="212">
        <v>5</v>
      </c>
      <c r="P23" s="212" t="s">
        <v>65</v>
      </c>
      <c r="Q23" s="212" t="s">
        <v>65</v>
      </c>
      <c r="R23" s="212">
        <v>3</v>
      </c>
      <c r="S23" s="212" t="s">
        <v>65</v>
      </c>
      <c r="T23" s="212" t="s">
        <v>65</v>
      </c>
      <c r="U23" s="212" t="s">
        <v>65</v>
      </c>
      <c r="V23" s="212">
        <v>887</v>
      </c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</row>
    <row r="24" spans="1:43" ht="16.5" customHeight="1" x14ac:dyDescent="0.3">
      <c r="A24" s="323"/>
      <c r="B24" s="95" t="s">
        <v>669</v>
      </c>
      <c r="C24" s="212">
        <v>1242</v>
      </c>
      <c r="D24" s="212">
        <v>146</v>
      </c>
      <c r="E24" s="212" t="s">
        <v>65</v>
      </c>
      <c r="F24" s="212" t="s">
        <v>65</v>
      </c>
      <c r="G24" s="212" t="s">
        <v>65</v>
      </c>
      <c r="H24" s="212" t="s">
        <v>65</v>
      </c>
      <c r="I24" s="212" t="s">
        <v>65</v>
      </c>
      <c r="J24" s="212">
        <v>2</v>
      </c>
      <c r="K24" s="212" t="s">
        <v>65</v>
      </c>
      <c r="L24" s="212">
        <v>2</v>
      </c>
      <c r="M24" s="212" t="s">
        <v>65</v>
      </c>
      <c r="N24" s="212" t="s">
        <v>65</v>
      </c>
      <c r="O24" s="212">
        <v>102</v>
      </c>
      <c r="P24" s="212" t="s">
        <v>65</v>
      </c>
      <c r="Q24" s="212" t="s">
        <v>65</v>
      </c>
      <c r="R24" s="212">
        <v>4</v>
      </c>
      <c r="S24" s="212" t="s">
        <v>65</v>
      </c>
      <c r="T24" s="212" t="s">
        <v>65</v>
      </c>
      <c r="U24" s="212" t="s">
        <v>65</v>
      </c>
      <c r="V24" s="212">
        <v>1498</v>
      </c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</row>
    <row r="25" spans="1:43" ht="16.5" customHeight="1" x14ac:dyDescent="0.3">
      <c r="A25" s="323"/>
      <c r="B25" s="95" t="s">
        <v>511</v>
      </c>
      <c r="C25" s="212">
        <v>1897</v>
      </c>
      <c r="D25" s="212">
        <v>62</v>
      </c>
      <c r="E25" s="212" t="s">
        <v>65</v>
      </c>
      <c r="F25" s="212" t="s">
        <v>65</v>
      </c>
      <c r="G25" s="212" t="s">
        <v>65</v>
      </c>
      <c r="H25" s="212" t="s">
        <v>65</v>
      </c>
      <c r="I25" s="212" t="s">
        <v>65</v>
      </c>
      <c r="J25" s="212" t="s">
        <v>65</v>
      </c>
      <c r="K25" s="212" t="s">
        <v>65</v>
      </c>
      <c r="L25" s="212">
        <v>7</v>
      </c>
      <c r="M25" s="212" t="s">
        <v>65</v>
      </c>
      <c r="N25" s="212" t="s">
        <v>65</v>
      </c>
      <c r="O25" s="212" t="s">
        <v>65</v>
      </c>
      <c r="P25" s="212" t="s">
        <v>65</v>
      </c>
      <c r="Q25" s="212" t="s">
        <v>65</v>
      </c>
      <c r="R25" s="212">
        <v>1</v>
      </c>
      <c r="S25" s="212" t="s">
        <v>65</v>
      </c>
      <c r="T25" s="212" t="s">
        <v>65</v>
      </c>
      <c r="U25" s="212" t="s">
        <v>65</v>
      </c>
      <c r="V25" s="212">
        <v>1967</v>
      </c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</row>
    <row r="26" spans="1:43" ht="16.5" customHeight="1" x14ac:dyDescent="0.3">
      <c r="A26" s="323"/>
      <c r="B26" s="95" t="s">
        <v>514</v>
      </c>
      <c r="C26" s="212">
        <v>82</v>
      </c>
      <c r="D26" s="212">
        <v>22</v>
      </c>
      <c r="E26" s="212" t="s">
        <v>65</v>
      </c>
      <c r="F26" s="212" t="s">
        <v>65</v>
      </c>
      <c r="G26" s="212" t="s">
        <v>65</v>
      </c>
      <c r="H26" s="212" t="s">
        <v>65</v>
      </c>
      <c r="I26" s="212" t="s">
        <v>65</v>
      </c>
      <c r="J26" s="212" t="s">
        <v>65</v>
      </c>
      <c r="K26" s="212" t="s">
        <v>65</v>
      </c>
      <c r="L26" s="212" t="s">
        <v>65</v>
      </c>
      <c r="M26" s="212" t="s">
        <v>65</v>
      </c>
      <c r="N26" s="212" t="s">
        <v>65</v>
      </c>
      <c r="O26" s="212" t="s">
        <v>65</v>
      </c>
      <c r="P26" s="212" t="s">
        <v>65</v>
      </c>
      <c r="Q26" s="212" t="s">
        <v>65</v>
      </c>
      <c r="R26" s="212" t="s">
        <v>65</v>
      </c>
      <c r="S26" s="212" t="s">
        <v>65</v>
      </c>
      <c r="T26" s="212" t="s">
        <v>65</v>
      </c>
      <c r="U26" s="212" t="s">
        <v>65</v>
      </c>
      <c r="V26" s="212">
        <v>103</v>
      </c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</row>
    <row r="27" spans="1:43" ht="16.5" customHeight="1" x14ac:dyDescent="0.3">
      <c r="A27" s="323"/>
      <c r="B27" s="95" t="s">
        <v>512</v>
      </c>
      <c r="C27" s="212">
        <v>61</v>
      </c>
      <c r="D27" s="212">
        <v>10</v>
      </c>
      <c r="E27" s="212" t="s">
        <v>65</v>
      </c>
      <c r="F27" s="212" t="s">
        <v>65</v>
      </c>
      <c r="G27" s="212" t="s">
        <v>65</v>
      </c>
      <c r="H27" s="212" t="s">
        <v>65</v>
      </c>
      <c r="I27" s="212" t="s">
        <v>65</v>
      </c>
      <c r="J27" s="212" t="s">
        <v>65</v>
      </c>
      <c r="K27" s="212" t="s">
        <v>65</v>
      </c>
      <c r="L27" s="212" t="s">
        <v>65</v>
      </c>
      <c r="M27" s="212" t="s">
        <v>65</v>
      </c>
      <c r="N27" s="212" t="s">
        <v>65</v>
      </c>
      <c r="O27" s="212" t="s">
        <v>65</v>
      </c>
      <c r="P27" s="212" t="s">
        <v>65</v>
      </c>
      <c r="Q27" s="212" t="s">
        <v>65</v>
      </c>
      <c r="R27" s="212" t="s">
        <v>65</v>
      </c>
      <c r="S27" s="212" t="s">
        <v>65</v>
      </c>
      <c r="T27" s="212" t="s">
        <v>65</v>
      </c>
      <c r="U27" s="212" t="s">
        <v>65</v>
      </c>
      <c r="V27" s="212">
        <v>71</v>
      </c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</row>
    <row r="28" spans="1:43" ht="16.5" customHeight="1" x14ac:dyDescent="0.3">
      <c r="A28" s="323"/>
      <c r="B28" s="95" t="s">
        <v>670</v>
      </c>
      <c r="C28" s="212">
        <v>191</v>
      </c>
      <c r="D28" s="212">
        <v>11</v>
      </c>
      <c r="E28" s="212" t="s">
        <v>65</v>
      </c>
      <c r="F28" s="212" t="s">
        <v>65</v>
      </c>
      <c r="G28" s="212" t="s">
        <v>65</v>
      </c>
      <c r="H28" s="212" t="s">
        <v>65</v>
      </c>
      <c r="I28" s="212" t="s">
        <v>65</v>
      </c>
      <c r="J28" s="212" t="s">
        <v>65</v>
      </c>
      <c r="K28" s="212" t="s">
        <v>65</v>
      </c>
      <c r="L28" s="212" t="s">
        <v>65</v>
      </c>
      <c r="M28" s="212" t="s">
        <v>65</v>
      </c>
      <c r="N28" s="212" t="s">
        <v>65</v>
      </c>
      <c r="O28" s="212" t="s">
        <v>65</v>
      </c>
      <c r="P28" s="212" t="s">
        <v>65</v>
      </c>
      <c r="Q28" s="212" t="s">
        <v>65</v>
      </c>
      <c r="R28" s="212" t="s">
        <v>65</v>
      </c>
      <c r="S28" s="212" t="s">
        <v>65</v>
      </c>
      <c r="T28" s="212" t="s">
        <v>65</v>
      </c>
      <c r="U28" s="212" t="s">
        <v>65</v>
      </c>
      <c r="V28" s="212">
        <v>202</v>
      </c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</row>
    <row r="29" spans="1:43" ht="16.5" customHeight="1" x14ac:dyDescent="0.3">
      <c r="A29" s="323"/>
      <c r="B29" s="95" t="s">
        <v>516</v>
      </c>
      <c r="C29" s="212">
        <v>138</v>
      </c>
      <c r="D29" s="212">
        <v>42</v>
      </c>
      <c r="E29" s="212" t="s">
        <v>65</v>
      </c>
      <c r="F29" s="212" t="s">
        <v>65</v>
      </c>
      <c r="G29" s="212" t="s">
        <v>65</v>
      </c>
      <c r="H29" s="212" t="s">
        <v>65</v>
      </c>
      <c r="I29" s="212" t="s">
        <v>65</v>
      </c>
      <c r="J29" s="212" t="s">
        <v>65</v>
      </c>
      <c r="K29" s="212" t="s">
        <v>65</v>
      </c>
      <c r="L29" s="212" t="s">
        <v>65</v>
      </c>
      <c r="M29" s="212">
        <v>2</v>
      </c>
      <c r="N29" s="212" t="s">
        <v>65</v>
      </c>
      <c r="O29" s="212" t="s">
        <v>65</v>
      </c>
      <c r="P29" s="212" t="s">
        <v>65</v>
      </c>
      <c r="Q29" s="212">
        <v>1</v>
      </c>
      <c r="R29" s="212" t="s">
        <v>65</v>
      </c>
      <c r="S29" s="212" t="s">
        <v>65</v>
      </c>
      <c r="T29" s="212" t="s">
        <v>65</v>
      </c>
      <c r="U29" s="212" t="s">
        <v>65</v>
      </c>
      <c r="V29" s="212">
        <v>183</v>
      </c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</row>
    <row r="30" spans="1:43" x14ac:dyDescent="0.3">
      <c r="A30" s="308"/>
      <c r="B30" s="97" t="s">
        <v>86</v>
      </c>
      <c r="C30" s="214">
        <v>5765</v>
      </c>
      <c r="D30" s="214">
        <v>357</v>
      </c>
      <c r="E30" s="214">
        <v>0</v>
      </c>
      <c r="F30" s="214">
        <v>0</v>
      </c>
      <c r="G30" s="214">
        <v>0</v>
      </c>
      <c r="H30" s="214">
        <v>0</v>
      </c>
      <c r="I30" s="214">
        <v>0</v>
      </c>
      <c r="J30" s="214">
        <v>21</v>
      </c>
      <c r="K30" s="214">
        <v>0</v>
      </c>
      <c r="L30" s="214">
        <v>283</v>
      </c>
      <c r="M30" s="214">
        <v>3</v>
      </c>
      <c r="N30" s="214">
        <v>0</v>
      </c>
      <c r="O30" s="214">
        <v>171</v>
      </c>
      <c r="P30" s="214">
        <v>0</v>
      </c>
      <c r="Q30" s="214">
        <v>1</v>
      </c>
      <c r="R30" s="214">
        <v>25</v>
      </c>
      <c r="S30" s="214">
        <v>0</v>
      </c>
      <c r="T30" s="214">
        <v>0</v>
      </c>
      <c r="U30" s="214">
        <v>3</v>
      </c>
      <c r="V30" s="214">
        <v>6628</v>
      </c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</row>
    <row r="31" spans="1:43" ht="16.5" customHeight="1" x14ac:dyDescent="0.3">
      <c r="A31" s="307" t="s">
        <v>142</v>
      </c>
      <c r="B31" s="95" t="s">
        <v>521</v>
      </c>
      <c r="C31" s="212">
        <v>200</v>
      </c>
      <c r="D31" s="212">
        <v>52</v>
      </c>
      <c r="E31" s="212" t="s">
        <v>65</v>
      </c>
      <c r="F31" s="212" t="s">
        <v>65</v>
      </c>
      <c r="G31" s="212" t="s">
        <v>65</v>
      </c>
      <c r="H31" s="212">
        <v>3</v>
      </c>
      <c r="I31" s="212">
        <v>1</v>
      </c>
      <c r="J31" s="212">
        <v>11</v>
      </c>
      <c r="K31" s="212" t="s">
        <v>65</v>
      </c>
      <c r="L31" s="212">
        <v>1</v>
      </c>
      <c r="M31" s="212">
        <v>3</v>
      </c>
      <c r="N31" s="212">
        <v>2</v>
      </c>
      <c r="O31" s="212">
        <v>661</v>
      </c>
      <c r="P31" s="212" t="s">
        <v>65</v>
      </c>
      <c r="Q31" s="212" t="s">
        <v>65</v>
      </c>
      <c r="R31" s="212">
        <v>111</v>
      </c>
      <c r="S31" s="212">
        <v>3</v>
      </c>
      <c r="T31" s="212">
        <v>6</v>
      </c>
      <c r="U31" s="212" t="s">
        <v>65</v>
      </c>
      <c r="V31" s="212">
        <v>1054</v>
      </c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</row>
    <row r="32" spans="1:43" ht="16.5" customHeight="1" x14ac:dyDescent="0.3">
      <c r="A32" s="323"/>
      <c r="B32" s="95" t="s">
        <v>523</v>
      </c>
      <c r="C32" s="212">
        <v>26</v>
      </c>
      <c r="D32" s="212">
        <v>7</v>
      </c>
      <c r="E32" s="212" t="s">
        <v>65</v>
      </c>
      <c r="F32" s="212">
        <v>0</v>
      </c>
      <c r="G32" s="212" t="s">
        <v>65</v>
      </c>
      <c r="H32" s="212">
        <v>3</v>
      </c>
      <c r="I32" s="212">
        <v>0</v>
      </c>
      <c r="J32" s="212" t="s">
        <v>65</v>
      </c>
      <c r="K32" s="212" t="s">
        <v>65</v>
      </c>
      <c r="L32" s="212" t="s">
        <v>65</v>
      </c>
      <c r="M32" s="212">
        <v>1</v>
      </c>
      <c r="N32" s="212" t="s">
        <v>65</v>
      </c>
      <c r="O32" s="212">
        <v>23</v>
      </c>
      <c r="P32" s="212" t="s">
        <v>65</v>
      </c>
      <c r="Q32" s="212" t="s">
        <v>65</v>
      </c>
      <c r="R32" s="212">
        <v>2</v>
      </c>
      <c r="S32" s="212" t="s">
        <v>65</v>
      </c>
      <c r="T32" s="212" t="s">
        <v>65</v>
      </c>
      <c r="U32" s="212" t="s">
        <v>65</v>
      </c>
      <c r="V32" s="212">
        <v>63</v>
      </c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</row>
    <row r="33" spans="1:43" ht="16.5" customHeight="1" x14ac:dyDescent="0.3">
      <c r="A33" s="323"/>
      <c r="B33" s="95" t="s">
        <v>519</v>
      </c>
      <c r="C33" s="212">
        <v>219</v>
      </c>
      <c r="D33" s="212">
        <v>40</v>
      </c>
      <c r="E33" s="212" t="s">
        <v>65</v>
      </c>
      <c r="F33" s="212" t="s">
        <v>65</v>
      </c>
      <c r="G33" s="212" t="s">
        <v>65</v>
      </c>
      <c r="H33" s="212" t="s">
        <v>65</v>
      </c>
      <c r="I33" s="212" t="s">
        <v>65</v>
      </c>
      <c r="J33" s="212">
        <v>5</v>
      </c>
      <c r="K33" s="212" t="s">
        <v>65</v>
      </c>
      <c r="L33" s="212" t="s">
        <v>65</v>
      </c>
      <c r="M33" s="212">
        <v>1</v>
      </c>
      <c r="N33" s="212" t="s">
        <v>65</v>
      </c>
      <c r="O33" s="212">
        <v>79</v>
      </c>
      <c r="P33" s="212" t="s">
        <v>65</v>
      </c>
      <c r="Q33" s="212" t="s">
        <v>65</v>
      </c>
      <c r="R33" s="212">
        <v>17</v>
      </c>
      <c r="S33" s="212" t="s">
        <v>65</v>
      </c>
      <c r="T33" s="212">
        <v>5</v>
      </c>
      <c r="U33" s="212" t="s">
        <v>65</v>
      </c>
      <c r="V33" s="212">
        <v>365</v>
      </c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</row>
    <row r="34" spans="1:43" ht="16.5" customHeight="1" x14ac:dyDescent="0.3">
      <c r="A34" s="323"/>
      <c r="B34" s="95" t="s">
        <v>517</v>
      </c>
      <c r="C34" s="212">
        <v>304</v>
      </c>
      <c r="D34" s="212">
        <v>46</v>
      </c>
      <c r="E34" s="212" t="s">
        <v>65</v>
      </c>
      <c r="F34" s="212" t="s">
        <v>65</v>
      </c>
      <c r="G34" s="212" t="s">
        <v>65</v>
      </c>
      <c r="H34" s="212">
        <v>2</v>
      </c>
      <c r="I34" s="212" t="s">
        <v>65</v>
      </c>
      <c r="J34" s="212">
        <v>5</v>
      </c>
      <c r="K34" s="212" t="s">
        <v>65</v>
      </c>
      <c r="L34" s="212" t="s">
        <v>65</v>
      </c>
      <c r="M34" s="212" t="s">
        <v>65</v>
      </c>
      <c r="N34" s="212" t="s">
        <v>65</v>
      </c>
      <c r="O34" s="212">
        <v>7</v>
      </c>
      <c r="P34" s="212" t="s">
        <v>65</v>
      </c>
      <c r="Q34" s="212" t="s">
        <v>65</v>
      </c>
      <c r="R34" s="212">
        <v>1</v>
      </c>
      <c r="S34" s="212" t="s">
        <v>65</v>
      </c>
      <c r="T34" s="212" t="s">
        <v>65</v>
      </c>
      <c r="U34" s="212" t="s">
        <v>65</v>
      </c>
      <c r="V34" s="212">
        <v>366</v>
      </c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</row>
    <row r="35" spans="1:43" ht="16.5" customHeight="1" x14ac:dyDescent="0.3">
      <c r="A35" s="323"/>
      <c r="B35" s="95" t="s">
        <v>520</v>
      </c>
      <c r="C35" s="212">
        <v>145</v>
      </c>
      <c r="D35" s="212">
        <v>67</v>
      </c>
      <c r="E35" s="212" t="s">
        <v>65</v>
      </c>
      <c r="F35" s="212" t="s">
        <v>65</v>
      </c>
      <c r="G35" s="212">
        <v>2</v>
      </c>
      <c r="H35" s="212">
        <v>1</v>
      </c>
      <c r="I35" s="212">
        <v>0</v>
      </c>
      <c r="J35" s="212">
        <v>3</v>
      </c>
      <c r="K35" s="212" t="s">
        <v>65</v>
      </c>
      <c r="L35" s="212">
        <v>11</v>
      </c>
      <c r="M35" s="212">
        <v>1</v>
      </c>
      <c r="N35" s="212" t="s">
        <v>65</v>
      </c>
      <c r="O35" s="212">
        <v>45</v>
      </c>
      <c r="P35" s="212">
        <v>6</v>
      </c>
      <c r="Q35" s="212">
        <v>1</v>
      </c>
      <c r="R35" s="212">
        <v>9</v>
      </c>
      <c r="S35" s="212">
        <v>0</v>
      </c>
      <c r="T35" s="212">
        <v>9</v>
      </c>
      <c r="U35" s="212">
        <v>32</v>
      </c>
      <c r="V35" s="212">
        <v>332</v>
      </c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</row>
    <row r="36" spans="1:43" ht="16.5" customHeight="1" x14ac:dyDescent="0.3">
      <c r="A36" s="323"/>
      <c r="B36" s="95" t="s">
        <v>522</v>
      </c>
      <c r="C36" s="212">
        <v>69</v>
      </c>
      <c r="D36" s="212">
        <v>9</v>
      </c>
      <c r="E36" s="212" t="s">
        <v>65</v>
      </c>
      <c r="F36" s="212" t="s">
        <v>65</v>
      </c>
      <c r="G36" s="212" t="s">
        <v>65</v>
      </c>
      <c r="H36" s="212" t="s">
        <v>65</v>
      </c>
      <c r="I36" s="212">
        <v>1</v>
      </c>
      <c r="J36" s="212">
        <v>1</v>
      </c>
      <c r="K36" s="212" t="s">
        <v>65</v>
      </c>
      <c r="L36" s="212" t="s">
        <v>65</v>
      </c>
      <c r="M36" s="212">
        <v>1</v>
      </c>
      <c r="N36" s="212" t="s">
        <v>65</v>
      </c>
      <c r="O36" s="212">
        <v>7</v>
      </c>
      <c r="P36" s="212" t="s">
        <v>65</v>
      </c>
      <c r="Q36" s="212" t="s">
        <v>65</v>
      </c>
      <c r="R36" s="212">
        <v>3</v>
      </c>
      <c r="S36" s="212">
        <v>2</v>
      </c>
      <c r="T36" s="212" t="s">
        <v>65</v>
      </c>
      <c r="U36" s="212">
        <v>0</v>
      </c>
      <c r="V36" s="212">
        <v>94</v>
      </c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</row>
    <row r="37" spans="1:43" ht="16.5" customHeight="1" x14ac:dyDescent="0.3">
      <c r="A37" s="323"/>
      <c r="B37" s="95" t="s">
        <v>518</v>
      </c>
      <c r="C37" s="212">
        <v>419</v>
      </c>
      <c r="D37" s="212">
        <v>38</v>
      </c>
      <c r="E37" s="212" t="s">
        <v>65</v>
      </c>
      <c r="F37" s="212" t="s">
        <v>65</v>
      </c>
      <c r="G37" s="212" t="s">
        <v>65</v>
      </c>
      <c r="H37" s="212">
        <v>2</v>
      </c>
      <c r="I37" s="212" t="s">
        <v>65</v>
      </c>
      <c r="J37" s="212">
        <v>24</v>
      </c>
      <c r="K37" s="212" t="s">
        <v>65</v>
      </c>
      <c r="L37" s="212" t="s">
        <v>65</v>
      </c>
      <c r="M37" s="212">
        <v>7</v>
      </c>
      <c r="N37" s="212">
        <v>2</v>
      </c>
      <c r="O37" s="212">
        <v>87</v>
      </c>
      <c r="P37" s="212" t="s">
        <v>65</v>
      </c>
      <c r="Q37" s="212" t="s">
        <v>65</v>
      </c>
      <c r="R37" s="212">
        <v>37</v>
      </c>
      <c r="S37" s="212">
        <v>8</v>
      </c>
      <c r="T37" s="212">
        <v>3</v>
      </c>
      <c r="U37" s="212">
        <v>4</v>
      </c>
      <c r="V37" s="212">
        <v>632</v>
      </c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</row>
    <row r="38" spans="1:43" ht="16.5" customHeight="1" x14ac:dyDescent="0.3">
      <c r="A38" s="323"/>
      <c r="B38" s="95" t="s">
        <v>525</v>
      </c>
      <c r="C38" s="212">
        <v>96</v>
      </c>
      <c r="D38" s="212">
        <v>29</v>
      </c>
      <c r="E38" s="212" t="s">
        <v>65</v>
      </c>
      <c r="F38" s="212" t="s">
        <v>65</v>
      </c>
      <c r="G38" s="212" t="s">
        <v>65</v>
      </c>
      <c r="H38" s="212" t="s">
        <v>65</v>
      </c>
      <c r="I38" s="212" t="s">
        <v>65</v>
      </c>
      <c r="J38" s="212">
        <v>3</v>
      </c>
      <c r="K38" s="212" t="s">
        <v>65</v>
      </c>
      <c r="L38" s="212" t="s">
        <v>65</v>
      </c>
      <c r="M38" s="212">
        <v>1</v>
      </c>
      <c r="N38" s="212" t="s">
        <v>65</v>
      </c>
      <c r="O38" s="212">
        <v>29</v>
      </c>
      <c r="P38" s="212" t="s">
        <v>65</v>
      </c>
      <c r="Q38" s="212">
        <v>1</v>
      </c>
      <c r="R38" s="212">
        <v>2</v>
      </c>
      <c r="S38" s="212" t="s">
        <v>65</v>
      </c>
      <c r="T38" s="212" t="s">
        <v>65</v>
      </c>
      <c r="U38" s="212">
        <v>2</v>
      </c>
      <c r="V38" s="212">
        <v>162</v>
      </c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</row>
    <row r="39" spans="1:43" ht="16.5" customHeight="1" x14ac:dyDescent="0.3">
      <c r="A39" s="323"/>
      <c r="B39" s="95" t="s">
        <v>671</v>
      </c>
      <c r="C39" s="212">
        <v>420</v>
      </c>
      <c r="D39" s="212">
        <v>64</v>
      </c>
      <c r="E39" s="212" t="s">
        <v>65</v>
      </c>
      <c r="F39" s="212" t="s">
        <v>65</v>
      </c>
      <c r="G39" s="212" t="s">
        <v>65</v>
      </c>
      <c r="H39" s="212">
        <v>0</v>
      </c>
      <c r="I39" s="212" t="s">
        <v>65</v>
      </c>
      <c r="J39" s="212">
        <v>16</v>
      </c>
      <c r="K39" s="212" t="s">
        <v>65</v>
      </c>
      <c r="L39" s="212">
        <v>3</v>
      </c>
      <c r="M39" s="212">
        <v>7</v>
      </c>
      <c r="N39" s="212" t="s">
        <v>65</v>
      </c>
      <c r="O39" s="212">
        <v>468</v>
      </c>
      <c r="P39" s="212" t="s">
        <v>65</v>
      </c>
      <c r="Q39" s="212" t="s">
        <v>65</v>
      </c>
      <c r="R39" s="212">
        <v>32</v>
      </c>
      <c r="S39" s="212">
        <v>1</v>
      </c>
      <c r="T39" s="212">
        <v>3</v>
      </c>
      <c r="U39" s="212" t="s">
        <v>65</v>
      </c>
      <c r="V39" s="212">
        <v>1014</v>
      </c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</row>
    <row r="40" spans="1:43" ht="16.5" customHeight="1" x14ac:dyDescent="0.3">
      <c r="A40" s="323"/>
      <c r="B40" s="95" t="s">
        <v>524</v>
      </c>
      <c r="C40" s="212">
        <v>223</v>
      </c>
      <c r="D40" s="212">
        <v>21</v>
      </c>
      <c r="E40" s="212" t="s">
        <v>65</v>
      </c>
      <c r="F40" s="212" t="s">
        <v>65</v>
      </c>
      <c r="G40" s="212" t="s">
        <v>65</v>
      </c>
      <c r="H40" s="212">
        <v>1</v>
      </c>
      <c r="I40" s="212">
        <v>2</v>
      </c>
      <c r="J40" s="212">
        <v>25</v>
      </c>
      <c r="K40" s="212" t="s">
        <v>65</v>
      </c>
      <c r="L40" s="212" t="s">
        <v>65</v>
      </c>
      <c r="M40" s="212">
        <v>3</v>
      </c>
      <c r="N40" s="212">
        <v>1</v>
      </c>
      <c r="O40" s="212">
        <v>173</v>
      </c>
      <c r="P40" s="212" t="s">
        <v>65</v>
      </c>
      <c r="Q40" s="212" t="s">
        <v>65</v>
      </c>
      <c r="R40" s="212">
        <v>12</v>
      </c>
      <c r="S40" s="212" t="s">
        <v>65</v>
      </c>
      <c r="T40" s="212">
        <v>23</v>
      </c>
      <c r="U40" s="212" t="s">
        <v>65</v>
      </c>
      <c r="V40" s="212">
        <v>484</v>
      </c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</row>
    <row r="41" spans="1:43" ht="16.5" customHeight="1" x14ac:dyDescent="0.3">
      <c r="A41" s="323"/>
      <c r="B41" s="95" t="s">
        <v>526</v>
      </c>
      <c r="C41" s="212">
        <v>755</v>
      </c>
      <c r="D41" s="212">
        <v>28</v>
      </c>
      <c r="E41" s="212" t="s">
        <v>65</v>
      </c>
      <c r="F41" s="212" t="s">
        <v>65</v>
      </c>
      <c r="G41" s="212" t="s">
        <v>65</v>
      </c>
      <c r="H41" s="212" t="s">
        <v>65</v>
      </c>
      <c r="I41" s="212" t="s">
        <v>65</v>
      </c>
      <c r="J41" s="212">
        <v>2</v>
      </c>
      <c r="K41" s="212" t="s">
        <v>65</v>
      </c>
      <c r="L41" s="212" t="s">
        <v>65</v>
      </c>
      <c r="M41" s="212" t="s">
        <v>65</v>
      </c>
      <c r="N41" s="212" t="s">
        <v>65</v>
      </c>
      <c r="O41" s="212">
        <v>47</v>
      </c>
      <c r="P41" s="212">
        <v>2</v>
      </c>
      <c r="Q41" s="212" t="s">
        <v>65</v>
      </c>
      <c r="R41" s="212">
        <v>18</v>
      </c>
      <c r="S41" s="212" t="s">
        <v>65</v>
      </c>
      <c r="T41" s="212">
        <v>1</v>
      </c>
      <c r="U41" s="212">
        <v>7</v>
      </c>
      <c r="V41" s="212">
        <v>861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</row>
    <row r="42" spans="1:43" x14ac:dyDescent="0.3">
      <c r="A42" s="308"/>
      <c r="B42" s="97" t="s">
        <v>86</v>
      </c>
      <c r="C42" s="214">
        <v>2877</v>
      </c>
      <c r="D42" s="214">
        <v>400</v>
      </c>
      <c r="E42" s="214">
        <v>0</v>
      </c>
      <c r="F42" s="214">
        <v>0</v>
      </c>
      <c r="G42" s="214">
        <v>2</v>
      </c>
      <c r="H42" s="214">
        <v>13</v>
      </c>
      <c r="I42" s="214">
        <v>5</v>
      </c>
      <c r="J42" s="214">
        <v>94</v>
      </c>
      <c r="K42" s="214">
        <v>0</v>
      </c>
      <c r="L42" s="214">
        <v>16</v>
      </c>
      <c r="M42" s="214">
        <v>24</v>
      </c>
      <c r="N42" s="214">
        <v>6</v>
      </c>
      <c r="O42" s="214">
        <v>1627</v>
      </c>
      <c r="P42" s="214">
        <v>8</v>
      </c>
      <c r="Q42" s="214">
        <v>2</v>
      </c>
      <c r="R42" s="214">
        <v>244</v>
      </c>
      <c r="S42" s="214">
        <v>15</v>
      </c>
      <c r="T42" s="214">
        <v>50</v>
      </c>
      <c r="U42" s="214">
        <v>45</v>
      </c>
      <c r="V42" s="214">
        <v>5428</v>
      </c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</row>
    <row r="43" spans="1:43" ht="16.5" customHeight="1" x14ac:dyDescent="0.3">
      <c r="A43" s="307" t="s">
        <v>771</v>
      </c>
      <c r="B43" s="95" t="s">
        <v>535</v>
      </c>
      <c r="C43" s="212">
        <v>78</v>
      </c>
      <c r="D43" s="212">
        <v>3</v>
      </c>
      <c r="E43" s="212" t="s">
        <v>65</v>
      </c>
      <c r="F43" s="212" t="s">
        <v>65</v>
      </c>
      <c r="G43" s="212" t="s">
        <v>65</v>
      </c>
      <c r="H43" s="212" t="s">
        <v>65</v>
      </c>
      <c r="I43" s="212" t="s">
        <v>65</v>
      </c>
      <c r="J43" s="212" t="s">
        <v>65</v>
      </c>
      <c r="K43" s="212" t="s">
        <v>65</v>
      </c>
      <c r="L43" s="212">
        <v>4</v>
      </c>
      <c r="M43" s="212" t="s">
        <v>65</v>
      </c>
      <c r="N43" s="212" t="s">
        <v>65</v>
      </c>
      <c r="O43" s="212" t="s">
        <v>65</v>
      </c>
      <c r="P43" s="212" t="s">
        <v>65</v>
      </c>
      <c r="Q43" s="212" t="s">
        <v>65</v>
      </c>
      <c r="R43" s="212" t="s">
        <v>65</v>
      </c>
      <c r="S43" s="212">
        <v>1497</v>
      </c>
      <c r="T43" s="212" t="s">
        <v>65</v>
      </c>
      <c r="U43" s="212" t="s">
        <v>65</v>
      </c>
      <c r="V43" s="212">
        <v>1582</v>
      </c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</row>
    <row r="44" spans="1:43" ht="16.5" customHeight="1" x14ac:dyDescent="0.3">
      <c r="A44" s="323"/>
      <c r="B44" s="95" t="s">
        <v>531</v>
      </c>
      <c r="C44" s="212">
        <v>13</v>
      </c>
      <c r="D44" s="212">
        <v>5</v>
      </c>
      <c r="E44" s="212" t="s">
        <v>65</v>
      </c>
      <c r="F44" s="212" t="s">
        <v>65</v>
      </c>
      <c r="G44" s="212">
        <v>736</v>
      </c>
      <c r="H44" s="212" t="s">
        <v>65</v>
      </c>
      <c r="I44" s="212" t="s">
        <v>65</v>
      </c>
      <c r="J44" s="212">
        <v>1</v>
      </c>
      <c r="K44" s="212" t="s">
        <v>65</v>
      </c>
      <c r="L44" s="212" t="s">
        <v>65</v>
      </c>
      <c r="M44" s="212" t="s">
        <v>65</v>
      </c>
      <c r="N44" s="212" t="s">
        <v>65</v>
      </c>
      <c r="O44" s="212">
        <v>1</v>
      </c>
      <c r="P44" s="212" t="s">
        <v>65</v>
      </c>
      <c r="Q44" s="212" t="s">
        <v>65</v>
      </c>
      <c r="R44" s="212">
        <v>4</v>
      </c>
      <c r="S44" s="212">
        <v>8</v>
      </c>
      <c r="T44" s="212" t="s">
        <v>65</v>
      </c>
      <c r="U44" s="212">
        <v>1</v>
      </c>
      <c r="V44" s="212">
        <v>768</v>
      </c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</row>
    <row r="45" spans="1:43" ht="16.5" customHeight="1" x14ac:dyDescent="0.3">
      <c r="A45" s="323"/>
      <c r="B45" s="95" t="s">
        <v>672</v>
      </c>
      <c r="C45" s="212">
        <v>185</v>
      </c>
      <c r="D45" s="212">
        <v>20</v>
      </c>
      <c r="E45" s="212" t="s">
        <v>65</v>
      </c>
      <c r="F45" s="212" t="s">
        <v>65</v>
      </c>
      <c r="G45" s="212">
        <v>160</v>
      </c>
      <c r="H45" s="212" t="s">
        <v>65</v>
      </c>
      <c r="I45" s="212">
        <v>8</v>
      </c>
      <c r="J45" s="212" t="s">
        <v>65</v>
      </c>
      <c r="K45" s="212" t="s">
        <v>65</v>
      </c>
      <c r="L45" s="212" t="s">
        <v>65</v>
      </c>
      <c r="M45" s="212" t="s">
        <v>65</v>
      </c>
      <c r="N45" s="212">
        <v>0</v>
      </c>
      <c r="O45" s="212">
        <v>16</v>
      </c>
      <c r="P45" s="212" t="s">
        <v>65</v>
      </c>
      <c r="Q45" s="212" t="s">
        <v>65</v>
      </c>
      <c r="R45" s="212" t="s">
        <v>65</v>
      </c>
      <c r="S45" s="212">
        <v>85</v>
      </c>
      <c r="T45" s="212">
        <v>88</v>
      </c>
      <c r="U45" s="212">
        <v>2</v>
      </c>
      <c r="V45" s="212">
        <v>563</v>
      </c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</row>
    <row r="46" spans="1:43" ht="16.5" customHeight="1" x14ac:dyDescent="0.3">
      <c r="A46" s="323"/>
      <c r="B46" s="95" t="s">
        <v>530</v>
      </c>
      <c r="C46" s="212">
        <v>103</v>
      </c>
      <c r="D46" s="212">
        <v>33</v>
      </c>
      <c r="E46" s="212" t="s">
        <v>65</v>
      </c>
      <c r="F46" s="212" t="s">
        <v>65</v>
      </c>
      <c r="G46" s="212">
        <v>79</v>
      </c>
      <c r="H46" s="212" t="s">
        <v>65</v>
      </c>
      <c r="I46" s="212" t="s">
        <v>65</v>
      </c>
      <c r="J46" s="212">
        <v>1</v>
      </c>
      <c r="K46" s="212" t="s">
        <v>65</v>
      </c>
      <c r="L46" s="212">
        <v>4</v>
      </c>
      <c r="M46" s="212" t="s">
        <v>65</v>
      </c>
      <c r="N46" s="212">
        <v>1</v>
      </c>
      <c r="O46" s="212">
        <v>13</v>
      </c>
      <c r="P46" s="212" t="s">
        <v>65</v>
      </c>
      <c r="Q46" s="212" t="s">
        <v>65</v>
      </c>
      <c r="R46" s="212">
        <v>1</v>
      </c>
      <c r="S46" s="212">
        <v>13</v>
      </c>
      <c r="T46" s="212">
        <v>65</v>
      </c>
      <c r="U46" s="212" t="s">
        <v>65</v>
      </c>
      <c r="V46" s="212">
        <v>313</v>
      </c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</row>
    <row r="47" spans="1:43" ht="16.5" customHeight="1" x14ac:dyDescent="0.3">
      <c r="A47" s="323"/>
      <c r="B47" s="95" t="s">
        <v>537</v>
      </c>
      <c r="C47" s="212">
        <v>603</v>
      </c>
      <c r="D47" s="212">
        <v>6</v>
      </c>
      <c r="E47" s="212" t="s">
        <v>65</v>
      </c>
      <c r="F47" s="212" t="s">
        <v>65</v>
      </c>
      <c r="G47" s="212" t="s">
        <v>65</v>
      </c>
      <c r="H47" s="212" t="s">
        <v>65</v>
      </c>
      <c r="I47" s="212" t="s">
        <v>65</v>
      </c>
      <c r="J47" s="212">
        <v>4</v>
      </c>
      <c r="K47" s="212" t="s">
        <v>65</v>
      </c>
      <c r="L47" s="212" t="s">
        <v>65</v>
      </c>
      <c r="M47" s="212">
        <v>0</v>
      </c>
      <c r="N47" s="212" t="s">
        <v>65</v>
      </c>
      <c r="O47" s="212">
        <v>10</v>
      </c>
      <c r="P47" s="212" t="s">
        <v>65</v>
      </c>
      <c r="Q47" s="212" t="s">
        <v>65</v>
      </c>
      <c r="R47" s="212" t="s">
        <v>65</v>
      </c>
      <c r="S47" s="212" t="s">
        <v>65</v>
      </c>
      <c r="T47" s="212" t="s">
        <v>65</v>
      </c>
      <c r="U47" s="212" t="s">
        <v>65</v>
      </c>
      <c r="V47" s="212">
        <v>623</v>
      </c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</row>
    <row r="48" spans="1:43" ht="16.5" customHeight="1" x14ac:dyDescent="0.3">
      <c r="A48" s="323"/>
      <c r="B48" s="95" t="s">
        <v>673</v>
      </c>
      <c r="C48" s="212">
        <v>98</v>
      </c>
      <c r="D48" s="212">
        <v>16</v>
      </c>
      <c r="E48" s="212" t="s">
        <v>65</v>
      </c>
      <c r="F48" s="212">
        <v>1</v>
      </c>
      <c r="G48" s="212">
        <v>143</v>
      </c>
      <c r="H48" s="212">
        <v>1</v>
      </c>
      <c r="I48" s="212" t="s">
        <v>65</v>
      </c>
      <c r="J48" s="212">
        <v>0</v>
      </c>
      <c r="K48" s="212" t="s">
        <v>65</v>
      </c>
      <c r="L48" s="212" t="s">
        <v>65</v>
      </c>
      <c r="M48" s="212" t="s">
        <v>65</v>
      </c>
      <c r="N48" s="212">
        <v>10</v>
      </c>
      <c r="O48" s="212">
        <v>2</v>
      </c>
      <c r="P48" s="212" t="s">
        <v>65</v>
      </c>
      <c r="Q48" s="212">
        <v>6</v>
      </c>
      <c r="R48" s="212">
        <v>0</v>
      </c>
      <c r="S48" s="212">
        <v>66</v>
      </c>
      <c r="T48" s="212">
        <v>16</v>
      </c>
      <c r="U48" s="212">
        <v>120</v>
      </c>
      <c r="V48" s="212">
        <v>479</v>
      </c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</row>
    <row r="49" spans="1:43" ht="16.5" customHeight="1" x14ac:dyDescent="0.3">
      <c r="A49" s="323"/>
      <c r="B49" s="95" t="s">
        <v>528</v>
      </c>
      <c r="C49" s="212">
        <v>115</v>
      </c>
      <c r="D49" s="212">
        <v>21</v>
      </c>
      <c r="E49" s="212" t="s">
        <v>65</v>
      </c>
      <c r="F49" s="212" t="s">
        <v>65</v>
      </c>
      <c r="G49" s="212">
        <v>32</v>
      </c>
      <c r="H49" s="212" t="s">
        <v>65</v>
      </c>
      <c r="I49" s="212" t="s">
        <v>65</v>
      </c>
      <c r="J49" s="212" t="s">
        <v>65</v>
      </c>
      <c r="K49" s="212" t="s">
        <v>65</v>
      </c>
      <c r="L49" s="212" t="s">
        <v>65</v>
      </c>
      <c r="M49" s="212" t="s">
        <v>65</v>
      </c>
      <c r="N49" s="212" t="s">
        <v>65</v>
      </c>
      <c r="O49" s="212">
        <v>87</v>
      </c>
      <c r="P49" s="212" t="s">
        <v>65</v>
      </c>
      <c r="Q49" s="212">
        <v>4</v>
      </c>
      <c r="R49" s="212">
        <v>0</v>
      </c>
      <c r="S49" s="212">
        <v>2</v>
      </c>
      <c r="T49" s="212" t="s">
        <v>65</v>
      </c>
      <c r="U49" s="212">
        <v>7</v>
      </c>
      <c r="V49" s="212">
        <v>268</v>
      </c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</row>
    <row r="50" spans="1:43" ht="16.5" customHeight="1" x14ac:dyDescent="0.3">
      <c r="A50" s="323"/>
      <c r="B50" s="95" t="s">
        <v>529</v>
      </c>
      <c r="C50" s="212">
        <v>39</v>
      </c>
      <c r="D50" s="212">
        <v>6</v>
      </c>
      <c r="E50" s="212" t="s">
        <v>65</v>
      </c>
      <c r="F50" s="212" t="s">
        <v>65</v>
      </c>
      <c r="G50" s="212" t="s">
        <v>65</v>
      </c>
      <c r="H50" s="212" t="s">
        <v>65</v>
      </c>
      <c r="I50" s="212" t="s">
        <v>65</v>
      </c>
      <c r="J50" s="212" t="s">
        <v>65</v>
      </c>
      <c r="K50" s="212" t="s">
        <v>65</v>
      </c>
      <c r="L50" s="212" t="s">
        <v>65</v>
      </c>
      <c r="M50" s="212" t="s">
        <v>65</v>
      </c>
      <c r="N50" s="212" t="s">
        <v>65</v>
      </c>
      <c r="O50" s="212" t="s">
        <v>65</v>
      </c>
      <c r="P50" s="212" t="s">
        <v>65</v>
      </c>
      <c r="Q50" s="212" t="s">
        <v>65</v>
      </c>
      <c r="R50" s="212" t="s">
        <v>65</v>
      </c>
      <c r="S50" s="212" t="s">
        <v>65</v>
      </c>
      <c r="T50" s="212">
        <v>2</v>
      </c>
      <c r="U50" s="212">
        <v>1</v>
      </c>
      <c r="V50" s="212">
        <v>48</v>
      </c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</row>
    <row r="51" spans="1:43" ht="16.5" customHeight="1" x14ac:dyDescent="0.3">
      <c r="A51" s="323"/>
      <c r="B51" s="95" t="s">
        <v>527</v>
      </c>
      <c r="C51" s="212">
        <v>627</v>
      </c>
      <c r="D51" s="212">
        <v>27</v>
      </c>
      <c r="E51" s="212" t="s">
        <v>65</v>
      </c>
      <c r="F51" s="212" t="s">
        <v>65</v>
      </c>
      <c r="G51" s="212" t="s">
        <v>65</v>
      </c>
      <c r="H51" s="212" t="s">
        <v>65</v>
      </c>
      <c r="I51" s="212" t="s">
        <v>65</v>
      </c>
      <c r="J51" s="212" t="s">
        <v>65</v>
      </c>
      <c r="K51" s="212" t="s">
        <v>65</v>
      </c>
      <c r="L51" s="212" t="s">
        <v>65</v>
      </c>
      <c r="M51" s="212" t="s">
        <v>65</v>
      </c>
      <c r="N51" s="212">
        <v>0</v>
      </c>
      <c r="O51" s="212">
        <v>5</v>
      </c>
      <c r="P51" s="212" t="s">
        <v>65</v>
      </c>
      <c r="Q51" s="212">
        <v>1</v>
      </c>
      <c r="R51" s="212">
        <v>0</v>
      </c>
      <c r="S51" s="212">
        <v>25</v>
      </c>
      <c r="T51" s="212">
        <v>4</v>
      </c>
      <c r="U51" s="212">
        <v>25</v>
      </c>
      <c r="V51" s="212">
        <v>715</v>
      </c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</row>
    <row r="52" spans="1:43" ht="16.5" customHeight="1" x14ac:dyDescent="0.3">
      <c r="A52" s="323"/>
      <c r="B52" s="95" t="s">
        <v>538</v>
      </c>
      <c r="C52" s="212">
        <v>363</v>
      </c>
      <c r="D52" s="212">
        <v>1</v>
      </c>
      <c r="E52" s="212" t="s">
        <v>65</v>
      </c>
      <c r="F52" s="212" t="s">
        <v>65</v>
      </c>
      <c r="G52" s="212" t="s">
        <v>65</v>
      </c>
      <c r="H52" s="212" t="s">
        <v>65</v>
      </c>
      <c r="I52" s="212" t="s">
        <v>65</v>
      </c>
      <c r="J52" s="212">
        <v>13</v>
      </c>
      <c r="K52" s="212" t="s">
        <v>65</v>
      </c>
      <c r="L52" s="212" t="s">
        <v>65</v>
      </c>
      <c r="M52" s="212" t="s">
        <v>65</v>
      </c>
      <c r="N52" s="212" t="s">
        <v>65</v>
      </c>
      <c r="O52" s="212" t="s">
        <v>65</v>
      </c>
      <c r="P52" s="212" t="s">
        <v>65</v>
      </c>
      <c r="Q52" s="212" t="s">
        <v>65</v>
      </c>
      <c r="R52" s="212" t="s">
        <v>65</v>
      </c>
      <c r="S52" s="212" t="s">
        <v>65</v>
      </c>
      <c r="T52" s="212" t="s">
        <v>65</v>
      </c>
      <c r="U52" s="212" t="s">
        <v>65</v>
      </c>
      <c r="V52" s="212">
        <v>377</v>
      </c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</row>
    <row r="53" spans="1:43" ht="16.5" customHeight="1" x14ac:dyDescent="0.3">
      <c r="A53" s="323"/>
      <c r="B53" s="95" t="s">
        <v>536</v>
      </c>
      <c r="C53" s="212">
        <v>327</v>
      </c>
      <c r="D53" s="212">
        <v>28</v>
      </c>
      <c r="E53" s="212" t="s">
        <v>65</v>
      </c>
      <c r="F53" s="212" t="s">
        <v>65</v>
      </c>
      <c r="G53" s="212" t="s">
        <v>65</v>
      </c>
      <c r="H53" s="212" t="s">
        <v>65</v>
      </c>
      <c r="I53" s="212" t="s">
        <v>65</v>
      </c>
      <c r="J53" s="212" t="s">
        <v>65</v>
      </c>
      <c r="K53" s="212" t="s">
        <v>65</v>
      </c>
      <c r="L53" s="212" t="s">
        <v>65</v>
      </c>
      <c r="M53" s="212" t="s">
        <v>65</v>
      </c>
      <c r="N53" s="212" t="s">
        <v>65</v>
      </c>
      <c r="O53" s="212" t="s">
        <v>65</v>
      </c>
      <c r="P53" s="212" t="s">
        <v>65</v>
      </c>
      <c r="Q53" s="212" t="s">
        <v>65</v>
      </c>
      <c r="R53" s="212" t="s">
        <v>65</v>
      </c>
      <c r="S53" s="212" t="s">
        <v>65</v>
      </c>
      <c r="T53" s="212" t="s">
        <v>65</v>
      </c>
      <c r="U53" s="212" t="s">
        <v>65</v>
      </c>
      <c r="V53" s="212">
        <v>355</v>
      </c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</row>
    <row r="54" spans="1:43" ht="16.5" customHeight="1" x14ac:dyDescent="0.3">
      <c r="A54" s="323"/>
      <c r="B54" s="95" t="s">
        <v>532</v>
      </c>
      <c r="C54" s="212">
        <v>153</v>
      </c>
      <c r="D54" s="212">
        <v>33</v>
      </c>
      <c r="E54" s="212" t="s">
        <v>65</v>
      </c>
      <c r="F54" s="212" t="s">
        <v>65</v>
      </c>
      <c r="G54" s="212">
        <v>5</v>
      </c>
      <c r="H54" s="212" t="s">
        <v>65</v>
      </c>
      <c r="I54" s="212" t="s">
        <v>65</v>
      </c>
      <c r="J54" s="212" t="s">
        <v>65</v>
      </c>
      <c r="K54" s="212" t="s">
        <v>65</v>
      </c>
      <c r="L54" s="212" t="s">
        <v>65</v>
      </c>
      <c r="M54" s="212" t="s">
        <v>65</v>
      </c>
      <c r="N54" s="212" t="s">
        <v>65</v>
      </c>
      <c r="O54" s="212" t="s">
        <v>65</v>
      </c>
      <c r="P54" s="212" t="s">
        <v>65</v>
      </c>
      <c r="Q54" s="212" t="s">
        <v>65</v>
      </c>
      <c r="R54" s="212">
        <v>2</v>
      </c>
      <c r="S54" s="212">
        <v>547</v>
      </c>
      <c r="T54" s="212" t="s">
        <v>65</v>
      </c>
      <c r="U54" s="212" t="s">
        <v>65</v>
      </c>
      <c r="V54" s="212">
        <v>740</v>
      </c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</row>
    <row r="55" spans="1:43" ht="16.5" customHeight="1" x14ac:dyDescent="0.3">
      <c r="A55" s="323"/>
      <c r="B55" s="95" t="s">
        <v>534</v>
      </c>
      <c r="C55" s="212">
        <v>25</v>
      </c>
      <c r="D55" s="212">
        <v>5</v>
      </c>
      <c r="E55" s="212" t="s">
        <v>65</v>
      </c>
      <c r="F55" s="212" t="s">
        <v>65</v>
      </c>
      <c r="G55" s="212" t="s">
        <v>65</v>
      </c>
      <c r="H55" s="212" t="s">
        <v>65</v>
      </c>
      <c r="I55" s="212" t="s">
        <v>65</v>
      </c>
      <c r="J55" s="212" t="s">
        <v>65</v>
      </c>
      <c r="K55" s="212" t="s">
        <v>65</v>
      </c>
      <c r="L55" s="212" t="s">
        <v>65</v>
      </c>
      <c r="M55" s="212" t="s">
        <v>65</v>
      </c>
      <c r="N55" s="212" t="s">
        <v>65</v>
      </c>
      <c r="O55" s="212" t="s">
        <v>65</v>
      </c>
      <c r="P55" s="212" t="s">
        <v>65</v>
      </c>
      <c r="Q55" s="212" t="s">
        <v>65</v>
      </c>
      <c r="R55" s="212">
        <v>0</v>
      </c>
      <c r="S55" s="212">
        <v>222</v>
      </c>
      <c r="T55" s="212" t="s">
        <v>65</v>
      </c>
      <c r="U55" s="212" t="s">
        <v>65</v>
      </c>
      <c r="V55" s="212">
        <v>252</v>
      </c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</row>
    <row r="56" spans="1:43" ht="16.5" customHeight="1" x14ac:dyDescent="0.3">
      <c r="A56" s="323"/>
      <c r="B56" s="95" t="s">
        <v>533</v>
      </c>
      <c r="C56" s="212">
        <v>6</v>
      </c>
      <c r="D56" s="212">
        <v>0</v>
      </c>
      <c r="E56" s="212" t="s">
        <v>65</v>
      </c>
      <c r="F56" s="212" t="s">
        <v>65</v>
      </c>
      <c r="G56" s="212">
        <v>2</v>
      </c>
      <c r="H56" s="212" t="s">
        <v>65</v>
      </c>
      <c r="I56" s="212" t="s">
        <v>65</v>
      </c>
      <c r="J56" s="212" t="s">
        <v>65</v>
      </c>
      <c r="K56" s="212" t="s">
        <v>65</v>
      </c>
      <c r="L56" s="212">
        <v>56</v>
      </c>
      <c r="M56" s="212" t="s">
        <v>65</v>
      </c>
      <c r="N56" s="212" t="s">
        <v>65</v>
      </c>
      <c r="O56" s="212">
        <v>90</v>
      </c>
      <c r="P56" s="212" t="s">
        <v>65</v>
      </c>
      <c r="Q56" s="212" t="s">
        <v>65</v>
      </c>
      <c r="R56" s="212">
        <v>1</v>
      </c>
      <c r="S56" s="212">
        <v>250</v>
      </c>
      <c r="T56" s="212">
        <v>5</v>
      </c>
      <c r="U56" s="212">
        <v>9</v>
      </c>
      <c r="V56" s="212">
        <v>420</v>
      </c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</row>
    <row r="57" spans="1:43" ht="16.5" customHeight="1" x14ac:dyDescent="0.3">
      <c r="A57" s="323"/>
      <c r="B57" s="95" t="s">
        <v>539</v>
      </c>
      <c r="C57" s="212">
        <v>16</v>
      </c>
      <c r="D57" s="212">
        <v>22</v>
      </c>
      <c r="E57" s="212" t="s">
        <v>65</v>
      </c>
      <c r="F57" s="212" t="s">
        <v>65</v>
      </c>
      <c r="G57" s="212">
        <v>11</v>
      </c>
      <c r="H57" s="212" t="s">
        <v>65</v>
      </c>
      <c r="I57" s="212" t="s">
        <v>65</v>
      </c>
      <c r="J57" s="212" t="s">
        <v>65</v>
      </c>
      <c r="K57" s="212" t="s">
        <v>65</v>
      </c>
      <c r="L57" s="212" t="s">
        <v>65</v>
      </c>
      <c r="M57" s="212" t="s">
        <v>65</v>
      </c>
      <c r="N57" s="212" t="s">
        <v>65</v>
      </c>
      <c r="O57" s="212" t="s">
        <v>65</v>
      </c>
      <c r="P57" s="212" t="s">
        <v>65</v>
      </c>
      <c r="Q57" s="212">
        <v>23</v>
      </c>
      <c r="R57" s="212" t="s">
        <v>65</v>
      </c>
      <c r="S57" s="212">
        <v>1</v>
      </c>
      <c r="T57" s="212" t="s">
        <v>65</v>
      </c>
      <c r="U57" s="212" t="s">
        <v>65</v>
      </c>
      <c r="V57" s="212">
        <v>73</v>
      </c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</row>
    <row r="58" spans="1:43" x14ac:dyDescent="0.3">
      <c r="A58" s="308"/>
      <c r="B58" s="97" t="s">
        <v>86</v>
      </c>
      <c r="C58" s="214">
        <v>2751</v>
      </c>
      <c r="D58" s="214">
        <v>226</v>
      </c>
      <c r="E58" s="214">
        <v>0</v>
      </c>
      <c r="F58" s="214">
        <v>1</v>
      </c>
      <c r="G58" s="214">
        <v>1169</v>
      </c>
      <c r="H58" s="214">
        <v>1</v>
      </c>
      <c r="I58" s="214">
        <v>8</v>
      </c>
      <c r="J58" s="214">
        <v>19</v>
      </c>
      <c r="K58" s="214">
        <v>0</v>
      </c>
      <c r="L58" s="214">
        <v>64</v>
      </c>
      <c r="M58" s="214">
        <v>0</v>
      </c>
      <c r="N58" s="214">
        <v>11</v>
      </c>
      <c r="O58" s="214">
        <v>224</v>
      </c>
      <c r="P58" s="214">
        <v>0</v>
      </c>
      <c r="Q58" s="214">
        <v>33</v>
      </c>
      <c r="R58" s="214">
        <v>9</v>
      </c>
      <c r="S58" s="214">
        <v>2715</v>
      </c>
      <c r="T58" s="214">
        <v>181</v>
      </c>
      <c r="U58" s="214">
        <v>165</v>
      </c>
      <c r="V58" s="214">
        <v>7576</v>
      </c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</row>
    <row r="59" spans="1:43" ht="16.5" customHeight="1" x14ac:dyDescent="0.3">
      <c r="A59" s="307" t="s">
        <v>144</v>
      </c>
      <c r="B59" s="95" t="s">
        <v>674</v>
      </c>
      <c r="C59" s="212">
        <v>447</v>
      </c>
      <c r="D59" s="212">
        <v>105</v>
      </c>
      <c r="E59" s="212" t="s">
        <v>65</v>
      </c>
      <c r="F59" s="212" t="s">
        <v>65</v>
      </c>
      <c r="G59" s="212" t="s">
        <v>65</v>
      </c>
      <c r="H59" s="212">
        <v>6</v>
      </c>
      <c r="I59" s="212">
        <v>1</v>
      </c>
      <c r="J59" s="212">
        <v>36</v>
      </c>
      <c r="K59" s="212" t="s">
        <v>65</v>
      </c>
      <c r="L59" s="212" t="s">
        <v>65</v>
      </c>
      <c r="M59" s="212">
        <v>50</v>
      </c>
      <c r="N59" s="212" t="s">
        <v>65</v>
      </c>
      <c r="O59" s="212">
        <v>14</v>
      </c>
      <c r="P59" s="212">
        <v>13</v>
      </c>
      <c r="Q59" s="212" t="s">
        <v>65</v>
      </c>
      <c r="R59" s="212">
        <v>20</v>
      </c>
      <c r="S59" s="212">
        <v>1</v>
      </c>
      <c r="T59" s="212">
        <v>1</v>
      </c>
      <c r="U59" s="212">
        <v>10</v>
      </c>
      <c r="V59" s="212">
        <v>704</v>
      </c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</row>
    <row r="60" spans="1:43" ht="16.5" customHeight="1" x14ac:dyDescent="0.3">
      <c r="A60" s="323"/>
      <c r="B60" s="95" t="s">
        <v>541</v>
      </c>
      <c r="C60" s="212">
        <v>735</v>
      </c>
      <c r="D60" s="212">
        <v>97</v>
      </c>
      <c r="E60" s="212" t="s">
        <v>65</v>
      </c>
      <c r="F60" s="212" t="s">
        <v>65</v>
      </c>
      <c r="G60" s="212" t="s">
        <v>65</v>
      </c>
      <c r="H60" s="212">
        <v>2</v>
      </c>
      <c r="I60" s="212">
        <v>3</v>
      </c>
      <c r="J60" s="212">
        <v>18</v>
      </c>
      <c r="K60" s="212" t="s">
        <v>65</v>
      </c>
      <c r="L60" s="212" t="s">
        <v>65</v>
      </c>
      <c r="M60" s="212">
        <v>28</v>
      </c>
      <c r="N60" s="212" t="s">
        <v>65</v>
      </c>
      <c r="O60" s="212">
        <v>16</v>
      </c>
      <c r="P60" s="212">
        <v>10</v>
      </c>
      <c r="Q60" s="212" t="s">
        <v>65</v>
      </c>
      <c r="R60" s="212">
        <v>10</v>
      </c>
      <c r="S60" s="212">
        <v>0</v>
      </c>
      <c r="T60" s="212">
        <v>1</v>
      </c>
      <c r="U60" s="212">
        <v>17</v>
      </c>
      <c r="V60" s="212">
        <v>937</v>
      </c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</row>
    <row r="61" spans="1:43" ht="16.5" customHeight="1" x14ac:dyDescent="0.3">
      <c r="A61" s="323"/>
      <c r="B61" s="95" t="s">
        <v>542</v>
      </c>
      <c r="C61" s="212">
        <v>225</v>
      </c>
      <c r="D61" s="212">
        <v>110</v>
      </c>
      <c r="E61" s="212" t="s">
        <v>65</v>
      </c>
      <c r="F61" s="212" t="s">
        <v>65</v>
      </c>
      <c r="G61" s="212" t="s">
        <v>65</v>
      </c>
      <c r="H61" s="212">
        <v>2</v>
      </c>
      <c r="I61" s="212">
        <v>10</v>
      </c>
      <c r="J61" s="212">
        <v>1</v>
      </c>
      <c r="K61" s="212" t="s">
        <v>65</v>
      </c>
      <c r="L61" s="212" t="s">
        <v>65</v>
      </c>
      <c r="M61" s="212">
        <v>3</v>
      </c>
      <c r="N61" s="212">
        <v>30</v>
      </c>
      <c r="O61" s="212" t="s">
        <v>65</v>
      </c>
      <c r="P61" s="212">
        <v>0</v>
      </c>
      <c r="Q61" s="212" t="s">
        <v>65</v>
      </c>
      <c r="R61" s="212">
        <v>1</v>
      </c>
      <c r="S61" s="212">
        <v>10</v>
      </c>
      <c r="T61" s="212">
        <v>259</v>
      </c>
      <c r="U61" s="212">
        <v>6</v>
      </c>
      <c r="V61" s="212">
        <v>656</v>
      </c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</row>
    <row r="62" spans="1:43" ht="16.5" customHeight="1" x14ac:dyDescent="0.3">
      <c r="A62" s="323"/>
      <c r="B62" s="95" t="s">
        <v>540</v>
      </c>
      <c r="C62" s="212">
        <v>1274</v>
      </c>
      <c r="D62" s="212">
        <v>301</v>
      </c>
      <c r="E62" s="212" t="s">
        <v>65</v>
      </c>
      <c r="F62" s="212" t="s">
        <v>65</v>
      </c>
      <c r="G62" s="212" t="s">
        <v>65</v>
      </c>
      <c r="H62" s="212">
        <v>4</v>
      </c>
      <c r="I62" s="212">
        <v>0</v>
      </c>
      <c r="J62" s="212">
        <v>38</v>
      </c>
      <c r="K62" s="212" t="s">
        <v>65</v>
      </c>
      <c r="L62" s="212" t="s">
        <v>65</v>
      </c>
      <c r="M62" s="212">
        <v>30</v>
      </c>
      <c r="N62" s="212" t="s">
        <v>65</v>
      </c>
      <c r="O62" s="212" t="s">
        <v>65</v>
      </c>
      <c r="P62" s="212">
        <v>1</v>
      </c>
      <c r="Q62" s="212" t="s">
        <v>65</v>
      </c>
      <c r="R62" s="212">
        <v>28</v>
      </c>
      <c r="S62" s="212">
        <v>5</v>
      </c>
      <c r="T62" s="212">
        <v>1</v>
      </c>
      <c r="U62" s="212">
        <v>16</v>
      </c>
      <c r="V62" s="212">
        <v>1699</v>
      </c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</row>
    <row r="63" spans="1:43" ht="16.5" customHeight="1" x14ac:dyDescent="0.3">
      <c r="A63" s="323"/>
      <c r="B63" s="95" t="s">
        <v>545</v>
      </c>
      <c r="C63" s="212">
        <v>255</v>
      </c>
      <c r="D63" s="212">
        <v>35</v>
      </c>
      <c r="E63" s="212" t="s">
        <v>65</v>
      </c>
      <c r="F63" s="212" t="s">
        <v>65</v>
      </c>
      <c r="G63" s="212" t="s">
        <v>65</v>
      </c>
      <c r="H63" s="212">
        <v>55</v>
      </c>
      <c r="I63" s="212">
        <v>26</v>
      </c>
      <c r="J63" s="212">
        <v>20</v>
      </c>
      <c r="K63" s="212" t="s">
        <v>65</v>
      </c>
      <c r="L63" s="212">
        <v>3</v>
      </c>
      <c r="M63" s="212">
        <v>20</v>
      </c>
      <c r="N63" s="212">
        <v>16</v>
      </c>
      <c r="O63" s="212">
        <v>482</v>
      </c>
      <c r="P63" s="212">
        <v>10</v>
      </c>
      <c r="Q63" s="212" t="s">
        <v>65</v>
      </c>
      <c r="R63" s="212">
        <v>315</v>
      </c>
      <c r="S63" s="212">
        <v>136</v>
      </c>
      <c r="T63" s="212">
        <v>11</v>
      </c>
      <c r="U63" s="212">
        <v>9</v>
      </c>
      <c r="V63" s="212">
        <v>1395</v>
      </c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</row>
    <row r="64" spans="1:43" ht="16.5" customHeight="1" x14ac:dyDescent="0.3">
      <c r="A64" s="323"/>
      <c r="B64" s="95" t="s">
        <v>544</v>
      </c>
      <c r="C64" s="212">
        <v>456</v>
      </c>
      <c r="D64" s="212">
        <v>60</v>
      </c>
      <c r="E64" s="212" t="s">
        <v>65</v>
      </c>
      <c r="F64" s="212" t="s">
        <v>65</v>
      </c>
      <c r="G64" s="212" t="s">
        <v>65</v>
      </c>
      <c r="H64" s="212">
        <v>19</v>
      </c>
      <c r="I64" s="212">
        <v>16</v>
      </c>
      <c r="J64" s="212">
        <v>6</v>
      </c>
      <c r="K64" s="212" t="s">
        <v>65</v>
      </c>
      <c r="L64" s="212">
        <v>9</v>
      </c>
      <c r="M64" s="212">
        <v>28</v>
      </c>
      <c r="N64" s="212">
        <v>5</v>
      </c>
      <c r="O64" s="212">
        <v>71</v>
      </c>
      <c r="P64" s="212">
        <v>4</v>
      </c>
      <c r="Q64" s="212" t="s">
        <v>65</v>
      </c>
      <c r="R64" s="212">
        <v>45</v>
      </c>
      <c r="S64" s="212">
        <v>15</v>
      </c>
      <c r="T64" s="212">
        <v>11</v>
      </c>
      <c r="U64" s="212">
        <v>1</v>
      </c>
      <c r="V64" s="212">
        <v>744</v>
      </c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</row>
    <row r="65" spans="1:43" ht="16.5" customHeight="1" x14ac:dyDescent="0.3">
      <c r="A65" s="323"/>
      <c r="B65" s="95" t="s">
        <v>546</v>
      </c>
      <c r="C65" s="212">
        <v>78</v>
      </c>
      <c r="D65" s="212">
        <v>7</v>
      </c>
      <c r="E65" s="212" t="s">
        <v>65</v>
      </c>
      <c r="F65" s="212" t="s">
        <v>65</v>
      </c>
      <c r="G65" s="212" t="s">
        <v>65</v>
      </c>
      <c r="H65" s="212">
        <v>1</v>
      </c>
      <c r="I65" s="212">
        <v>0</v>
      </c>
      <c r="J65" s="212" t="s">
        <v>65</v>
      </c>
      <c r="K65" s="212" t="s">
        <v>65</v>
      </c>
      <c r="L65" s="212" t="s">
        <v>65</v>
      </c>
      <c r="M65" s="212">
        <v>2</v>
      </c>
      <c r="N65" s="212" t="s">
        <v>65</v>
      </c>
      <c r="O65" s="212">
        <v>25</v>
      </c>
      <c r="P65" s="212">
        <v>2</v>
      </c>
      <c r="Q65" s="212" t="s">
        <v>65</v>
      </c>
      <c r="R65" s="212">
        <v>0</v>
      </c>
      <c r="S65" s="212">
        <v>16</v>
      </c>
      <c r="T65" s="212">
        <v>23</v>
      </c>
      <c r="U65" s="212">
        <v>5</v>
      </c>
      <c r="V65" s="212">
        <v>159</v>
      </c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</row>
    <row r="66" spans="1:43" ht="16.5" customHeight="1" x14ac:dyDescent="0.3">
      <c r="A66" s="323"/>
      <c r="B66" s="95" t="s">
        <v>675</v>
      </c>
      <c r="C66" s="212">
        <v>444</v>
      </c>
      <c r="D66" s="212">
        <v>62</v>
      </c>
      <c r="E66" s="212" t="s">
        <v>65</v>
      </c>
      <c r="F66" s="212" t="s">
        <v>65</v>
      </c>
      <c r="G66" s="212" t="s">
        <v>65</v>
      </c>
      <c r="H66" s="212">
        <v>1</v>
      </c>
      <c r="I66" s="212">
        <v>1</v>
      </c>
      <c r="J66" s="212">
        <v>6</v>
      </c>
      <c r="K66" s="212" t="s">
        <v>65</v>
      </c>
      <c r="L66" s="212" t="s">
        <v>65</v>
      </c>
      <c r="M66" s="212">
        <v>11</v>
      </c>
      <c r="N66" s="212" t="s">
        <v>65</v>
      </c>
      <c r="O66" s="212" t="s">
        <v>65</v>
      </c>
      <c r="P66" s="212">
        <v>1</v>
      </c>
      <c r="Q66" s="212" t="s">
        <v>65</v>
      </c>
      <c r="R66" s="212">
        <v>10</v>
      </c>
      <c r="S66" s="212" t="s">
        <v>65</v>
      </c>
      <c r="T66" s="212" t="s">
        <v>65</v>
      </c>
      <c r="U66" s="212">
        <v>5</v>
      </c>
      <c r="V66" s="212">
        <v>540</v>
      </c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</row>
    <row r="67" spans="1:43" ht="16.5" customHeight="1" x14ac:dyDescent="0.3">
      <c r="A67" s="323"/>
      <c r="B67" s="95" t="s">
        <v>676</v>
      </c>
      <c r="C67" s="212">
        <v>698</v>
      </c>
      <c r="D67" s="212">
        <v>92</v>
      </c>
      <c r="E67" s="212" t="s">
        <v>65</v>
      </c>
      <c r="F67" s="212" t="s">
        <v>65</v>
      </c>
      <c r="G67" s="212" t="s">
        <v>65</v>
      </c>
      <c r="H67" s="212">
        <v>11</v>
      </c>
      <c r="I67" s="212">
        <v>22</v>
      </c>
      <c r="J67" s="212">
        <v>52</v>
      </c>
      <c r="K67" s="212" t="s">
        <v>65</v>
      </c>
      <c r="L67" s="212" t="s">
        <v>65</v>
      </c>
      <c r="M67" s="212">
        <v>34</v>
      </c>
      <c r="N67" s="212" t="s">
        <v>65</v>
      </c>
      <c r="O67" s="212">
        <v>11</v>
      </c>
      <c r="P67" s="212">
        <v>18</v>
      </c>
      <c r="Q67" s="212" t="s">
        <v>65</v>
      </c>
      <c r="R67" s="212">
        <v>35</v>
      </c>
      <c r="S67" s="212">
        <v>6</v>
      </c>
      <c r="T67" s="212">
        <v>26</v>
      </c>
      <c r="U67" s="212">
        <v>24</v>
      </c>
      <c r="V67" s="212">
        <v>1027</v>
      </c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</row>
    <row r="68" spans="1:43" ht="16.5" customHeight="1" x14ac:dyDescent="0.3">
      <c r="A68" s="323"/>
      <c r="B68" s="95" t="s">
        <v>543</v>
      </c>
      <c r="C68" s="212">
        <v>1171</v>
      </c>
      <c r="D68" s="212">
        <v>148</v>
      </c>
      <c r="E68" s="212" t="s">
        <v>65</v>
      </c>
      <c r="F68" s="212" t="s">
        <v>65</v>
      </c>
      <c r="G68" s="212" t="s">
        <v>65</v>
      </c>
      <c r="H68" s="212">
        <v>30</v>
      </c>
      <c r="I68" s="212">
        <v>16</v>
      </c>
      <c r="J68" s="212">
        <v>88</v>
      </c>
      <c r="K68" s="212" t="s">
        <v>65</v>
      </c>
      <c r="L68" s="212">
        <v>9</v>
      </c>
      <c r="M68" s="212">
        <v>50</v>
      </c>
      <c r="N68" s="212">
        <v>2</v>
      </c>
      <c r="O68" s="212">
        <v>219</v>
      </c>
      <c r="P68" s="212">
        <v>3</v>
      </c>
      <c r="Q68" s="212" t="s">
        <v>65</v>
      </c>
      <c r="R68" s="212">
        <v>97</v>
      </c>
      <c r="S68" s="212">
        <v>13</v>
      </c>
      <c r="T68" s="212">
        <v>10</v>
      </c>
      <c r="U68" s="212">
        <v>18</v>
      </c>
      <c r="V68" s="212">
        <v>1877</v>
      </c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</row>
    <row r="69" spans="1:43" ht="16.5" customHeight="1" x14ac:dyDescent="0.3">
      <c r="A69" s="323"/>
      <c r="B69" s="95" t="s">
        <v>547</v>
      </c>
      <c r="C69" s="212">
        <v>1108</v>
      </c>
      <c r="D69" s="212">
        <v>51</v>
      </c>
      <c r="E69" s="212" t="s">
        <v>65</v>
      </c>
      <c r="F69" s="212" t="s">
        <v>65</v>
      </c>
      <c r="G69" s="212" t="s">
        <v>65</v>
      </c>
      <c r="H69" s="212">
        <v>8</v>
      </c>
      <c r="I69" s="212">
        <v>10</v>
      </c>
      <c r="J69" s="212">
        <v>35</v>
      </c>
      <c r="K69" s="212" t="s">
        <v>65</v>
      </c>
      <c r="L69" s="212" t="s">
        <v>65</v>
      </c>
      <c r="M69" s="212">
        <v>13</v>
      </c>
      <c r="N69" s="212" t="s">
        <v>65</v>
      </c>
      <c r="O69" s="212">
        <v>137</v>
      </c>
      <c r="P69" s="212">
        <v>2</v>
      </c>
      <c r="Q69" s="212" t="s">
        <v>65</v>
      </c>
      <c r="R69" s="212">
        <v>11</v>
      </c>
      <c r="S69" s="212" t="s">
        <v>65</v>
      </c>
      <c r="T69" s="212">
        <v>5</v>
      </c>
      <c r="U69" s="212">
        <v>2</v>
      </c>
      <c r="V69" s="212">
        <v>1380</v>
      </c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</row>
    <row r="70" spans="1:43" x14ac:dyDescent="0.3">
      <c r="A70" s="308"/>
      <c r="B70" s="97" t="s">
        <v>86</v>
      </c>
      <c r="C70" s="214">
        <v>6890</v>
      </c>
      <c r="D70" s="214">
        <v>1068</v>
      </c>
      <c r="E70" s="214">
        <v>0</v>
      </c>
      <c r="F70" s="214">
        <v>0</v>
      </c>
      <c r="G70" s="214">
        <v>0</v>
      </c>
      <c r="H70" s="214">
        <v>139</v>
      </c>
      <c r="I70" s="214">
        <v>105</v>
      </c>
      <c r="J70" s="214">
        <v>299</v>
      </c>
      <c r="K70" s="214">
        <v>0</v>
      </c>
      <c r="L70" s="214">
        <v>21</v>
      </c>
      <c r="M70" s="214">
        <v>272</v>
      </c>
      <c r="N70" s="214">
        <v>53</v>
      </c>
      <c r="O70" s="214">
        <v>973</v>
      </c>
      <c r="P70" s="214">
        <v>62</v>
      </c>
      <c r="Q70" s="214">
        <v>0</v>
      </c>
      <c r="R70" s="214">
        <v>572</v>
      </c>
      <c r="S70" s="214">
        <v>203</v>
      </c>
      <c r="T70" s="214">
        <v>348</v>
      </c>
      <c r="U70" s="214">
        <v>114</v>
      </c>
      <c r="V70" s="214">
        <v>11120</v>
      </c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</row>
    <row r="71" spans="1:43" ht="16.5" customHeight="1" x14ac:dyDescent="0.3">
      <c r="A71" s="307" t="s">
        <v>548</v>
      </c>
      <c r="B71" s="95" t="s">
        <v>677</v>
      </c>
      <c r="C71" s="212">
        <v>7</v>
      </c>
      <c r="D71" s="212">
        <v>1</v>
      </c>
      <c r="E71" s="212" t="s">
        <v>65</v>
      </c>
      <c r="F71" s="212" t="s">
        <v>65</v>
      </c>
      <c r="G71" s="212" t="s">
        <v>65</v>
      </c>
      <c r="H71" s="212">
        <v>13</v>
      </c>
      <c r="I71" s="212">
        <v>123</v>
      </c>
      <c r="J71" s="212">
        <v>8</v>
      </c>
      <c r="K71" s="212" t="s">
        <v>65</v>
      </c>
      <c r="L71" s="212" t="s">
        <v>65</v>
      </c>
      <c r="M71" s="212" t="s">
        <v>65</v>
      </c>
      <c r="N71" s="212">
        <v>6</v>
      </c>
      <c r="O71" s="212">
        <v>5</v>
      </c>
      <c r="P71" s="212" t="s">
        <v>65</v>
      </c>
      <c r="Q71" s="212" t="s">
        <v>65</v>
      </c>
      <c r="R71" s="212">
        <v>5</v>
      </c>
      <c r="S71" s="212">
        <v>11</v>
      </c>
      <c r="T71" s="212" t="s">
        <v>65</v>
      </c>
      <c r="U71" s="212" t="s">
        <v>65</v>
      </c>
      <c r="V71" s="212">
        <v>179</v>
      </c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</row>
    <row r="72" spans="1:43" ht="16.5" customHeight="1" x14ac:dyDescent="0.3">
      <c r="A72" s="323"/>
      <c r="B72" s="95" t="s">
        <v>678</v>
      </c>
      <c r="C72" s="212">
        <v>96</v>
      </c>
      <c r="D72" s="212">
        <v>54</v>
      </c>
      <c r="E72" s="212" t="s">
        <v>65</v>
      </c>
      <c r="F72" s="212" t="s">
        <v>65</v>
      </c>
      <c r="G72" s="212" t="s">
        <v>65</v>
      </c>
      <c r="H72" s="212">
        <v>139</v>
      </c>
      <c r="I72" s="212">
        <v>721</v>
      </c>
      <c r="J72" s="212">
        <v>4</v>
      </c>
      <c r="K72" s="212" t="s">
        <v>65</v>
      </c>
      <c r="L72" s="212" t="s">
        <v>65</v>
      </c>
      <c r="M72" s="212" t="s">
        <v>65</v>
      </c>
      <c r="N72" s="212">
        <v>5</v>
      </c>
      <c r="O72" s="212">
        <v>1</v>
      </c>
      <c r="P72" s="212">
        <v>1</v>
      </c>
      <c r="Q72" s="212" t="s">
        <v>65</v>
      </c>
      <c r="R72" s="212">
        <v>15</v>
      </c>
      <c r="S72" s="212" t="s">
        <v>65</v>
      </c>
      <c r="T72" s="212">
        <v>6</v>
      </c>
      <c r="U72" s="212">
        <v>12</v>
      </c>
      <c r="V72" s="212">
        <v>1054</v>
      </c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</row>
    <row r="73" spans="1:43" ht="16.5" customHeight="1" x14ac:dyDescent="0.3">
      <c r="A73" s="323"/>
      <c r="B73" s="95" t="s">
        <v>679</v>
      </c>
      <c r="C73" s="212">
        <v>32</v>
      </c>
      <c r="D73" s="212">
        <v>3</v>
      </c>
      <c r="E73" s="212" t="s">
        <v>65</v>
      </c>
      <c r="F73" s="212" t="s">
        <v>65</v>
      </c>
      <c r="G73" s="212" t="s">
        <v>65</v>
      </c>
      <c r="H73" s="212">
        <v>30</v>
      </c>
      <c r="I73" s="212">
        <v>142</v>
      </c>
      <c r="J73" s="212">
        <v>1</v>
      </c>
      <c r="K73" s="212" t="s">
        <v>65</v>
      </c>
      <c r="L73" s="212" t="s">
        <v>65</v>
      </c>
      <c r="M73" s="212" t="s">
        <v>65</v>
      </c>
      <c r="N73" s="212">
        <v>1</v>
      </c>
      <c r="O73" s="212">
        <v>2</v>
      </c>
      <c r="P73" s="212">
        <v>73</v>
      </c>
      <c r="Q73" s="212" t="s">
        <v>65</v>
      </c>
      <c r="R73" s="212">
        <v>6</v>
      </c>
      <c r="S73" s="212">
        <v>59</v>
      </c>
      <c r="T73" s="212" t="s">
        <v>65</v>
      </c>
      <c r="U73" s="212" t="s">
        <v>65</v>
      </c>
      <c r="V73" s="212">
        <v>348</v>
      </c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</row>
    <row r="74" spans="1:43" ht="16.5" customHeight="1" x14ac:dyDescent="0.3">
      <c r="A74" s="323"/>
      <c r="B74" s="95" t="s">
        <v>680</v>
      </c>
      <c r="C74" s="212">
        <v>59</v>
      </c>
      <c r="D74" s="212">
        <v>10</v>
      </c>
      <c r="E74" s="212" t="s">
        <v>65</v>
      </c>
      <c r="F74" s="212" t="s">
        <v>65</v>
      </c>
      <c r="G74" s="212" t="s">
        <v>65</v>
      </c>
      <c r="H74" s="212">
        <v>350</v>
      </c>
      <c r="I74" s="212">
        <v>317</v>
      </c>
      <c r="J74" s="212">
        <v>129</v>
      </c>
      <c r="K74" s="212" t="s">
        <v>65</v>
      </c>
      <c r="L74" s="212" t="s">
        <v>65</v>
      </c>
      <c r="M74" s="212" t="s">
        <v>65</v>
      </c>
      <c r="N74" s="212">
        <v>4</v>
      </c>
      <c r="O74" s="212">
        <v>114</v>
      </c>
      <c r="P74" s="212">
        <v>0</v>
      </c>
      <c r="Q74" s="212" t="s">
        <v>65</v>
      </c>
      <c r="R74" s="212">
        <v>64</v>
      </c>
      <c r="S74" s="212" t="s">
        <v>65</v>
      </c>
      <c r="T74" s="212" t="s">
        <v>65</v>
      </c>
      <c r="U74" s="212" t="s">
        <v>65</v>
      </c>
      <c r="V74" s="212">
        <v>1047</v>
      </c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</row>
    <row r="75" spans="1:43" ht="16.5" customHeight="1" x14ac:dyDescent="0.3">
      <c r="A75" s="323"/>
      <c r="B75" s="95" t="s">
        <v>555</v>
      </c>
      <c r="C75" s="212">
        <v>7</v>
      </c>
      <c r="D75" s="212">
        <v>6</v>
      </c>
      <c r="E75" s="212" t="s">
        <v>65</v>
      </c>
      <c r="F75" s="212" t="s">
        <v>65</v>
      </c>
      <c r="G75" s="212" t="s">
        <v>65</v>
      </c>
      <c r="H75" s="212">
        <v>48</v>
      </c>
      <c r="I75" s="212">
        <v>252</v>
      </c>
      <c r="J75" s="212">
        <v>15</v>
      </c>
      <c r="K75" s="212" t="s">
        <v>65</v>
      </c>
      <c r="L75" s="212" t="s">
        <v>65</v>
      </c>
      <c r="M75" s="212" t="s">
        <v>65</v>
      </c>
      <c r="N75" s="212" t="s">
        <v>65</v>
      </c>
      <c r="O75" s="212">
        <v>2</v>
      </c>
      <c r="P75" s="212" t="s">
        <v>65</v>
      </c>
      <c r="Q75" s="212" t="s">
        <v>65</v>
      </c>
      <c r="R75" s="212">
        <v>9</v>
      </c>
      <c r="S75" s="212" t="s">
        <v>65</v>
      </c>
      <c r="T75" s="212" t="s">
        <v>65</v>
      </c>
      <c r="U75" s="212" t="s">
        <v>65</v>
      </c>
      <c r="V75" s="212">
        <v>339</v>
      </c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</row>
    <row r="76" spans="1:43" ht="16.5" customHeight="1" x14ac:dyDescent="0.3">
      <c r="A76" s="323"/>
      <c r="B76" s="95" t="s">
        <v>552</v>
      </c>
      <c r="C76" s="212">
        <v>22</v>
      </c>
      <c r="D76" s="212">
        <v>17</v>
      </c>
      <c r="E76" s="212" t="s">
        <v>65</v>
      </c>
      <c r="F76" s="212">
        <v>0</v>
      </c>
      <c r="G76" s="212" t="s">
        <v>65</v>
      </c>
      <c r="H76" s="212">
        <v>35</v>
      </c>
      <c r="I76" s="212">
        <v>594</v>
      </c>
      <c r="J76" s="212">
        <v>22</v>
      </c>
      <c r="K76" s="212" t="s">
        <v>65</v>
      </c>
      <c r="L76" s="212" t="s">
        <v>65</v>
      </c>
      <c r="M76" s="212" t="s">
        <v>65</v>
      </c>
      <c r="N76" s="212">
        <v>2</v>
      </c>
      <c r="O76" s="212">
        <v>19</v>
      </c>
      <c r="P76" s="212" t="s">
        <v>65</v>
      </c>
      <c r="Q76" s="212" t="s">
        <v>65</v>
      </c>
      <c r="R76" s="212">
        <v>14</v>
      </c>
      <c r="S76" s="212" t="s">
        <v>65</v>
      </c>
      <c r="T76" s="212">
        <v>1</v>
      </c>
      <c r="U76" s="212">
        <v>1</v>
      </c>
      <c r="V76" s="212">
        <v>729</v>
      </c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</row>
    <row r="77" spans="1:43" ht="16.5" customHeight="1" x14ac:dyDescent="0.3">
      <c r="A77" s="323"/>
      <c r="B77" s="95" t="s">
        <v>551</v>
      </c>
      <c r="C77" s="212">
        <v>56</v>
      </c>
      <c r="D77" s="212">
        <v>12</v>
      </c>
      <c r="E77" s="212" t="s">
        <v>65</v>
      </c>
      <c r="F77" s="212" t="s">
        <v>65</v>
      </c>
      <c r="G77" s="212" t="s">
        <v>65</v>
      </c>
      <c r="H77" s="212">
        <v>56</v>
      </c>
      <c r="I77" s="212">
        <v>184</v>
      </c>
      <c r="J77" s="212">
        <v>1</v>
      </c>
      <c r="K77" s="212" t="s">
        <v>65</v>
      </c>
      <c r="L77" s="212" t="s">
        <v>65</v>
      </c>
      <c r="M77" s="212" t="s">
        <v>65</v>
      </c>
      <c r="N77" s="212">
        <v>4</v>
      </c>
      <c r="O77" s="212">
        <v>11</v>
      </c>
      <c r="P77" s="212">
        <v>20</v>
      </c>
      <c r="Q77" s="212" t="s">
        <v>65</v>
      </c>
      <c r="R77" s="212">
        <v>9</v>
      </c>
      <c r="S77" s="212" t="s">
        <v>65</v>
      </c>
      <c r="T77" s="212">
        <v>6</v>
      </c>
      <c r="U77" s="212" t="s">
        <v>65</v>
      </c>
      <c r="V77" s="212">
        <v>359</v>
      </c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</row>
    <row r="78" spans="1:43" ht="16.5" customHeight="1" x14ac:dyDescent="0.3">
      <c r="A78" s="323"/>
      <c r="B78" s="95" t="s">
        <v>553</v>
      </c>
      <c r="C78" s="212">
        <v>172</v>
      </c>
      <c r="D78" s="212">
        <v>57</v>
      </c>
      <c r="E78" s="212" t="s">
        <v>65</v>
      </c>
      <c r="F78" s="212" t="s">
        <v>65</v>
      </c>
      <c r="G78" s="212" t="s">
        <v>65</v>
      </c>
      <c r="H78" s="212">
        <v>91</v>
      </c>
      <c r="I78" s="212">
        <v>890</v>
      </c>
      <c r="J78" s="212">
        <v>51</v>
      </c>
      <c r="K78" s="212">
        <v>2</v>
      </c>
      <c r="L78" s="212" t="s">
        <v>65</v>
      </c>
      <c r="M78" s="212">
        <v>4</v>
      </c>
      <c r="N78" s="212" t="s">
        <v>65</v>
      </c>
      <c r="O78" s="212">
        <v>7</v>
      </c>
      <c r="P78" s="212">
        <v>2</v>
      </c>
      <c r="Q78" s="212" t="s">
        <v>65</v>
      </c>
      <c r="R78" s="212">
        <v>34</v>
      </c>
      <c r="S78" s="212" t="s">
        <v>65</v>
      </c>
      <c r="T78" s="212" t="s">
        <v>65</v>
      </c>
      <c r="U78" s="212" t="s">
        <v>65</v>
      </c>
      <c r="V78" s="212">
        <v>1310</v>
      </c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</row>
    <row r="79" spans="1:43" ht="16.5" customHeight="1" x14ac:dyDescent="0.3">
      <c r="A79" s="323"/>
      <c r="B79" s="95" t="s">
        <v>556</v>
      </c>
      <c r="C79" s="212">
        <v>18</v>
      </c>
      <c r="D79" s="212">
        <v>11</v>
      </c>
      <c r="E79" s="212" t="s">
        <v>65</v>
      </c>
      <c r="F79" s="212" t="s">
        <v>65</v>
      </c>
      <c r="G79" s="212" t="s">
        <v>65</v>
      </c>
      <c r="H79" s="212">
        <v>1</v>
      </c>
      <c r="I79" s="212">
        <v>7</v>
      </c>
      <c r="J79" s="212" t="s">
        <v>65</v>
      </c>
      <c r="K79" s="212" t="s">
        <v>65</v>
      </c>
      <c r="L79" s="212" t="s">
        <v>65</v>
      </c>
      <c r="M79" s="212" t="s">
        <v>65</v>
      </c>
      <c r="N79" s="212">
        <v>1193</v>
      </c>
      <c r="O79" s="212" t="s">
        <v>65</v>
      </c>
      <c r="P79" s="212" t="s">
        <v>65</v>
      </c>
      <c r="Q79" s="212" t="s">
        <v>65</v>
      </c>
      <c r="R79" s="212">
        <v>1</v>
      </c>
      <c r="S79" s="212">
        <v>1</v>
      </c>
      <c r="T79" s="212">
        <v>2</v>
      </c>
      <c r="U79" s="212">
        <v>1</v>
      </c>
      <c r="V79" s="212">
        <v>1235</v>
      </c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</row>
    <row r="80" spans="1:43" ht="16.5" customHeight="1" x14ac:dyDescent="0.3">
      <c r="A80" s="323"/>
      <c r="B80" s="95" t="s">
        <v>559</v>
      </c>
      <c r="C80" s="212">
        <v>63</v>
      </c>
      <c r="D80" s="212">
        <v>33</v>
      </c>
      <c r="E80" s="212" t="s">
        <v>65</v>
      </c>
      <c r="F80" s="212" t="s">
        <v>65</v>
      </c>
      <c r="G80" s="212" t="s">
        <v>65</v>
      </c>
      <c r="H80" s="212" t="s">
        <v>65</v>
      </c>
      <c r="I80" s="212">
        <v>2</v>
      </c>
      <c r="J80" s="212" t="s">
        <v>65</v>
      </c>
      <c r="K80" s="212" t="s">
        <v>65</v>
      </c>
      <c r="L80" s="212" t="s">
        <v>65</v>
      </c>
      <c r="M80" s="212" t="s">
        <v>65</v>
      </c>
      <c r="N80" s="212">
        <v>1</v>
      </c>
      <c r="O80" s="212">
        <v>10</v>
      </c>
      <c r="P80" s="212" t="s">
        <v>65</v>
      </c>
      <c r="Q80" s="212" t="s">
        <v>65</v>
      </c>
      <c r="R80" s="212">
        <v>20</v>
      </c>
      <c r="S80" s="212">
        <v>497</v>
      </c>
      <c r="T80" s="212" t="s">
        <v>65</v>
      </c>
      <c r="U80" s="212" t="s">
        <v>65</v>
      </c>
      <c r="V80" s="212">
        <v>626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</row>
    <row r="81" spans="1:43" ht="16.5" customHeight="1" x14ac:dyDescent="0.3">
      <c r="A81" s="323"/>
      <c r="B81" s="95" t="s">
        <v>560</v>
      </c>
      <c r="C81" s="212">
        <v>10</v>
      </c>
      <c r="D81" s="212">
        <v>4</v>
      </c>
      <c r="E81" s="212" t="s">
        <v>65</v>
      </c>
      <c r="F81" s="212" t="s">
        <v>65</v>
      </c>
      <c r="G81" s="212" t="s">
        <v>65</v>
      </c>
      <c r="H81" s="212" t="s">
        <v>65</v>
      </c>
      <c r="I81" s="212">
        <v>1</v>
      </c>
      <c r="J81" s="212" t="s">
        <v>65</v>
      </c>
      <c r="K81" s="212" t="s">
        <v>65</v>
      </c>
      <c r="L81" s="212" t="s">
        <v>65</v>
      </c>
      <c r="M81" s="212" t="s">
        <v>65</v>
      </c>
      <c r="N81" s="212" t="s">
        <v>65</v>
      </c>
      <c r="O81" s="212" t="s">
        <v>65</v>
      </c>
      <c r="P81" s="212">
        <v>17</v>
      </c>
      <c r="Q81" s="212" t="s">
        <v>65</v>
      </c>
      <c r="R81" s="212">
        <v>3</v>
      </c>
      <c r="S81" s="212">
        <v>235</v>
      </c>
      <c r="T81" s="212" t="s">
        <v>65</v>
      </c>
      <c r="U81" s="212" t="s">
        <v>65</v>
      </c>
      <c r="V81" s="212">
        <v>269</v>
      </c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</row>
    <row r="82" spans="1:43" ht="16.5" customHeight="1" x14ac:dyDescent="0.3">
      <c r="A82" s="323"/>
      <c r="B82" s="95" t="s">
        <v>554</v>
      </c>
      <c r="C82" s="212">
        <v>239</v>
      </c>
      <c r="D82" s="212">
        <v>55</v>
      </c>
      <c r="E82" s="212" t="s">
        <v>65</v>
      </c>
      <c r="F82" s="212" t="s">
        <v>65</v>
      </c>
      <c r="G82" s="212" t="s">
        <v>65</v>
      </c>
      <c r="H82" s="212">
        <v>589</v>
      </c>
      <c r="I82" s="212">
        <v>36</v>
      </c>
      <c r="J82" s="212">
        <v>8</v>
      </c>
      <c r="K82" s="212" t="s">
        <v>65</v>
      </c>
      <c r="L82" s="212" t="s">
        <v>65</v>
      </c>
      <c r="M82" s="212">
        <v>2</v>
      </c>
      <c r="N82" s="212">
        <v>1</v>
      </c>
      <c r="O82" s="212">
        <v>7</v>
      </c>
      <c r="P82" s="212">
        <v>6</v>
      </c>
      <c r="Q82" s="212" t="s">
        <v>65</v>
      </c>
      <c r="R82" s="212">
        <v>36</v>
      </c>
      <c r="S82" s="212" t="s">
        <v>65</v>
      </c>
      <c r="T82" s="212">
        <v>57</v>
      </c>
      <c r="U82" s="212">
        <v>3</v>
      </c>
      <c r="V82" s="212">
        <v>1036</v>
      </c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</row>
    <row r="83" spans="1:43" ht="16.5" customHeight="1" x14ac:dyDescent="0.3">
      <c r="A83" s="323"/>
      <c r="B83" s="95" t="s">
        <v>549</v>
      </c>
      <c r="C83" s="212">
        <v>138</v>
      </c>
      <c r="D83" s="212">
        <v>53</v>
      </c>
      <c r="E83" s="212" t="s">
        <v>65</v>
      </c>
      <c r="F83" s="212" t="s">
        <v>65</v>
      </c>
      <c r="G83" s="212" t="s">
        <v>65</v>
      </c>
      <c r="H83" s="212">
        <v>40</v>
      </c>
      <c r="I83" s="212">
        <v>1444</v>
      </c>
      <c r="J83" s="212">
        <v>7</v>
      </c>
      <c r="K83" s="212" t="s">
        <v>65</v>
      </c>
      <c r="L83" s="212" t="s">
        <v>65</v>
      </c>
      <c r="M83" s="212" t="s">
        <v>65</v>
      </c>
      <c r="N83" s="212">
        <v>1</v>
      </c>
      <c r="O83" s="212">
        <v>1</v>
      </c>
      <c r="P83" s="212" t="s">
        <v>65</v>
      </c>
      <c r="Q83" s="212" t="s">
        <v>65</v>
      </c>
      <c r="R83" s="212">
        <v>9</v>
      </c>
      <c r="S83" s="212" t="s">
        <v>65</v>
      </c>
      <c r="T83" s="212" t="s">
        <v>65</v>
      </c>
      <c r="U83" s="212" t="s">
        <v>65</v>
      </c>
      <c r="V83" s="212">
        <v>1694</v>
      </c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</row>
    <row r="84" spans="1:43" ht="16.5" customHeight="1" x14ac:dyDescent="0.3">
      <c r="A84" s="323"/>
      <c r="B84" s="95" t="s">
        <v>562</v>
      </c>
      <c r="C84" s="212">
        <v>351</v>
      </c>
      <c r="D84" s="212">
        <v>69</v>
      </c>
      <c r="E84" s="212" t="s">
        <v>65</v>
      </c>
      <c r="F84" s="212" t="s">
        <v>65</v>
      </c>
      <c r="G84" s="212" t="s">
        <v>65</v>
      </c>
      <c r="H84" s="212">
        <v>213</v>
      </c>
      <c r="I84" s="212">
        <v>171</v>
      </c>
      <c r="J84" s="212" t="s">
        <v>65</v>
      </c>
      <c r="K84" s="212" t="s">
        <v>65</v>
      </c>
      <c r="L84" s="212" t="s">
        <v>65</v>
      </c>
      <c r="M84" s="212">
        <v>1</v>
      </c>
      <c r="N84" s="212">
        <v>6</v>
      </c>
      <c r="O84" s="212">
        <v>34</v>
      </c>
      <c r="P84" s="212">
        <v>135</v>
      </c>
      <c r="Q84" s="212" t="s">
        <v>65</v>
      </c>
      <c r="R84" s="212">
        <v>87</v>
      </c>
      <c r="S84" s="212">
        <v>28</v>
      </c>
      <c r="T84" s="212" t="s">
        <v>65</v>
      </c>
      <c r="U84" s="212">
        <v>0</v>
      </c>
      <c r="V84" s="212">
        <v>1094</v>
      </c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</row>
    <row r="85" spans="1:43" ht="16.5" customHeight="1" x14ac:dyDescent="0.3">
      <c r="A85" s="323"/>
      <c r="B85" s="95" t="s">
        <v>563</v>
      </c>
      <c r="C85" s="212">
        <v>206</v>
      </c>
      <c r="D85" s="212">
        <v>44</v>
      </c>
      <c r="E85" s="212" t="s">
        <v>65</v>
      </c>
      <c r="F85" s="212" t="s">
        <v>65</v>
      </c>
      <c r="G85" s="212" t="s">
        <v>65</v>
      </c>
      <c r="H85" s="212">
        <v>70</v>
      </c>
      <c r="I85" s="212">
        <v>133</v>
      </c>
      <c r="J85" s="212" t="s">
        <v>65</v>
      </c>
      <c r="K85" s="212" t="s">
        <v>65</v>
      </c>
      <c r="L85" s="212" t="s">
        <v>65</v>
      </c>
      <c r="M85" s="212" t="s">
        <v>65</v>
      </c>
      <c r="N85" s="212">
        <v>13</v>
      </c>
      <c r="O85" s="212">
        <v>21</v>
      </c>
      <c r="P85" s="212">
        <v>24</v>
      </c>
      <c r="Q85" s="212" t="s">
        <v>65</v>
      </c>
      <c r="R85" s="212">
        <v>149</v>
      </c>
      <c r="S85" s="212">
        <v>29</v>
      </c>
      <c r="T85" s="212" t="s">
        <v>65</v>
      </c>
      <c r="U85" s="212">
        <v>2</v>
      </c>
      <c r="V85" s="212">
        <v>691</v>
      </c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</row>
    <row r="86" spans="1:43" ht="16.5" customHeight="1" x14ac:dyDescent="0.3">
      <c r="A86" s="323"/>
      <c r="B86" s="95" t="s">
        <v>681</v>
      </c>
      <c r="C86" s="212">
        <v>27</v>
      </c>
      <c r="D86" s="212">
        <v>1</v>
      </c>
      <c r="E86" s="212" t="s">
        <v>65</v>
      </c>
      <c r="F86" s="212" t="s">
        <v>65</v>
      </c>
      <c r="G86" s="212" t="s">
        <v>65</v>
      </c>
      <c r="H86" s="212">
        <v>13</v>
      </c>
      <c r="I86" s="212">
        <v>16</v>
      </c>
      <c r="J86" s="212" t="s">
        <v>65</v>
      </c>
      <c r="K86" s="212" t="s">
        <v>65</v>
      </c>
      <c r="L86" s="212" t="s">
        <v>65</v>
      </c>
      <c r="M86" s="212" t="s">
        <v>65</v>
      </c>
      <c r="N86" s="212">
        <v>0</v>
      </c>
      <c r="O86" s="212" t="s">
        <v>65</v>
      </c>
      <c r="P86" s="212">
        <v>1</v>
      </c>
      <c r="Q86" s="212" t="s">
        <v>65</v>
      </c>
      <c r="R86" s="212">
        <v>9</v>
      </c>
      <c r="S86" s="212" t="s">
        <v>65</v>
      </c>
      <c r="T86" s="212" t="s">
        <v>65</v>
      </c>
      <c r="U86" s="212" t="s">
        <v>65</v>
      </c>
      <c r="V86" s="212">
        <v>66</v>
      </c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</row>
    <row r="87" spans="1:43" ht="16.5" customHeight="1" x14ac:dyDescent="0.3">
      <c r="A87" s="323"/>
      <c r="B87" s="95" t="s">
        <v>561</v>
      </c>
      <c r="C87" s="212">
        <v>5</v>
      </c>
      <c r="D87" s="212">
        <v>2</v>
      </c>
      <c r="E87" s="212" t="s">
        <v>65</v>
      </c>
      <c r="F87" s="212" t="s">
        <v>65</v>
      </c>
      <c r="G87" s="212" t="s">
        <v>65</v>
      </c>
      <c r="H87" s="212" t="s">
        <v>65</v>
      </c>
      <c r="I87" s="212" t="s">
        <v>65</v>
      </c>
      <c r="J87" s="212" t="s">
        <v>65</v>
      </c>
      <c r="K87" s="212" t="s">
        <v>65</v>
      </c>
      <c r="L87" s="212" t="s">
        <v>65</v>
      </c>
      <c r="M87" s="212" t="s">
        <v>65</v>
      </c>
      <c r="N87" s="212" t="s">
        <v>65</v>
      </c>
      <c r="O87" s="212">
        <v>0</v>
      </c>
      <c r="P87" s="212">
        <v>1</v>
      </c>
      <c r="Q87" s="212" t="s">
        <v>65</v>
      </c>
      <c r="R87" s="212">
        <v>5</v>
      </c>
      <c r="S87" s="212">
        <v>196</v>
      </c>
      <c r="T87" s="212" t="s">
        <v>65</v>
      </c>
      <c r="U87" s="212" t="s">
        <v>65</v>
      </c>
      <c r="V87" s="212">
        <v>210</v>
      </c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</row>
    <row r="88" spans="1:43" ht="16.5" customHeight="1" x14ac:dyDescent="0.3">
      <c r="A88" s="323"/>
      <c r="B88" s="95" t="s">
        <v>550</v>
      </c>
      <c r="C88" s="212">
        <v>87</v>
      </c>
      <c r="D88" s="212">
        <v>38</v>
      </c>
      <c r="E88" s="212" t="s">
        <v>65</v>
      </c>
      <c r="F88" s="212" t="s">
        <v>65</v>
      </c>
      <c r="G88" s="212" t="s">
        <v>65</v>
      </c>
      <c r="H88" s="212">
        <v>192</v>
      </c>
      <c r="I88" s="212">
        <v>1857</v>
      </c>
      <c r="J88" s="212">
        <v>91</v>
      </c>
      <c r="K88" s="212" t="s">
        <v>65</v>
      </c>
      <c r="L88" s="212" t="s">
        <v>65</v>
      </c>
      <c r="M88" s="212">
        <v>1</v>
      </c>
      <c r="N88" s="212">
        <v>15</v>
      </c>
      <c r="O88" s="212">
        <v>3</v>
      </c>
      <c r="P88" s="212">
        <v>0</v>
      </c>
      <c r="Q88" s="212" t="s">
        <v>65</v>
      </c>
      <c r="R88" s="212">
        <v>20</v>
      </c>
      <c r="S88" s="212" t="s">
        <v>65</v>
      </c>
      <c r="T88" s="212" t="s">
        <v>65</v>
      </c>
      <c r="U88" s="212" t="s">
        <v>65</v>
      </c>
      <c r="V88" s="212">
        <v>2304</v>
      </c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</row>
    <row r="89" spans="1:43" ht="16.5" customHeight="1" x14ac:dyDescent="0.3">
      <c r="A89" s="323"/>
      <c r="B89" s="95" t="s">
        <v>558</v>
      </c>
      <c r="C89" s="212">
        <v>23</v>
      </c>
      <c r="D89" s="212">
        <v>15</v>
      </c>
      <c r="E89" s="212" t="s">
        <v>65</v>
      </c>
      <c r="F89" s="212" t="s">
        <v>65</v>
      </c>
      <c r="G89" s="212" t="s">
        <v>65</v>
      </c>
      <c r="H89" s="212">
        <v>1</v>
      </c>
      <c r="I89" s="212">
        <v>4</v>
      </c>
      <c r="J89" s="212">
        <v>7</v>
      </c>
      <c r="K89" s="212" t="s">
        <v>65</v>
      </c>
      <c r="L89" s="212" t="s">
        <v>65</v>
      </c>
      <c r="M89" s="212" t="s">
        <v>65</v>
      </c>
      <c r="N89" s="212">
        <v>78</v>
      </c>
      <c r="O89" s="212" t="s">
        <v>65</v>
      </c>
      <c r="P89" s="212" t="s">
        <v>65</v>
      </c>
      <c r="Q89" s="212" t="s">
        <v>65</v>
      </c>
      <c r="R89" s="212">
        <v>22</v>
      </c>
      <c r="S89" s="212">
        <v>6</v>
      </c>
      <c r="T89" s="212">
        <v>4</v>
      </c>
      <c r="U89" s="212">
        <v>5</v>
      </c>
      <c r="V89" s="212">
        <v>165</v>
      </c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</row>
    <row r="90" spans="1:43" ht="16.5" customHeight="1" x14ac:dyDescent="0.3">
      <c r="A90" s="323"/>
      <c r="B90" s="95" t="s">
        <v>557</v>
      </c>
      <c r="C90" s="212">
        <v>2</v>
      </c>
      <c r="D90" s="212">
        <v>3</v>
      </c>
      <c r="E90" s="212" t="s">
        <v>65</v>
      </c>
      <c r="F90" s="212" t="s">
        <v>65</v>
      </c>
      <c r="G90" s="212" t="s">
        <v>65</v>
      </c>
      <c r="H90" s="212">
        <v>1</v>
      </c>
      <c r="I90" s="212">
        <v>10</v>
      </c>
      <c r="J90" s="212" t="s">
        <v>65</v>
      </c>
      <c r="K90" s="212" t="s">
        <v>65</v>
      </c>
      <c r="L90" s="212" t="s">
        <v>65</v>
      </c>
      <c r="M90" s="212" t="s">
        <v>65</v>
      </c>
      <c r="N90" s="212">
        <v>27</v>
      </c>
      <c r="O90" s="212" t="s">
        <v>65</v>
      </c>
      <c r="P90" s="212" t="s">
        <v>65</v>
      </c>
      <c r="Q90" s="212" t="s">
        <v>65</v>
      </c>
      <c r="R90" s="212">
        <v>3</v>
      </c>
      <c r="S90" s="212" t="s">
        <v>65</v>
      </c>
      <c r="T90" s="212" t="s">
        <v>65</v>
      </c>
      <c r="U90" s="212" t="s">
        <v>65</v>
      </c>
      <c r="V90" s="212">
        <v>46</v>
      </c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</row>
    <row r="91" spans="1:43" ht="16.5" customHeight="1" x14ac:dyDescent="0.3">
      <c r="A91" s="323"/>
      <c r="B91" s="95" t="s">
        <v>564</v>
      </c>
      <c r="C91" s="212">
        <v>292</v>
      </c>
      <c r="D91" s="212">
        <v>20</v>
      </c>
      <c r="E91" s="212" t="s">
        <v>65</v>
      </c>
      <c r="F91" s="212" t="s">
        <v>65</v>
      </c>
      <c r="G91" s="212" t="s">
        <v>65</v>
      </c>
      <c r="H91" s="212">
        <v>223</v>
      </c>
      <c r="I91" s="212">
        <v>699</v>
      </c>
      <c r="J91" s="212">
        <v>12</v>
      </c>
      <c r="K91" s="212" t="s">
        <v>65</v>
      </c>
      <c r="L91" s="212" t="s">
        <v>65</v>
      </c>
      <c r="M91" s="212" t="s">
        <v>65</v>
      </c>
      <c r="N91" s="212">
        <v>36</v>
      </c>
      <c r="O91" s="212">
        <v>44</v>
      </c>
      <c r="P91" s="212">
        <v>5</v>
      </c>
      <c r="Q91" s="212" t="s">
        <v>65</v>
      </c>
      <c r="R91" s="212">
        <v>15</v>
      </c>
      <c r="S91" s="212">
        <v>1000</v>
      </c>
      <c r="T91" s="212" t="s">
        <v>65</v>
      </c>
      <c r="U91" s="212" t="s">
        <v>65</v>
      </c>
      <c r="V91" s="212">
        <v>2345</v>
      </c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</row>
    <row r="92" spans="1:43" x14ac:dyDescent="0.3">
      <c r="A92" s="308"/>
      <c r="B92" s="97" t="s">
        <v>86</v>
      </c>
      <c r="C92" s="214">
        <v>1914</v>
      </c>
      <c r="D92" s="214">
        <v>508</v>
      </c>
      <c r="E92" s="214">
        <v>0</v>
      </c>
      <c r="F92" s="214">
        <v>0</v>
      </c>
      <c r="G92" s="214">
        <v>0</v>
      </c>
      <c r="H92" s="214">
        <v>2104</v>
      </c>
      <c r="I92" s="214">
        <v>7601</v>
      </c>
      <c r="J92" s="214">
        <v>355</v>
      </c>
      <c r="K92" s="214">
        <v>2</v>
      </c>
      <c r="L92" s="214">
        <v>0</v>
      </c>
      <c r="M92" s="214">
        <v>8</v>
      </c>
      <c r="N92" s="214">
        <v>1393</v>
      </c>
      <c r="O92" s="214">
        <v>281</v>
      </c>
      <c r="P92" s="214">
        <v>283</v>
      </c>
      <c r="Q92" s="214">
        <v>0</v>
      </c>
      <c r="R92" s="214">
        <v>533</v>
      </c>
      <c r="S92" s="214">
        <v>2061</v>
      </c>
      <c r="T92" s="214">
        <v>76</v>
      </c>
      <c r="U92" s="214">
        <v>24</v>
      </c>
      <c r="V92" s="214">
        <v>17146</v>
      </c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</row>
    <row r="93" spans="1:43" ht="16.5" customHeight="1" x14ac:dyDescent="0.3">
      <c r="A93" s="307" t="s">
        <v>145</v>
      </c>
      <c r="B93" s="95" t="s">
        <v>569</v>
      </c>
      <c r="C93" s="212">
        <v>171</v>
      </c>
      <c r="D93" s="212">
        <v>48</v>
      </c>
      <c r="E93" s="212" t="s">
        <v>65</v>
      </c>
      <c r="F93" s="212" t="s">
        <v>65</v>
      </c>
      <c r="G93" s="212" t="s">
        <v>65</v>
      </c>
      <c r="H93" s="212" t="s">
        <v>65</v>
      </c>
      <c r="I93" s="212" t="s">
        <v>65</v>
      </c>
      <c r="J93" s="212">
        <v>9</v>
      </c>
      <c r="K93" s="212" t="s">
        <v>65</v>
      </c>
      <c r="L93" s="212" t="s">
        <v>65</v>
      </c>
      <c r="M93" s="212">
        <v>11</v>
      </c>
      <c r="N93" s="212">
        <v>2</v>
      </c>
      <c r="O93" s="212">
        <v>13</v>
      </c>
      <c r="P93" s="212" t="s">
        <v>65</v>
      </c>
      <c r="Q93" s="212" t="s">
        <v>65</v>
      </c>
      <c r="R93" s="212">
        <v>3</v>
      </c>
      <c r="S93" s="212" t="s">
        <v>65</v>
      </c>
      <c r="T93" s="212" t="s">
        <v>65</v>
      </c>
      <c r="U93" s="212" t="s">
        <v>65</v>
      </c>
      <c r="V93" s="212">
        <v>257</v>
      </c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</row>
    <row r="94" spans="1:43" ht="16.5" customHeight="1" x14ac:dyDescent="0.3">
      <c r="A94" s="323"/>
      <c r="B94" s="95" t="s">
        <v>682</v>
      </c>
      <c r="C94" s="212">
        <v>414</v>
      </c>
      <c r="D94" s="212">
        <v>14</v>
      </c>
      <c r="E94" s="212" t="s">
        <v>65</v>
      </c>
      <c r="F94" s="212" t="s">
        <v>65</v>
      </c>
      <c r="G94" s="212" t="s">
        <v>65</v>
      </c>
      <c r="H94" s="212">
        <v>2</v>
      </c>
      <c r="I94" s="212">
        <v>0</v>
      </c>
      <c r="J94" s="212">
        <v>16</v>
      </c>
      <c r="K94" s="212" t="s">
        <v>65</v>
      </c>
      <c r="L94" s="212" t="s">
        <v>65</v>
      </c>
      <c r="M94" s="212">
        <v>42</v>
      </c>
      <c r="N94" s="212" t="s">
        <v>65</v>
      </c>
      <c r="O94" s="212">
        <v>73</v>
      </c>
      <c r="P94" s="212">
        <v>162</v>
      </c>
      <c r="Q94" s="212" t="s">
        <v>65</v>
      </c>
      <c r="R94" s="212">
        <v>8</v>
      </c>
      <c r="S94" s="212" t="s">
        <v>65</v>
      </c>
      <c r="T94" s="212">
        <v>60</v>
      </c>
      <c r="U94" s="212">
        <v>7</v>
      </c>
      <c r="V94" s="212">
        <v>797</v>
      </c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</row>
    <row r="95" spans="1:43" ht="16.5" customHeight="1" x14ac:dyDescent="0.3">
      <c r="A95" s="323"/>
      <c r="B95" s="95" t="s">
        <v>568</v>
      </c>
      <c r="C95" s="212">
        <v>166</v>
      </c>
      <c r="D95" s="212">
        <v>56</v>
      </c>
      <c r="E95" s="212" t="s">
        <v>65</v>
      </c>
      <c r="F95" s="212">
        <v>1</v>
      </c>
      <c r="G95" s="212" t="s">
        <v>65</v>
      </c>
      <c r="H95" s="212">
        <v>0</v>
      </c>
      <c r="I95" s="212">
        <v>2</v>
      </c>
      <c r="J95" s="212">
        <v>9</v>
      </c>
      <c r="K95" s="212" t="s">
        <v>65</v>
      </c>
      <c r="L95" s="212">
        <v>8</v>
      </c>
      <c r="M95" s="212">
        <v>172</v>
      </c>
      <c r="N95" s="212">
        <v>3</v>
      </c>
      <c r="O95" s="212">
        <v>32</v>
      </c>
      <c r="P95" s="212">
        <v>22</v>
      </c>
      <c r="Q95" s="212" t="s">
        <v>65</v>
      </c>
      <c r="R95" s="212">
        <v>20</v>
      </c>
      <c r="S95" s="212" t="s">
        <v>65</v>
      </c>
      <c r="T95" s="212">
        <v>9</v>
      </c>
      <c r="U95" s="212">
        <v>114</v>
      </c>
      <c r="V95" s="212">
        <v>614</v>
      </c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</row>
    <row r="96" spans="1:43" ht="16.5" customHeight="1" x14ac:dyDescent="0.3">
      <c r="A96" s="323"/>
      <c r="B96" s="95" t="s">
        <v>571</v>
      </c>
      <c r="C96" s="212">
        <v>11</v>
      </c>
      <c r="D96" s="212">
        <v>2</v>
      </c>
      <c r="E96" s="212" t="s">
        <v>65</v>
      </c>
      <c r="F96" s="212" t="s">
        <v>65</v>
      </c>
      <c r="G96" s="212" t="s">
        <v>65</v>
      </c>
      <c r="H96" s="212">
        <v>4</v>
      </c>
      <c r="I96" s="212" t="s">
        <v>65</v>
      </c>
      <c r="J96" s="212">
        <v>2</v>
      </c>
      <c r="K96" s="212" t="s">
        <v>65</v>
      </c>
      <c r="L96" s="212" t="s">
        <v>65</v>
      </c>
      <c r="M96" s="212" t="s">
        <v>65</v>
      </c>
      <c r="N96" s="212" t="s">
        <v>65</v>
      </c>
      <c r="O96" s="212">
        <v>3</v>
      </c>
      <c r="P96" s="212">
        <v>135</v>
      </c>
      <c r="Q96" s="212" t="s">
        <v>65</v>
      </c>
      <c r="R96" s="212">
        <v>7</v>
      </c>
      <c r="S96" s="212" t="s">
        <v>65</v>
      </c>
      <c r="T96" s="212" t="s">
        <v>65</v>
      </c>
      <c r="U96" s="212">
        <v>5</v>
      </c>
      <c r="V96" s="212">
        <v>169</v>
      </c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</row>
    <row r="97" spans="1:43" ht="16.5" customHeight="1" x14ac:dyDescent="0.3">
      <c r="A97" s="323"/>
      <c r="B97" s="95" t="s">
        <v>683</v>
      </c>
      <c r="C97" s="212">
        <v>2443</v>
      </c>
      <c r="D97" s="212">
        <v>260</v>
      </c>
      <c r="E97" s="212" t="s">
        <v>65</v>
      </c>
      <c r="F97" s="212" t="s">
        <v>65</v>
      </c>
      <c r="G97" s="212" t="s">
        <v>65</v>
      </c>
      <c r="H97" s="212">
        <v>20</v>
      </c>
      <c r="I97" s="212">
        <v>1</v>
      </c>
      <c r="J97" s="212">
        <v>1062</v>
      </c>
      <c r="K97" s="212" t="s">
        <v>65</v>
      </c>
      <c r="L97" s="212">
        <v>70</v>
      </c>
      <c r="M97" s="212">
        <v>1111</v>
      </c>
      <c r="N97" s="212">
        <v>5</v>
      </c>
      <c r="O97" s="212">
        <v>925</v>
      </c>
      <c r="P97" s="212">
        <v>110</v>
      </c>
      <c r="Q97" s="212" t="s">
        <v>65</v>
      </c>
      <c r="R97" s="212">
        <v>390</v>
      </c>
      <c r="S97" s="212">
        <v>11</v>
      </c>
      <c r="T97" s="212">
        <v>1</v>
      </c>
      <c r="U97" s="212">
        <v>322</v>
      </c>
      <c r="V97" s="212">
        <v>6732</v>
      </c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</row>
    <row r="98" spans="1:43" ht="16.5" customHeight="1" x14ac:dyDescent="0.3">
      <c r="A98" s="323"/>
      <c r="B98" s="95" t="s">
        <v>572</v>
      </c>
      <c r="C98" s="212">
        <v>14</v>
      </c>
      <c r="D98" s="212">
        <v>6</v>
      </c>
      <c r="E98" s="212" t="s">
        <v>65</v>
      </c>
      <c r="F98" s="212" t="s">
        <v>65</v>
      </c>
      <c r="G98" s="212" t="s">
        <v>65</v>
      </c>
      <c r="H98" s="212">
        <v>1</v>
      </c>
      <c r="I98" s="212">
        <v>2</v>
      </c>
      <c r="J98" s="212" t="s">
        <v>65</v>
      </c>
      <c r="K98" s="212" t="s">
        <v>65</v>
      </c>
      <c r="L98" s="212" t="s">
        <v>65</v>
      </c>
      <c r="M98" s="212">
        <v>2</v>
      </c>
      <c r="N98" s="212" t="s">
        <v>65</v>
      </c>
      <c r="O98" s="212" t="s">
        <v>65</v>
      </c>
      <c r="P98" s="212">
        <v>9</v>
      </c>
      <c r="Q98" s="212" t="s">
        <v>65</v>
      </c>
      <c r="R98" s="212">
        <v>10</v>
      </c>
      <c r="S98" s="212" t="s">
        <v>65</v>
      </c>
      <c r="T98" s="212" t="s">
        <v>65</v>
      </c>
      <c r="U98" s="212" t="s">
        <v>65</v>
      </c>
      <c r="V98" s="212">
        <v>44</v>
      </c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</row>
    <row r="99" spans="1:43" ht="16.5" customHeight="1" x14ac:dyDescent="0.3">
      <c r="A99" s="323"/>
      <c r="B99" s="95" t="s">
        <v>684</v>
      </c>
      <c r="C99" s="212">
        <v>1211</v>
      </c>
      <c r="D99" s="212">
        <v>110</v>
      </c>
      <c r="E99" s="212" t="s">
        <v>65</v>
      </c>
      <c r="F99" s="212" t="s">
        <v>65</v>
      </c>
      <c r="G99" s="212" t="s">
        <v>65</v>
      </c>
      <c r="H99" s="212">
        <v>4</v>
      </c>
      <c r="I99" s="212" t="s">
        <v>65</v>
      </c>
      <c r="J99" s="212">
        <v>1261</v>
      </c>
      <c r="K99" s="212">
        <v>14</v>
      </c>
      <c r="L99" s="212">
        <v>12</v>
      </c>
      <c r="M99" s="212">
        <v>544</v>
      </c>
      <c r="N99" s="212">
        <v>2</v>
      </c>
      <c r="O99" s="212">
        <v>980</v>
      </c>
      <c r="P99" s="212">
        <v>17</v>
      </c>
      <c r="Q99" s="212" t="s">
        <v>65</v>
      </c>
      <c r="R99" s="212">
        <v>795</v>
      </c>
      <c r="S99" s="212">
        <v>4</v>
      </c>
      <c r="T99" s="212" t="s">
        <v>65</v>
      </c>
      <c r="U99" s="212">
        <v>18</v>
      </c>
      <c r="V99" s="212">
        <v>4973</v>
      </c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</row>
    <row r="100" spans="1:43" ht="16.5" customHeight="1" x14ac:dyDescent="0.3">
      <c r="A100" s="323"/>
      <c r="B100" s="95" t="s">
        <v>685</v>
      </c>
      <c r="C100" s="212">
        <v>90</v>
      </c>
      <c r="D100" s="212">
        <v>1</v>
      </c>
      <c r="E100" s="212" t="s">
        <v>65</v>
      </c>
      <c r="F100" s="212" t="s">
        <v>65</v>
      </c>
      <c r="G100" s="212" t="s">
        <v>65</v>
      </c>
      <c r="H100" s="212" t="s">
        <v>65</v>
      </c>
      <c r="I100" s="212" t="s">
        <v>65</v>
      </c>
      <c r="J100" s="212">
        <v>50</v>
      </c>
      <c r="K100" s="212" t="s">
        <v>65</v>
      </c>
      <c r="L100" s="212" t="s">
        <v>65</v>
      </c>
      <c r="M100" s="212">
        <v>51</v>
      </c>
      <c r="N100" s="212" t="s">
        <v>65</v>
      </c>
      <c r="O100" s="212">
        <v>119</v>
      </c>
      <c r="P100" s="212">
        <v>127</v>
      </c>
      <c r="Q100" s="212" t="s">
        <v>65</v>
      </c>
      <c r="R100" s="212">
        <v>18</v>
      </c>
      <c r="S100" s="212" t="s">
        <v>65</v>
      </c>
      <c r="T100" s="212" t="s">
        <v>65</v>
      </c>
      <c r="U100" s="212">
        <v>0</v>
      </c>
      <c r="V100" s="212">
        <v>456</v>
      </c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</row>
    <row r="101" spans="1:43" ht="16.5" customHeight="1" x14ac:dyDescent="0.3">
      <c r="A101" s="323"/>
      <c r="B101" s="95" t="s">
        <v>686</v>
      </c>
      <c r="C101" s="212">
        <v>237</v>
      </c>
      <c r="D101" s="212">
        <v>27</v>
      </c>
      <c r="E101" s="212" t="s">
        <v>65</v>
      </c>
      <c r="F101" s="212" t="s">
        <v>65</v>
      </c>
      <c r="G101" s="212" t="s">
        <v>65</v>
      </c>
      <c r="H101" s="212">
        <v>7</v>
      </c>
      <c r="I101" s="212" t="s">
        <v>65</v>
      </c>
      <c r="J101" s="212">
        <v>69</v>
      </c>
      <c r="K101" s="212" t="s">
        <v>65</v>
      </c>
      <c r="L101" s="212" t="s">
        <v>65</v>
      </c>
      <c r="M101" s="212">
        <v>390</v>
      </c>
      <c r="N101" s="212" t="s">
        <v>65</v>
      </c>
      <c r="O101" s="212">
        <v>445</v>
      </c>
      <c r="P101" s="212">
        <v>4</v>
      </c>
      <c r="Q101" s="212" t="s">
        <v>65</v>
      </c>
      <c r="R101" s="212">
        <v>112</v>
      </c>
      <c r="S101" s="212" t="s">
        <v>65</v>
      </c>
      <c r="T101" s="212" t="s">
        <v>65</v>
      </c>
      <c r="U101" s="212">
        <v>49</v>
      </c>
      <c r="V101" s="212">
        <v>1342</v>
      </c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</row>
    <row r="102" spans="1:43" ht="16.5" customHeight="1" x14ac:dyDescent="0.3">
      <c r="A102" s="323"/>
      <c r="B102" s="95" t="s">
        <v>565</v>
      </c>
      <c r="C102" s="212">
        <v>2485</v>
      </c>
      <c r="D102" s="212">
        <v>462</v>
      </c>
      <c r="E102" s="212" t="s">
        <v>65</v>
      </c>
      <c r="F102" s="212" t="s">
        <v>65</v>
      </c>
      <c r="G102" s="212" t="s">
        <v>65</v>
      </c>
      <c r="H102" s="212">
        <v>6</v>
      </c>
      <c r="I102" s="212" t="s">
        <v>65</v>
      </c>
      <c r="J102" s="212">
        <v>72</v>
      </c>
      <c r="K102" s="212" t="s">
        <v>65</v>
      </c>
      <c r="L102" s="212">
        <v>6</v>
      </c>
      <c r="M102" s="212">
        <v>320</v>
      </c>
      <c r="N102" s="212" t="s">
        <v>65</v>
      </c>
      <c r="O102" s="212">
        <v>20</v>
      </c>
      <c r="P102" s="212">
        <v>19</v>
      </c>
      <c r="Q102" s="212" t="s">
        <v>65</v>
      </c>
      <c r="R102" s="212">
        <v>43</v>
      </c>
      <c r="S102" s="212">
        <v>3</v>
      </c>
      <c r="T102" s="212">
        <v>0</v>
      </c>
      <c r="U102" s="212">
        <v>137</v>
      </c>
      <c r="V102" s="212">
        <v>3572</v>
      </c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</row>
    <row r="103" spans="1:43" ht="16.5" customHeight="1" x14ac:dyDescent="0.3">
      <c r="A103" s="323"/>
      <c r="B103" s="95" t="s">
        <v>573</v>
      </c>
      <c r="C103" s="212">
        <v>18</v>
      </c>
      <c r="D103" s="212">
        <v>0</v>
      </c>
      <c r="E103" s="212" t="s">
        <v>65</v>
      </c>
      <c r="F103" s="212" t="s">
        <v>65</v>
      </c>
      <c r="G103" s="212" t="s">
        <v>65</v>
      </c>
      <c r="H103" s="212">
        <v>2</v>
      </c>
      <c r="I103" s="212" t="s">
        <v>65</v>
      </c>
      <c r="J103" s="212">
        <v>21</v>
      </c>
      <c r="K103" s="212" t="s">
        <v>65</v>
      </c>
      <c r="L103" s="212" t="s">
        <v>65</v>
      </c>
      <c r="M103" s="212">
        <v>16</v>
      </c>
      <c r="N103" s="212" t="s">
        <v>65</v>
      </c>
      <c r="O103" s="212">
        <v>23</v>
      </c>
      <c r="P103" s="212">
        <v>166</v>
      </c>
      <c r="Q103" s="212" t="s">
        <v>65</v>
      </c>
      <c r="R103" s="212">
        <v>14</v>
      </c>
      <c r="S103" s="212" t="s">
        <v>65</v>
      </c>
      <c r="T103" s="212" t="s">
        <v>65</v>
      </c>
      <c r="U103" s="212">
        <v>0</v>
      </c>
      <c r="V103" s="212">
        <v>260</v>
      </c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</row>
    <row r="104" spans="1:43" ht="16.5" customHeight="1" x14ac:dyDescent="0.3">
      <c r="A104" s="323"/>
      <c r="B104" s="95" t="s">
        <v>566</v>
      </c>
      <c r="C104" s="212">
        <v>1523</v>
      </c>
      <c r="D104" s="212">
        <v>249</v>
      </c>
      <c r="E104" s="212" t="s">
        <v>65</v>
      </c>
      <c r="F104" s="212" t="s">
        <v>65</v>
      </c>
      <c r="G104" s="212" t="s">
        <v>65</v>
      </c>
      <c r="H104" s="212">
        <v>3</v>
      </c>
      <c r="I104" s="212">
        <v>0</v>
      </c>
      <c r="J104" s="212">
        <v>222</v>
      </c>
      <c r="K104" s="212" t="s">
        <v>65</v>
      </c>
      <c r="L104" s="212" t="s">
        <v>65</v>
      </c>
      <c r="M104" s="212">
        <v>1194</v>
      </c>
      <c r="N104" s="212">
        <v>9</v>
      </c>
      <c r="O104" s="212">
        <v>55</v>
      </c>
      <c r="P104" s="212">
        <v>45</v>
      </c>
      <c r="Q104" s="212" t="s">
        <v>65</v>
      </c>
      <c r="R104" s="212">
        <v>40</v>
      </c>
      <c r="S104" s="212">
        <v>2</v>
      </c>
      <c r="T104" s="212">
        <v>10</v>
      </c>
      <c r="U104" s="212">
        <v>205</v>
      </c>
      <c r="V104" s="212">
        <v>3557</v>
      </c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</row>
    <row r="105" spans="1:43" ht="16.5" customHeight="1" x14ac:dyDescent="0.3">
      <c r="A105" s="323"/>
      <c r="B105" s="95" t="s">
        <v>570</v>
      </c>
      <c r="C105" s="212">
        <v>273</v>
      </c>
      <c r="D105" s="212">
        <v>46</v>
      </c>
      <c r="E105" s="212" t="s">
        <v>65</v>
      </c>
      <c r="F105" s="212" t="s">
        <v>65</v>
      </c>
      <c r="G105" s="212" t="s">
        <v>65</v>
      </c>
      <c r="H105" s="212" t="s">
        <v>65</v>
      </c>
      <c r="I105" s="212">
        <v>1</v>
      </c>
      <c r="J105" s="212">
        <v>64</v>
      </c>
      <c r="K105" s="212" t="s">
        <v>65</v>
      </c>
      <c r="L105" s="212" t="s">
        <v>65</v>
      </c>
      <c r="M105" s="212">
        <v>36</v>
      </c>
      <c r="N105" s="212" t="s">
        <v>65</v>
      </c>
      <c r="O105" s="212">
        <v>30</v>
      </c>
      <c r="P105" s="212">
        <v>3</v>
      </c>
      <c r="Q105" s="212" t="s">
        <v>65</v>
      </c>
      <c r="R105" s="212">
        <v>48</v>
      </c>
      <c r="S105" s="212">
        <v>2</v>
      </c>
      <c r="T105" s="212" t="s">
        <v>65</v>
      </c>
      <c r="U105" s="212" t="s">
        <v>65</v>
      </c>
      <c r="V105" s="212">
        <v>503</v>
      </c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</row>
    <row r="106" spans="1:43" ht="16.5" customHeight="1" x14ac:dyDescent="0.3">
      <c r="A106" s="323"/>
      <c r="B106" s="95" t="s">
        <v>567</v>
      </c>
      <c r="C106" s="212">
        <v>758</v>
      </c>
      <c r="D106" s="212">
        <v>41</v>
      </c>
      <c r="E106" s="212" t="s">
        <v>65</v>
      </c>
      <c r="F106" s="212" t="s">
        <v>65</v>
      </c>
      <c r="G106" s="212" t="s">
        <v>65</v>
      </c>
      <c r="H106" s="212" t="s">
        <v>65</v>
      </c>
      <c r="I106" s="212" t="s">
        <v>65</v>
      </c>
      <c r="J106" s="212" t="s">
        <v>65</v>
      </c>
      <c r="K106" s="212" t="s">
        <v>65</v>
      </c>
      <c r="L106" s="212" t="s">
        <v>65</v>
      </c>
      <c r="M106" s="212">
        <v>188</v>
      </c>
      <c r="N106" s="212">
        <v>2</v>
      </c>
      <c r="O106" s="212">
        <v>7</v>
      </c>
      <c r="P106" s="212">
        <v>14</v>
      </c>
      <c r="Q106" s="212" t="s">
        <v>65</v>
      </c>
      <c r="R106" s="212">
        <v>4</v>
      </c>
      <c r="S106" s="212" t="s">
        <v>65</v>
      </c>
      <c r="T106" s="212" t="s">
        <v>65</v>
      </c>
      <c r="U106" s="212" t="s">
        <v>65</v>
      </c>
      <c r="V106" s="212">
        <v>1013</v>
      </c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</row>
    <row r="107" spans="1:43" ht="16.5" customHeight="1" x14ac:dyDescent="0.3">
      <c r="A107" s="323"/>
      <c r="B107" s="95" t="s">
        <v>574</v>
      </c>
      <c r="C107" s="212">
        <v>667</v>
      </c>
      <c r="D107" s="212">
        <v>110</v>
      </c>
      <c r="E107" s="212">
        <v>5</v>
      </c>
      <c r="F107" s="212">
        <v>1</v>
      </c>
      <c r="G107" s="212" t="s">
        <v>65</v>
      </c>
      <c r="H107" s="212">
        <v>1</v>
      </c>
      <c r="I107" s="212" t="s">
        <v>65</v>
      </c>
      <c r="J107" s="212">
        <v>111</v>
      </c>
      <c r="K107" s="212" t="s">
        <v>65</v>
      </c>
      <c r="L107" s="212" t="s">
        <v>65</v>
      </c>
      <c r="M107" s="212">
        <v>1469</v>
      </c>
      <c r="N107" s="212">
        <v>10</v>
      </c>
      <c r="O107" s="212">
        <v>64</v>
      </c>
      <c r="P107" s="212">
        <v>46</v>
      </c>
      <c r="Q107" s="212" t="s">
        <v>65</v>
      </c>
      <c r="R107" s="212">
        <v>82</v>
      </c>
      <c r="S107" s="212" t="s">
        <v>65</v>
      </c>
      <c r="T107" s="212" t="s">
        <v>65</v>
      </c>
      <c r="U107" s="212">
        <v>1058</v>
      </c>
      <c r="V107" s="212">
        <v>3624</v>
      </c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</row>
    <row r="108" spans="1:43" x14ac:dyDescent="0.3">
      <c r="A108" s="308"/>
      <c r="B108" s="97" t="s">
        <v>86</v>
      </c>
      <c r="C108" s="214">
        <v>10479</v>
      </c>
      <c r="D108" s="214">
        <v>1433</v>
      </c>
      <c r="E108" s="214">
        <v>5</v>
      </c>
      <c r="F108" s="214">
        <v>2</v>
      </c>
      <c r="G108" s="214">
        <v>0</v>
      </c>
      <c r="H108" s="214">
        <v>50</v>
      </c>
      <c r="I108" s="214">
        <v>7</v>
      </c>
      <c r="J108" s="214">
        <v>2968</v>
      </c>
      <c r="K108" s="214">
        <v>14</v>
      </c>
      <c r="L108" s="214">
        <v>96</v>
      </c>
      <c r="M108" s="214">
        <v>5547</v>
      </c>
      <c r="N108" s="214">
        <v>32</v>
      </c>
      <c r="O108" s="214">
        <v>2788</v>
      </c>
      <c r="P108" s="214">
        <v>880</v>
      </c>
      <c r="Q108" s="214">
        <v>0</v>
      </c>
      <c r="R108" s="214">
        <v>1595</v>
      </c>
      <c r="S108" s="214">
        <v>22</v>
      </c>
      <c r="T108" s="214">
        <v>81</v>
      </c>
      <c r="U108" s="214">
        <v>1916</v>
      </c>
      <c r="V108" s="214">
        <v>27912</v>
      </c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</row>
    <row r="109" spans="1:43" ht="16.5" customHeight="1" x14ac:dyDescent="0.3">
      <c r="A109" s="307" t="s">
        <v>146</v>
      </c>
      <c r="B109" s="95" t="s">
        <v>687</v>
      </c>
      <c r="C109" s="212">
        <v>43</v>
      </c>
      <c r="D109" s="212">
        <v>4</v>
      </c>
      <c r="E109" s="212">
        <v>9</v>
      </c>
      <c r="F109" s="212" t="s">
        <v>65</v>
      </c>
      <c r="G109" s="212" t="s">
        <v>65</v>
      </c>
      <c r="H109" s="212" t="s">
        <v>65</v>
      </c>
      <c r="I109" s="212" t="s">
        <v>65</v>
      </c>
      <c r="J109" s="212">
        <v>236</v>
      </c>
      <c r="K109" s="212" t="s">
        <v>65</v>
      </c>
      <c r="L109" s="212">
        <v>12316</v>
      </c>
      <c r="M109" s="212" t="s">
        <v>65</v>
      </c>
      <c r="N109" s="212" t="s">
        <v>65</v>
      </c>
      <c r="O109" s="212">
        <v>29</v>
      </c>
      <c r="P109" s="212" t="s">
        <v>65</v>
      </c>
      <c r="Q109" s="212" t="s">
        <v>65</v>
      </c>
      <c r="R109" s="212">
        <v>14</v>
      </c>
      <c r="S109" s="212" t="s">
        <v>65</v>
      </c>
      <c r="T109" s="212">
        <v>1</v>
      </c>
      <c r="U109" s="212">
        <v>0</v>
      </c>
      <c r="V109" s="212">
        <v>12652</v>
      </c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</row>
    <row r="110" spans="1:43" ht="16.5" customHeight="1" x14ac:dyDescent="0.3">
      <c r="A110" s="323"/>
      <c r="B110" s="95" t="s">
        <v>580</v>
      </c>
      <c r="C110" s="212">
        <v>490</v>
      </c>
      <c r="D110" s="212">
        <v>65</v>
      </c>
      <c r="E110" s="212" t="s">
        <v>65</v>
      </c>
      <c r="F110" s="212" t="s">
        <v>65</v>
      </c>
      <c r="G110" s="212">
        <v>1</v>
      </c>
      <c r="H110" s="212" t="s">
        <v>65</v>
      </c>
      <c r="I110" s="212" t="s">
        <v>65</v>
      </c>
      <c r="J110" s="212">
        <v>14</v>
      </c>
      <c r="K110" s="212" t="s">
        <v>65</v>
      </c>
      <c r="L110" s="212">
        <v>15</v>
      </c>
      <c r="M110" s="212">
        <v>4</v>
      </c>
      <c r="N110" s="212" t="s">
        <v>65</v>
      </c>
      <c r="O110" s="212">
        <v>192</v>
      </c>
      <c r="P110" s="212" t="s">
        <v>65</v>
      </c>
      <c r="Q110" s="212" t="s">
        <v>65</v>
      </c>
      <c r="R110" s="212">
        <v>49</v>
      </c>
      <c r="S110" s="212" t="s">
        <v>65</v>
      </c>
      <c r="T110" s="212">
        <v>3</v>
      </c>
      <c r="U110" s="212">
        <v>5</v>
      </c>
      <c r="V110" s="212">
        <v>837</v>
      </c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</row>
    <row r="111" spans="1:43" ht="16.5" customHeight="1" x14ac:dyDescent="0.3">
      <c r="A111" s="323"/>
      <c r="B111" s="95" t="s">
        <v>579</v>
      </c>
      <c r="C111" s="212">
        <v>792</v>
      </c>
      <c r="D111" s="212">
        <v>106</v>
      </c>
      <c r="E111" s="212" t="s">
        <v>65</v>
      </c>
      <c r="F111" s="212">
        <v>29</v>
      </c>
      <c r="G111" s="212" t="s">
        <v>65</v>
      </c>
      <c r="H111" s="212">
        <v>45</v>
      </c>
      <c r="I111" s="212">
        <v>2</v>
      </c>
      <c r="J111" s="212">
        <v>196</v>
      </c>
      <c r="K111" s="212">
        <v>8</v>
      </c>
      <c r="L111" s="212">
        <v>292</v>
      </c>
      <c r="M111" s="212">
        <v>19</v>
      </c>
      <c r="N111" s="212">
        <v>5</v>
      </c>
      <c r="O111" s="212">
        <v>1598</v>
      </c>
      <c r="P111" s="212" t="s">
        <v>65</v>
      </c>
      <c r="Q111" s="212" t="s">
        <v>65</v>
      </c>
      <c r="R111" s="212">
        <v>663</v>
      </c>
      <c r="S111" s="212">
        <v>42</v>
      </c>
      <c r="T111" s="212">
        <v>12</v>
      </c>
      <c r="U111" s="212">
        <v>17</v>
      </c>
      <c r="V111" s="212">
        <v>3827</v>
      </c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</row>
    <row r="112" spans="1:43" ht="16.5" customHeight="1" x14ac:dyDescent="0.3">
      <c r="A112" s="323"/>
      <c r="B112" s="95" t="s">
        <v>582</v>
      </c>
      <c r="C112" s="212">
        <v>191</v>
      </c>
      <c r="D112" s="212">
        <v>7</v>
      </c>
      <c r="E112" s="212" t="s">
        <v>65</v>
      </c>
      <c r="F112" s="212">
        <v>16</v>
      </c>
      <c r="G112" s="212" t="s">
        <v>65</v>
      </c>
      <c r="H112" s="212">
        <v>14</v>
      </c>
      <c r="I112" s="212">
        <v>5</v>
      </c>
      <c r="J112" s="212">
        <v>3</v>
      </c>
      <c r="K112" s="212" t="s">
        <v>65</v>
      </c>
      <c r="L112" s="212" t="s">
        <v>65</v>
      </c>
      <c r="M112" s="212" t="s">
        <v>65</v>
      </c>
      <c r="N112" s="212">
        <v>2</v>
      </c>
      <c r="O112" s="212">
        <v>526</v>
      </c>
      <c r="P112" s="212" t="s">
        <v>65</v>
      </c>
      <c r="Q112" s="212" t="s">
        <v>65</v>
      </c>
      <c r="R112" s="212">
        <v>367</v>
      </c>
      <c r="S112" s="212">
        <v>47</v>
      </c>
      <c r="T112" s="212" t="s">
        <v>65</v>
      </c>
      <c r="U112" s="212">
        <v>4</v>
      </c>
      <c r="V112" s="212">
        <v>1182</v>
      </c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</row>
    <row r="113" spans="1:43" ht="16.5" customHeight="1" x14ac:dyDescent="0.3">
      <c r="A113" s="323"/>
      <c r="B113" s="95" t="s">
        <v>576</v>
      </c>
      <c r="C113" s="212">
        <v>455</v>
      </c>
      <c r="D113" s="212">
        <v>45</v>
      </c>
      <c r="E113" s="212" t="s">
        <v>65</v>
      </c>
      <c r="F113" s="212">
        <v>15</v>
      </c>
      <c r="G113" s="212" t="s">
        <v>65</v>
      </c>
      <c r="H113" s="212">
        <v>6</v>
      </c>
      <c r="I113" s="212">
        <v>5</v>
      </c>
      <c r="J113" s="212">
        <v>27</v>
      </c>
      <c r="K113" s="212" t="s">
        <v>65</v>
      </c>
      <c r="L113" s="212">
        <v>2</v>
      </c>
      <c r="M113" s="212" t="s">
        <v>65</v>
      </c>
      <c r="N113" s="212">
        <v>1</v>
      </c>
      <c r="O113" s="212">
        <v>580</v>
      </c>
      <c r="P113" s="212" t="s">
        <v>65</v>
      </c>
      <c r="Q113" s="212" t="s">
        <v>65</v>
      </c>
      <c r="R113" s="212">
        <v>292</v>
      </c>
      <c r="S113" s="212" t="s">
        <v>65</v>
      </c>
      <c r="T113" s="212">
        <v>5</v>
      </c>
      <c r="U113" s="212" t="s">
        <v>65</v>
      </c>
      <c r="V113" s="212">
        <v>1432</v>
      </c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</row>
    <row r="114" spans="1:43" ht="16.5" customHeight="1" x14ac:dyDescent="0.3">
      <c r="A114" s="323"/>
      <c r="B114" s="95" t="s">
        <v>581</v>
      </c>
      <c r="C114" s="212">
        <v>432</v>
      </c>
      <c r="D114" s="212">
        <v>56</v>
      </c>
      <c r="E114" s="212" t="s">
        <v>65</v>
      </c>
      <c r="F114" s="212">
        <v>67</v>
      </c>
      <c r="G114" s="212" t="s">
        <v>65</v>
      </c>
      <c r="H114" s="212">
        <v>10</v>
      </c>
      <c r="I114" s="212">
        <v>9</v>
      </c>
      <c r="J114" s="212">
        <v>32</v>
      </c>
      <c r="K114" s="212" t="s">
        <v>65</v>
      </c>
      <c r="L114" s="212">
        <v>63</v>
      </c>
      <c r="M114" s="212">
        <v>2</v>
      </c>
      <c r="N114" s="212">
        <v>4</v>
      </c>
      <c r="O114" s="212">
        <v>1238</v>
      </c>
      <c r="P114" s="212" t="s">
        <v>65</v>
      </c>
      <c r="Q114" s="212" t="s">
        <v>65</v>
      </c>
      <c r="R114" s="212">
        <v>328</v>
      </c>
      <c r="S114" s="212">
        <v>1</v>
      </c>
      <c r="T114" s="212">
        <v>114</v>
      </c>
      <c r="U114" s="212">
        <v>13</v>
      </c>
      <c r="V114" s="212">
        <v>2368</v>
      </c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</row>
    <row r="115" spans="1:43" ht="16.5" customHeight="1" x14ac:dyDescent="0.3">
      <c r="A115" s="323"/>
      <c r="B115" s="95" t="s">
        <v>577</v>
      </c>
      <c r="C115" s="212">
        <v>43</v>
      </c>
      <c r="D115" s="212">
        <v>8</v>
      </c>
      <c r="E115" s="212" t="s">
        <v>65</v>
      </c>
      <c r="F115" s="212">
        <v>5</v>
      </c>
      <c r="G115" s="212" t="s">
        <v>65</v>
      </c>
      <c r="H115" s="212">
        <v>0</v>
      </c>
      <c r="I115" s="212">
        <v>0</v>
      </c>
      <c r="J115" s="212">
        <v>10</v>
      </c>
      <c r="K115" s="212" t="s">
        <v>65</v>
      </c>
      <c r="L115" s="212">
        <v>57</v>
      </c>
      <c r="M115" s="212">
        <v>1</v>
      </c>
      <c r="N115" s="212" t="s">
        <v>65</v>
      </c>
      <c r="O115" s="212">
        <v>284</v>
      </c>
      <c r="P115" s="212" t="s">
        <v>65</v>
      </c>
      <c r="Q115" s="212" t="s">
        <v>65</v>
      </c>
      <c r="R115" s="212">
        <v>329</v>
      </c>
      <c r="S115" s="212" t="s">
        <v>65</v>
      </c>
      <c r="T115" s="212" t="s">
        <v>65</v>
      </c>
      <c r="U115" s="212">
        <v>2</v>
      </c>
      <c r="V115" s="212">
        <v>737</v>
      </c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</row>
    <row r="116" spans="1:43" ht="16.5" customHeight="1" x14ac:dyDescent="0.3">
      <c r="A116" s="323"/>
      <c r="B116" s="95" t="s">
        <v>688</v>
      </c>
      <c r="C116" s="212">
        <v>3321</v>
      </c>
      <c r="D116" s="212">
        <v>6</v>
      </c>
      <c r="E116" s="212" t="s">
        <v>65</v>
      </c>
      <c r="F116" s="212">
        <v>10</v>
      </c>
      <c r="G116" s="212">
        <v>29</v>
      </c>
      <c r="H116" s="212" t="s">
        <v>65</v>
      </c>
      <c r="I116" s="212" t="s">
        <v>65</v>
      </c>
      <c r="J116" s="212">
        <v>846</v>
      </c>
      <c r="K116" s="212" t="s">
        <v>65</v>
      </c>
      <c r="L116" s="212">
        <v>513</v>
      </c>
      <c r="M116" s="212" t="s">
        <v>65</v>
      </c>
      <c r="N116" s="212" t="s">
        <v>65</v>
      </c>
      <c r="O116" s="212">
        <v>6</v>
      </c>
      <c r="P116" s="212" t="s">
        <v>65</v>
      </c>
      <c r="Q116" s="212" t="s">
        <v>65</v>
      </c>
      <c r="R116" s="212">
        <v>18</v>
      </c>
      <c r="S116" s="212">
        <v>130</v>
      </c>
      <c r="T116" s="212" t="s">
        <v>65</v>
      </c>
      <c r="U116" s="212">
        <v>53</v>
      </c>
      <c r="V116" s="212">
        <v>4932</v>
      </c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</row>
    <row r="117" spans="1:43" ht="16.5" customHeight="1" x14ac:dyDescent="0.3">
      <c r="A117" s="323"/>
      <c r="B117" s="95" t="s">
        <v>583</v>
      </c>
      <c r="C117" s="212">
        <v>379</v>
      </c>
      <c r="D117" s="212">
        <v>119</v>
      </c>
      <c r="E117" s="212">
        <v>6</v>
      </c>
      <c r="F117" s="212">
        <v>584</v>
      </c>
      <c r="G117" s="212" t="s">
        <v>65</v>
      </c>
      <c r="H117" s="212">
        <v>4</v>
      </c>
      <c r="I117" s="212">
        <v>0</v>
      </c>
      <c r="J117" s="212">
        <v>27</v>
      </c>
      <c r="K117" s="212" t="s">
        <v>65</v>
      </c>
      <c r="L117" s="212">
        <v>223</v>
      </c>
      <c r="M117" s="212">
        <v>3</v>
      </c>
      <c r="N117" s="212" t="s">
        <v>65</v>
      </c>
      <c r="O117" s="212">
        <v>4371</v>
      </c>
      <c r="P117" s="212" t="s">
        <v>65</v>
      </c>
      <c r="Q117" s="212" t="s">
        <v>65</v>
      </c>
      <c r="R117" s="212">
        <v>631</v>
      </c>
      <c r="S117" s="212">
        <v>73</v>
      </c>
      <c r="T117" s="212">
        <v>14</v>
      </c>
      <c r="U117" s="212">
        <v>43</v>
      </c>
      <c r="V117" s="212">
        <v>6477</v>
      </c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</row>
    <row r="118" spans="1:43" ht="16.5" customHeight="1" x14ac:dyDescent="0.3">
      <c r="A118" s="323"/>
      <c r="B118" s="95" t="s">
        <v>689</v>
      </c>
      <c r="C118" s="212">
        <v>74</v>
      </c>
      <c r="D118" s="212">
        <v>3</v>
      </c>
      <c r="E118" s="212">
        <v>21</v>
      </c>
      <c r="F118" s="212">
        <v>13</v>
      </c>
      <c r="G118" s="212">
        <v>1</v>
      </c>
      <c r="H118" s="212" t="s">
        <v>65</v>
      </c>
      <c r="I118" s="212" t="s">
        <v>65</v>
      </c>
      <c r="J118" s="212">
        <v>128</v>
      </c>
      <c r="K118" s="212" t="s">
        <v>65</v>
      </c>
      <c r="L118" s="212">
        <v>26</v>
      </c>
      <c r="M118" s="212">
        <v>3</v>
      </c>
      <c r="N118" s="212" t="s">
        <v>65</v>
      </c>
      <c r="O118" s="212">
        <v>75</v>
      </c>
      <c r="P118" s="212" t="s">
        <v>65</v>
      </c>
      <c r="Q118" s="212">
        <v>0</v>
      </c>
      <c r="R118" s="212">
        <v>49</v>
      </c>
      <c r="S118" s="212">
        <v>2</v>
      </c>
      <c r="T118" s="212">
        <v>3</v>
      </c>
      <c r="U118" s="212">
        <v>184</v>
      </c>
      <c r="V118" s="212">
        <v>584</v>
      </c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</row>
    <row r="119" spans="1:43" ht="16.5" customHeight="1" x14ac:dyDescent="0.3">
      <c r="A119" s="323"/>
      <c r="B119" s="95" t="s">
        <v>578</v>
      </c>
      <c r="C119" s="212">
        <v>219</v>
      </c>
      <c r="D119" s="212">
        <v>32</v>
      </c>
      <c r="E119" s="212" t="s">
        <v>65</v>
      </c>
      <c r="F119" s="212">
        <v>2</v>
      </c>
      <c r="G119" s="212" t="s">
        <v>65</v>
      </c>
      <c r="H119" s="212">
        <v>1</v>
      </c>
      <c r="I119" s="212" t="s">
        <v>65</v>
      </c>
      <c r="J119" s="212">
        <v>4</v>
      </c>
      <c r="K119" s="212" t="s">
        <v>65</v>
      </c>
      <c r="L119" s="212" t="s">
        <v>65</v>
      </c>
      <c r="M119" s="212" t="s">
        <v>65</v>
      </c>
      <c r="N119" s="212">
        <v>2</v>
      </c>
      <c r="O119" s="212">
        <v>633</v>
      </c>
      <c r="P119" s="212" t="s">
        <v>65</v>
      </c>
      <c r="Q119" s="212" t="s">
        <v>65</v>
      </c>
      <c r="R119" s="212">
        <v>263</v>
      </c>
      <c r="S119" s="212" t="s">
        <v>65</v>
      </c>
      <c r="T119" s="212">
        <v>0</v>
      </c>
      <c r="U119" s="212">
        <v>0</v>
      </c>
      <c r="V119" s="212">
        <v>1156</v>
      </c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</row>
    <row r="120" spans="1:43" ht="16.5" customHeight="1" x14ac:dyDescent="0.3">
      <c r="A120" s="323"/>
      <c r="B120" s="95" t="s">
        <v>584</v>
      </c>
      <c r="C120" s="212">
        <v>97</v>
      </c>
      <c r="D120" s="212">
        <v>24</v>
      </c>
      <c r="E120" s="212" t="s">
        <v>65</v>
      </c>
      <c r="F120" s="212" t="s">
        <v>65</v>
      </c>
      <c r="G120" s="212" t="s">
        <v>65</v>
      </c>
      <c r="H120" s="212" t="s">
        <v>65</v>
      </c>
      <c r="I120" s="212" t="s">
        <v>65</v>
      </c>
      <c r="J120" s="212">
        <v>17</v>
      </c>
      <c r="K120" s="212" t="s">
        <v>65</v>
      </c>
      <c r="L120" s="212">
        <v>127</v>
      </c>
      <c r="M120" s="212" t="s">
        <v>65</v>
      </c>
      <c r="N120" s="212" t="s">
        <v>65</v>
      </c>
      <c r="O120" s="212">
        <v>1189</v>
      </c>
      <c r="P120" s="212" t="s">
        <v>65</v>
      </c>
      <c r="Q120" s="212" t="s">
        <v>65</v>
      </c>
      <c r="R120" s="212">
        <v>325</v>
      </c>
      <c r="S120" s="212">
        <v>1125</v>
      </c>
      <c r="T120" s="212">
        <v>13</v>
      </c>
      <c r="U120" s="212">
        <v>95</v>
      </c>
      <c r="V120" s="212">
        <v>3013</v>
      </c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</row>
    <row r="121" spans="1:43" ht="16.5" customHeight="1" x14ac:dyDescent="0.3">
      <c r="A121" s="323"/>
      <c r="B121" s="95" t="s">
        <v>575</v>
      </c>
      <c r="C121" s="212">
        <v>917</v>
      </c>
      <c r="D121" s="212">
        <v>16</v>
      </c>
      <c r="E121" s="212" t="s">
        <v>65</v>
      </c>
      <c r="F121" s="212">
        <v>8</v>
      </c>
      <c r="G121" s="212" t="s">
        <v>65</v>
      </c>
      <c r="H121" s="212">
        <v>0</v>
      </c>
      <c r="I121" s="212">
        <v>13</v>
      </c>
      <c r="J121" s="212">
        <v>26</v>
      </c>
      <c r="K121" s="212">
        <v>18</v>
      </c>
      <c r="L121" s="212">
        <v>31</v>
      </c>
      <c r="M121" s="212">
        <v>0</v>
      </c>
      <c r="N121" s="212" t="s">
        <v>65</v>
      </c>
      <c r="O121" s="212">
        <v>258</v>
      </c>
      <c r="P121" s="212">
        <v>24</v>
      </c>
      <c r="Q121" s="212">
        <v>3</v>
      </c>
      <c r="R121" s="212">
        <v>64</v>
      </c>
      <c r="S121" s="212">
        <v>12</v>
      </c>
      <c r="T121" s="212" t="s">
        <v>65</v>
      </c>
      <c r="U121" s="212">
        <v>33</v>
      </c>
      <c r="V121" s="212">
        <v>1421</v>
      </c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</row>
    <row r="122" spans="1:43" ht="16.5" customHeight="1" x14ac:dyDescent="0.3">
      <c r="A122" s="323"/>
      <c r="B122" s="95" t="s">
        <v>585</v>
      </c>
      <c r="C122" s="212">
        <v>388</v>
      </c>
      <c r="D122" s="212">
        <v>89</v>
      </c>
      <c r="E122" s="212">
        <v>17</v>
      </c>
      <c r="F122" s="212">
        <v>114</v>
      </c>
      <c r="G122" s="212" t="s">
        <v>65</v>
      </c>
      <c r="H122" s="212" t="s">
        <v>65</v>
      </c>
      <c r="I122" s="212">
        <v>0</v>
      </c>
      <c r="J122" s="212">
        <v>170</v>
      </c>
      <c r="K122" s="212">
        <v>6</v>
      </c>
      <c r="L122" s="212">
        <v>1644</v>
      </c>
      <c r="M122" s="212" t="s">
        <v>65</v>
      </c>
      <c r="N122" s="212" t="s">
        <v>65</v>
      </c>
      <c r="O122" s="212">
        <v>718</v>
      </c>
      <c r="P122" s="212" t="s">
        <v>65</v>
      </c>
      <c r="Q122" s="212" t="s">
        <v>65</v>
      </c>
      <c r="R122" s="212">
        <v>107</v>
      </c>
      <c r="S122" s="212" t="s">
        <v>65</v>
      </c>
      <c r="T122" s="212" t="s">
        <v>65</v>
      </c>
      <c r="U122" s="212" t="s">
        <v>65</v>
      </c>
      <c r="V122" s="212">
        <v>3253</v>
      </c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</row>
    <row r="123" spans="1:43" ht="16.5" customHeight="1" x14ac:dyDescent="0.3">
      <c r="A123" s="323"/>
      <c r="B123" s="95" t="s">
        <v>586</v>
      </c>
      <c r="C123" s="212">
        <v>1404</v>
      </c>
      <c r="D123" s="212">
        <v>24</v>
      </c>
      <c r="E123" s="212" t="s">
        <v>65</v>
      </c>
      <c r="F123" s="212" t="s">
        <v>65</v>
      </c>
      <c r="G123" s="212" t="s">
        <v>65</v>
      </c>
      <c r="H123" s="212">
        <v>1</v>
      </c>
      <c r="I123" s="212">
        <v>2</v>
      </c>
      <c r="J123" s="212">
        <v>4</v>
      </c>
      <c r="K123" s="212" t="s">
        <v>65</v>
      </c>
      <c r="L123" s="212">
        <v>161</v>
      </c>
      <c r="M123" s="212">
        <v>0</v>
      </c>
      <c r="N123" s="212" t="s">
        <v>65</v>
      </c>
      <c r="O123" s="212">
        <v>522</v>
      </c>
      <c r="P123" s="212">
        <v>10</v>
      </c>
      <c r="Q123" s="212" t="s">
        <v>65</v>
      </c>
      <c r="R123" s="212">
        <v>55</v>
      </c>
      <c r="S123" s="212" t="s">
        <v>65</v>
      </c>
      <c r="T123" s="212">
        <v>22</v>
      </c>
      <c r="U123" s="212">
        <v>187</v>
      </c>
      <c r="V123" s="212">
        <v>2392</v>
      </c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</row>
    <row r="124" spans="1:43" x14ac:dyDescent="0.3">
      <c r="A124" s="308"/>
      <c r="B124" s="97" t="s">
        <v>86</v>
      </c>
      <c r="C124" s="214">
        <v>9243</v>
      </c>
      <c r="D124" s="214">
        <v>605</v>
      </c>
      <c r="E124" s="214">
        <v>52</v>
      </c>
      <c r="F124" s="214">
        <v>863</v>
      </c>
      <c r="G124" s="214">
        <v>31</v>
      </c>
      <c r="H124" s="214">
        <v>80</v>
      </c>
      <c r="I124" s="214">
        <v>38</v>
      </c>
      <c r="J124" s="214">
        <v>1740</v>
      </c>
      <c r="K124" s="214">
        <v>32</v>
      </c>
      <c r="L124" s="214">
        <v>15470</v>
      </c>
      <c r="M124" s="214">
        <v>32</v>
      </c>
      <c r="N124" s="214">
        <v>13</v>
      </c>
      <c r="O124" s="214">
        <v>12218</v>
      </c>
      <c r="P124" s="214">
        <v>34</v>
      </c>
      <c r="Q124" s="214">
        <v>3</v>
      </c>
      <c r="R124" s="214">
        <v>3554</v>
      </c>
      <c r="S124" s="214">
        <v>1432</v>
      </c>
      <c r="T124" s="214">
        <v>189</v>
      </c>
      <c r="U124" s="214">
        <v>635</v>
      </c>
      <c r="V124" s="214">
        <v>46264</v>
      </c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</row>
    <row r="125" spans="1:43" ht="16.5" customHeight="1" x14ac:dyDescent="0.3">
      <c r="A125" s="307" t="s">
        <v>147</v>
      </c>
      <c r="B125" s="95" t="s">
        <v>589</v>
      </c>
      <c r="C125" s="212">
        <v>749</v>
      </c>
      <c r="D125" s="212">
        <v>115</v>
      </c>
      <c r="E125" s="212" t="s">
        <v>65</v>
      </c>
      <c r="F125" s="212">
        <v>15</v>
      </c>
      <c r="G125" s="212">
        <v>1</v>
      </c>
      <c r="H125" s="212">
        <v>10</v>
      </c>
      <c r="I125" s="212">
        <v>1</v>
      </c>
      <c r="J125" s="212">
        <v>55</v>
      </c>
      <c r="K125" s="212" t="s">
        <v>65</v>
      </c>
      <c r="L125" s="212">
        <v>33</v>
      </c>
      <c r="M125" s="212">
        <v>8</v>
      </c>
      <c r="N125" s="212">
        <v>3</v>
      </c>
      <c r="O125" s="212">
        <v>1067</v>
      </c>
      <c r="P125" s="212" t="s">
        <v>65</v>
      </c>
      <c r="Q125" s="212" t="s">
        <v>65</v>
      </c>
      <c r="R125" s="212">
        <v>271</v>
      </c>
      <c r="S125" s="212">
        <v>2</v>
      </c>
      <c r="T125" s="212">
        <v>13</v>
      </c>
      <c r="U125" s="212" t="s">
        <v>65</v>
      </c>
      <c r="V125" s="212">
        <v>2340</v>
      </c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</row>
    <row r="126" spans="1:43" ht="16.5" customHeight="1" x14ac:dyDescent="0.3">
      <c r="A126" s="323"/>
      <c r="B126" s="95" t="s">
        <v>593</v>
      </c>
      <c r="C126" s="212">
        <v>42</v>
      </c>
      <c r="D126" s="212">
        <v>4</v>
      </c>
      <c r="E126" s="212">
        <v>0</v>
      </c>
      <c r="F126" s="212">
        <v>0</v>
      </c>
      <c r="G126" s="212" t="s">
        <v>65</v>
      </c>
      <c r="H126" s="212" t="s">
        <v>65</v>
      </c>
      <c r="I126" s="212" t="s">
        <v>65</v>
      </c>
      <c r="J126" s="212">
        <v>95</v>
      </c>
      <c r="K126" s="212" t="s">
        <v>65</v>
      </c>
      <c r="L126" s="212">
        <v>512</v>
      </c>
      <c r="M126" s="212" t="s">
        <v>65</v>
      </c>
      <c r="N126" s="212" t="s">
        <v>65</v>
      </c>
      <c r="O126" s="212">
        <v>50</v>
      </c>
      <c r="P126" s="212" t="s">
        <v>65</v>
      </c>
      <c r="Q126" s="212" t="s">
        <v>65</v>
      </c>
      <c r="R126" s="212">
        <v>8</v>
      </c>
      <c r="S126" s="212" t="s">
        <v>65</v>
      </c>
      <c r="T126" s="212" t="s">
        <v>65</v>
      </c>
      <c r="U126" s="212">
        <v>1</v>
      </c>
      <c r="V126" s="212">
        <v>713</v>
      </c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</row>
    <row r="127" spans="1:43" ht="16.5" customHeight="1" x14ac:dyDescent="0.3">
      <c r="A127" s="323"/>
      <c r="B127" s="95" t="s">
        <v>587</v>
      </c>
      <c r="C127" s="212">
        <v>1083</v>
      </c>
      <c r="D127" s="212">
        <v>98</v>
      </c>
      <c r="E127" s="212">
        <v>25</v>
      </c>
      <c r="F127" s="212">
        <v>2</v>
      </c>
      <c r="G127" s="212" t="s">
        <v>65</v>
      </c>
      <c r="H127" s="212" t="s">
        <v>65</v>
      </c>
      <c r="I127" s="212" t="s">
        <v>65</v>
      </c>
      <c r="J127" s="212">
        <v>63</v>
      </c>
      <c r="K127" s="212" t="s">
        <v>65</v>
      </c>
      <c r="L127" s="212">
        <v>717</v>
      </c>
      <c r="M127" s="212" t="s">
        <v>65</v>
      </c>
      <c r="N127" s="212" t="s">
        <v>65</v>
      </c>
      <c r="O127" s="212">
        <v>1394</v>
      </c>
      <c r="P127" s="212">
        <v>2</v>
      </c>
      <c r="Q127" s="212">
        <v>0</v>
      </c>
      <c r="R127" s="212">
        <v>239</v>
      </c>
      <c r="S127" s="212">
        <v>2</v>
      </c>
      <c r="T127" s="212">
        <v>2</v>
      </c>
      <c r="U127" s="212">
        <v>9</v>
      </c>
      <c r="V127" s="212">
        <v>3636</v>
      </c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</row>
    <row r="128" spans="1:43" ht="16.5" customHeight="1" x14ac:dyDescent="0.3">
      <c r="A128" s="323"/>
      <c r="B128" s="95" t="s">
        <v>690</v>
      </c>
      <c r="C128" s="212">
        <v>250</v>
      </c>
      <c r="D128" s="212">
        <v>26</v>
      </c>
      <c r="E128" s="212" t="s">
        <v>65</v>
      </c>
      <c r="F128" s="212">
        <v>3</v>
      </c>
      <c r="G128" s="212" t="s">
        <v>65</v>
      </c>
      <c r="H128" s="212" t="s">
        <v>65</v>
      </c>
      <c r="I128" s="212" t="s">
        <v>65</v>
      </c>
      <c r="J128" s="212">
        <v>4</v>
      </c>
      <c r="K128" s="212" t="s">
        <v>65</v>
      </c>
      <c r="L128" s="212">
        <v>14</v>
      </c>
      <c r="M128" s="212" t="s">
        <v>65</v>
      </c>
      <c r="N128" s="212" t="s">
        <v>65</v>
      </c>
      <c r="O128" s="212">
        <v>123</v>
      </c>
      <c r="P128" s="212">
        <v>4</v>
      </c>
      <c r="Q128" s="212" t="s">
        <v>65</v>
      </c>
      <c r="R128" s="212">
        <v>3</v>
      </c>
      <c r="S128" s="212">
        <v>6</v>
      </c>
      <c r="T128" s="212" t="s">
        <v>65</v>
      </c>
      <c r="U128" s="212">
        <v>2</v>
      </c>
      <c r="V128" s="212">
        <v>435</v>
      </c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</row>
    <row r="129" spans="1:43" ht="16.5" customHeight="1" x14ac:dyDescent="0.3">
      <c r="A129" s="323"/>
      <c r="B129" s="95" t="s">
        <v>588</v>
      </c>
      <c r="C129" s="212">
        <v>619</v>
      </c>
      <c r="D129" s="212">
        <v>97</v>
      </c>
      <c r="E129" s="212" t="s">
        <v>65</v>
      </c>
      <c r="F129" s="212">
        <v>11</v>
      </c>
      <c r="G129" s="212" t="s">
        <v>65</v>
      </c>
      <c r="H129" s="212">
        <v>0</v>
      </c>
      <c r="I129" s="212">
        <v>0</v>
      </c>
      <c r="J129" s="212">
        <v>18</v>
      </c>
      <c r="K129" s="212" t="s">
        <v>65</v>
      </c>
      <c r="L129" s="212">
        <v>30</v>
      </c>
      <c r="M129" s="212" t="s">
        <v>65</v>
      </c>
      <c r="N129" s="212" t="s">
        <v>65</v>
      </c>
      <c r="O129" s="212">
        <v>813</v>
      </c>
      <c r="P129" s="212">
        <v>0</v>
      </c>
      <c r="Q129" s="212" t="s">
        <v>65</v>
      </c>
      <c r="R129" s="212">
        <v>163</v>
      </c>
      <c r="S129" s="212" t="s">
        <v>65</v>
      </c>
      <c r="T129" s="212">
        <v>0</v>
      </c>
      <c r="U129" s="212">
        <v>11</v>
      </c>
      <c r="V129" s="212">
        <v>1763</v>
      </c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</row>
    <row r="130" spans="1:43" ht="16.5" customHeight="1" x14ac:dyDescent="0.3">
      <c r="A130" s="323"/>
      <c r="B130" s="95" t="s">
        <v>591</v>
      </c>
      <c r="C130" s="212">
        <v>84</v>
      </c>
      <c r="D130" s="212">
        <v>3</v>
      </c>
      <c r="E130" s="212">
        <v>42</v>
      </c>
      <c r="F130" s="212">
        <v>1</v>
      </c>
      <c r="G130" s="212" t="s">
        <v>65</v>
      </c>
      <c r="H130" s="212" t="s">
        <v>65</v>
      </c>
      <c r="I130" s="212" t="s">
        <v>65</v>
      </c>
      <c r="J130" s="212">
        <v>79</v>
      </c>
      <c r="K130" s="212" t="s">
        <v>65</v>
      </c>
      <c r="L130" s="212">
        <v>24</v>
      </c>
      <c r="M130" s="212" t="s">
        <v>65</v>
      </c>
      <c r="N130" s="212" t="s">
        <v>65</v>
      </c>
      <c r="O130" s="212">
        <v>632</v>
      </c>
      <c r="P130" s="212" t="s">
        <v>65</v>
      </c>
      <c r="Q130" s="212" t="s">
        <v>65</v>
      </c>
      <c r="R130" s="212">
        <v>105</v>
      </c>
      <c r="S130" s="212" t="s">
        <v>65</v>
      </c>
      <c r="T130" s="212" t="s">
        <v>65</v>
      </c>
      <c r="U130" s="212" t="s">
        <v>65</v>
      </c>
      <c r="V130" s="212">
        <v>971</v>
      </c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</row>
    <row r="131" spans="1:43" ht="16.5" customHeight="1" x14ac:dyDescent="0.3">
      <c r="A131" s="323"/>
      <c r="B131" s="95" t="s">
        <v>592</v>
      </c>
      <c r="C131" s="212">
        <v>120</v>
      </c>
      <c r="D131" s="212">
        <v>15</v>
      </c>
      <c r="E131" s="212" t="s">
        <v>65</v>
      </c>
      <c r="F131" s="212">
        <v>1</v>
      </c>
      <c r="G131" s="212" t="s">
        <v>65</v>
      </c>
      <c r="H131" s="212">
        <v>1</v>
      </c>
      <c r="I131" s="212" t="s">
        <v>65</v>
      </c>
      <c r="J131" s="212">
        <v>19</v>
      </c>
      <c r="K131" s="212" t="s">
        <v>65</v>
      </c>
      <c r="L131" s="212">
        <v>8</v>
      </c>
      <c r="M131" s="212" t="s">
        <v>65</v>
      </c>
      <c r="N131" s="212" t="s">
        <v>65</v>
      </c>
      <c r="O131" s="212">
        <v>364</v>
      </c>
      <c r="P131" s="212" t="s">
        <v>65</v>
      </c>
      <c r="Q131" s="212" t="s">
        <v>65</v>
      </c>
      <c r="R131" s="212">
        <v>121</v>
      </c>
      <c r="S131" s="212" t="s">
        <v>65</v>
      </c>
      <c r="T131" s="212" t="s">
        <v>65</v>
      </c>
      <c r="U131" s="212">
        <v>3</v>
      </c>
      <c r="V131" s="212">
        <v>650</v>
      </c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</row>
    <row r="132" spans="1:43" ht="16.5" customHeight="1" x14ac:dyDescent="0.3">
      <c r="A132" s="323"/>
      <c r="B132" s="95" t="s">
        <v>590</v>
      </c>
      <c r="C132" s="212">
        <v>79</v>
      </c>
      <c r="D132" s="212">
        <v>1</v>
      </c>
      <c r="E132" s="212" t="s">
        <v>65</v>
      </c>
      <c r="F132" s="212">
        <v>1</v>
      </c>
      <c r="G132" s="212" t="s">
        <v>65</v>
      </c>
      <c r="H132" s="212" t="s">
        <v>65</v>
      </c>
      <c r="I132" s="212" t="s">
        <v>65</v>
      </c>
      <c r="J132" s="212">
        <v>5</v>
      </c>
      <c r="K132" s="212" t="s">
        <v>65</v>
      </c>
      <c r="L132" s="212">
        <v>7</v>
      </c>
      <c r="M132" s="212" t="s">
        <v>65</v>
      </c>
      <c r="N132" s="212" t="s">
        <v>65</v>
      </c>
      <c r="O132" s="212">
        <v>512</v>
      </c>
      <c r="P132" s="212" t="s">
        <v>65</v>
      </c>
      <c r="Q132" s="212" t="s">
        <v>65</v>
      </c>
      <c r="R132" s="212">
        <v>91</v>
      </c>
      <c r="S132" s="212" t="s">
        <v>65</v>
      </c>
      <c r="T132" s="212" t="s">
        <v>65</v>
      </c>
      <c r="U132" s="212" t="s">
        <v>65</v>
      </c>
      <c r="V132" s="212">
        <v>696</v>
      </c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</row>
    <row r="133" spans="1:43" ht="16.5" customHeight="1" x14ac:dyDescent="0.3">
      <c r="A133" s="323"/>
      <c r="B133" s="95" t="s">
        <v>594</v>
      </c>
      <c r="C133" s="212">
        <v>645</v>
      </c>
      <c r="D133" s="212">
        <v>42</v>
      </c>
      <c r="E133" s="212" t="s">
        <v>65</v>
      </c>
      <c r="F133" s="212" t="s">
        <v>65</v>
      </c>
      <c r="G133" s="212" t="s">
        <v>65</v>
      </c>
      <c r="H133" s="212">
        <v>1</v>
      </c>
      <c r="I133" s="212">
        <v>0</v>
      </c>
      <c r="J133" s="212">
        <v>5</v>
      </c>
      <c r="K133" s="212" t="s">
        <v>65</v>
      </c>
      <c r="L133" s="212" t="s">
        <v>65</v>
      </c>
      <c r="M133" s="212">
        <v>2</v>
      </c>
      <c r="N133" s="212">
        <v>1</v>
      </c>
      <c r="O133" s="212">
        <v>35</v>
      </c>
      <c r="P133" s="212" t="s">
        <v>65</v>
      </c>
      <c r="Q133" s="212" t="s">
        <v>65</v>
      </c>
      <c r="R133" s="212">
        <v>19</v>
      </c>
      <c r="S133" s="212">
        <v>0</v>
      </c>
      <c r="T133" s="212" t="s">
        <v>65</v>
      </c>
      <c r="U133" s="212" t="s">
        <v>65</v>
      </c>
      <c r="V133" s="212">
        <v>751</v>
      </c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</row>
    <row r="134" spans="1:43" x14ac:dyDescent="0.3">
      <c r="A134" s="308"/>
      <c r="B134" s="97" t="s">
        <v>86</v>
      </c>
      <c r="C134" s="214">
        <v>3672</v>
      </c>
      <c r="D134" s="214">
        <v>401</v>
      </c>
      <c r="E134" s="214">
        <v>68</v>
      </c>
      <c r="F134" s="214">
        <v>34</v>
      </c>
      <c r="G134" s="214">
        <v>1</v>
      </c>
      <c r="H134" s="214">
        <v>12</v>
      </c>
      <c r="I134" s="214">
        <v>1</v>
      </c>
      <c r="J134" s="214">
        <v>342</v>
      </c>
      <c r="K134" s="214">
        <v>0</v>
      </c>
      <c r="L134" s="214">
        <v>1345</v>
      </c>
      <c r="M134" s="214">
        <v>10</v>
      </c>
      <c r="N134" s="214">
        <v>3</v>
      </c>
      <c r="O134" s="214">
        <v>4991</v>
      </c>
      <c r="P134" s="214">
        <v>6</v>
      </c>
      <c r="Q134" s="214">
        <v>0</v>
      </c>
      <c r="R134" s="214">
        <v>1019</v>
      </c>
      <c r="S134" s="214">
        <v>10</v>
      </c>
      <c r="T134" s="214">
        <v>15</v>
      </c>
      <c r="U134" s="214">
        <v>25</v>
      </c>
      <c r="V134" s="214">
        <v>11956</v>
      </c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</row>
    <row r="135" spans="1:43" ht="16.5" customHeight="1" x14ac:dyDescent="0.3">
      <c r="A135" s="307" t="s">
        <v>148</v>
      </c>
      <c r="B135" s="95" t="s">
        <v>597</v>
      </c>
      <c r="C135" s="212">
        <v>291</v>
      </c>
      <c r="D135" s="212">
        <v>32</v>
      </c>
      <c r="E135" s="212" t="s">
        <v>65</v>
      </c>
      <c r="F135" s="212" t="s">
        <v>65</v>
      </c>
      <c r="G135" s="212" t="s">
        <v>65</v>
      </c>
      <c r="H135" s="212">
        <v>6</v>
      </c>
      <c r="I135" s="212" t="s">
        <v>65</v>
      </c>
      <c r="J135" s="212">
        <v>11</v>
      </c>
      <c r="K135" s="212" t="s">
        <v>65</v>
      </c>
      <c r="L135" s="212" t="s">
        <v>65</v>
      </c>
      <c r="M135" s="212">
        <v>1</v>
      </c>
      <c r="N135" s="212" t="s">
        <v>65</v>
      </c>
      <c r="O135" s="212">
        <v>199</v>
      </c>
      <c r="P135" s="212" t="s">
        <v>65</v>
      </c>
      <c r="Q135" s="212" t="s">
        <v>65</v>
      </c>
      <c r="R135" s="212">
        <v>133</v>
      </c>
      <c r="S135" s="212">
        <v>0</v>
      </c>
      <c r="T135" s="212" t="s">
        <v>65</v>
      </c>
      <c r="U135" s="212">
        <v>0</v>
      </c>
      <c r="V135" s="212">
        <v>675</v>
      </c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</row>
    <row r="136" spans="1:43" ht="16.5" customHeight="1" x14ac:dyDescent="0.3">
      <c r="A136" s="323"/>
      <c r="B136" s="95" t="s">
        <v>596</v>
      </c>
      <c r="C136" s="212">
        <v>702</v>
      </c>
      <c r="D136" s="212">
        <v>77</v>
      </c>
      <c r="E136" s="212" t="s">
        <v>65</v>
      </c>
      <c r="F136" s="212" t="s">
        <v>65</v>
      </c>
      <c r="G136" s="212" t="s">
        <v>65</v>
      </c>
      <c r="H136" s="212">
        <v>0</v>
      </c>
      <c r="I136" s="212">
        <v>3</v>
      </c>
      <c r="J136" s="212">
        <v>11</v>
      </c>
      <c r="K136" s="212" t="s">
        <v>65</v>
      </c>
      <c r="L136" s="212">
        <v>1</v>
      </c>
      <c r="M136" s="212">
        <v>2</v>
      </c>
      <c r="N136" s="212">
        <v>1</v>
      </c>
      <c r="O136" s="212">
        <v>179</v>
      </c>
      <c r="P136" s="212" t="s">
        <v>65</v>
      </c>
      <c r="Q136" s="212" t="s">
        <v>65</v>
      </c>
      <c r="R136" s="212">
        <v>63</v>
      </c>
      <c r="S136" s="212" t="s">
        <v>65</v>
      </c>
      <c r="T136" s="212">
        <v>6</v>
      </c>
      <c r="U136" s="212" t="s">
        <v>65</v>
      </c>
      <c r="V136" s="212">
        <v>1046</v>
      </c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</row>
    <row r="137" spans="1:43" ht="16.5" customHeight="1" x14ac:dyDescent="0.3">
      <c r="A137" s="323"/>
      <c r="B137" s="95" t="s">
        <v>605</v>
      </c>
      <c r="C137" s="212">
        <v>6</v>
      </c>
      <c r="D137" s="212" t="s">
        <v>65</v>
      </c>
      <c r="E137" s="212" t="s">
        <v>65</v>
      </c>
      <c r="F137" s="212" t="s">
        <v>65</v>
      </c>
      <c r="G137" s="212" t="s">
        <v>65</v>
      </c>
      <c r="H137" s="212" t="s">
        <v>65</v>
      </c>
      <c r="I137" s="212" t="s">
        <v>65</v>
      </c>
      <c r="J137" s="212">
        <v>11</v>
      </c>
      <c r="K137" s="212" t="s">
        <v>65</v>
      </c>
      <c r="L137" s="212">
        <v>685</v>
      </c>
      <c r="M137" s="212" t="s">
        <v>65</v>
      </c>
      <c r="N137" s="212" t="s">
        <v>65</v>
      </c>
      <c r="O137" s="212">
        <v>28</v>
      </c>
      <c r="P137" s="212" t="s">
        <v>65</v>
      </c>
      <c r="Q137" s="212" t="s">
        <v>65</v>
      </c>
      <c r="R137" s="212">
        <v>3</v>
      </c>
      <c r="S137" s="212" t="s">
        <v>65</v>
      </c>
      <c r="T137" s="212" t="s">
        <v>65</v>
      </c>
      <c r="U137" s="212" t="s">
        <v>65</v>
      </c>
      <c r="V137" s="212">
        <v>734</v>
      </c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</row>
    <row r="138" spans="1:43" ht="16.5" customHeight="1" x14ac:dyDescent="0.3">
      <c r="A138" s="323"/>
      <c r="B138" s="95" t="s">
        <v>598</v>
      </c>
      <c r="C138" s="212">
        <v>302</v>
      </c>
      <c r="D138" s="212">
        <v>33</v>
      </c>
      <c r="E138" s="212" t="s">
        <v>65</v>
      </c>
      <c r="F138" s="212" t="s">
        <v>65</v>
      </c>
      <c r="G138" s="212" t="s">
        <v>65</v>
      </c>
      <c r="H138" s="212">
        <v>3</v>
      </c>
      <c r="I138" s="212">
        <v>3</v>
      </c>
      <c r="J138" s="212">
        <v>7</v>
      </c>
      <c r="K138" s="212" t="s">
        <v>65</v>
      </c>
      <c r="L138" s="212" t="s">
        <v>65</v>
      </c>
      <c r="M138" s="212">
        <v>6</v>
      </c>
      <c r="N138" s="212" t="s">
        <v>65</v>
      </c>
      <c r="O138" s="212">
        <v>33</v>
      </c>
      <c r="P138" s="212" t="s">
        <v>65</v>
      </c>
      <c r="Q138" s="212" t="s">
        <v>65</v>
      </c>
      <c r="R138" s="212">
        <v>12</v>
      </c>
      <c r="S138" s="212">
        <v>23</v>
      </c>
      <c r="T138" s="212">
        <v>2</v>
      </c>
      <c r="U138" s="212" t="s">
        <v>65</v>
      </c>
      <c r="V138" s="212">
        <v>423</v>
      </c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</row>
    <row r="139" spans="1:43" ht="16.5" customHeight="1" x14ac:dyDescent="0.3">
      <c r="A139" s="323"/>
      <c r="B139" s="95" t="s">
        <v>601</v>
      </c>
      <c r="C139" s="212">
        <v>37</v>
      </c>
      <c r="D139" s="212">
        <v>7</v>
      </c>
      <c r="E139" s="212">
        <v>1</v>
      </c>
      <c r="F139" s="212" t="s">
        <v>65</v>
      </c>
      <c r="G139" s="212" t="s">
        <v>65</v>
      </c>
      <c r="H139" s="212">
        <v>1</v>
      </c>
      <c r="I139" s="212" t="s">
        <v>65</v>
      </c>
      <c r="J139" s="212">
        <v>13</v>
      </c>
      <c r="K139" s="212" t="s">
        <v>65</v>
      </c>
      <c r="L139" s="212" t="s">
        <v>65</v>
      </c>
      <c r="M139" s="212" t="s">
        <v>65</v>
      </c>
      <c r="N139" s="212" t="s">
        <v>65</v>
      </c>
      <c r="O139" s="212">
        <v>351</v>
      </c>
      <c r="P139" s="212" t="s">
        <v>65</v>
      </c>
      <c r="Q139" s="212" t="s">
        <v>65</v>
      </c>
      <c r="R139" s="212">
        <v>104</v>
      </c>
      <c r="S139" s="212">
        <v>1</v>
      </c>
      <c r="T139" s="212" t="s">
        <v>65</v>
      </c>
      <c r="U139" s="212" t="s">
        <v>65</v>
      </c>
      <c r="V139" s="212">
        <v>515</v>
      </c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</row>
    <row r="140" spans="1:43" ht="16.5" customHeight="1" x14ac:dyDescent="0.3">
      <c r="A140" s="323"/>
      <c r="B140" s="95" t="s">
        <v>603</v>
      </c>
      <c r="C140" s="212">
        <v>55</v>
      </c>
      <c r="D140" s="212">
        <v>6</v>
      </c>
      <c r="E140" s="212">
        <v>1</v>
      </c>
      <c r="F140" s="212" t="s">
        <v>65</v>
      </c>
      <c r="G140" s="212" t="s">
        <v>65</v>
      </c>
      <c r="H140" s="212">
        <v>1</v>
      </c>
      <c r="I140" s="212" t="s">
        <v>65</v>
      </c>
      <c r="J140" s="212">
        <v>15</v>
      </c>
      <c r="K140" s="212" t="s">
        <v>65</v>
      </c>
      <c r="L140" s="212" t="s">
        <v>65</v>
      </c>
      <c r="M140" s="212" t="s">
        <v>65</v>
      </c>
      <c r="N140" s="212">
        <v>1</v>
      </c>
      <c r="O140" s="212">
        <v>748</v>
      </c>
      <c r="P140" s="212" t="s">
        <v>65</v>
      </c>
      <c r="Q140" s="212" t="s">
        <v>65</v>
      </c>
      <c r="R140" s="212">
        <v>148</v>
      </c>
      <c r="S140" s="212">
        <v>0</v>
      </c>
      <c r="T140" s="212">
        <v>3</v>
      </c>
      <c r="U140" s="212">
        <v>3</v>
      </c>
      <c r="V140" s="212">
        <v>982</v>
      </c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</row>
    <row r="141" spans="1:43" ht="16.5" customHeight="1" x14ac:dyDescent="0.3">
      <c r="A141" s="323"/>
      <c r="B141" s="95" t="s">
        <v>602</v>
      </c>
      <c r="C141" s="212">
        <v>2</v>
      </c>
      <c r="D141" s="212">
        <v>0</v>
      </c>
      <c r="E141" s="212">
        <v>1</v>
      </c>
      <c r="F141" s="212" t="s">
        <v>65</v>
      </c>
      <c r="G141" s="212" t="s">
        <v>65</v>
      </c>
      <c r="H141" s="212" t="s">
        <v>65</v>
      </c>
      <c r="I141" s="212" t="s">
        <v>65</v>
      </c>
      <c r="J141" s="212">
        <v>3</v>
      </c>
      <c r="K141" s="212" t="s">
        <v>65</v>
      </c>
      <c r="L141" s="212" t="s">
        <v>65</v>
      </c>
      <c r="M141" s="212" t="s">
        <v>65</v>
      </c>
      <c r="N141" s="212" t="s">
        <v>65</v>
      </c>
      <c r="O141" s="212">
        <v>22</v>
      </c>
      <c r="P141" s="212" t="s">
        <v>65</v>
      </c>
      <c r="Q141" s="212" t="s">
        <v>65</v>
      </c>
      <c r="R141" s="212">
        <v>57</v>
      </c>
      <c r="S141" s="212">
        <v>1</v>
      </c>
      <c r="T141" s="212" t="s">
        <v>65</v>
      </c>
      <c r="U141" s="212" t="s">
        <v>65</v>
      </c>
      <c r="V141" s="212">
        <v>85</v>
      </c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</row>
    <row r="142" spans="1:43" ht="16.5" customHeight="1" x14ac:dyDescent="0.3">
      <c r="A142" s="323"/>
      <c r="B142" s="95" t="s">
        <v>599</v>
      </c>
      <c r="C142" s="212">
        <v>83</v>
      </c>
      <c r="D142" s="212">
        <v>24</v>
      </c>
      <c r="E142" s="212" t="s">
        <v>65</v>
      </c>
      <c r="F142" s="212" t="s">
        <v>65</v>
      </c>
      <c r="G142" s="212" t="s">
        <v>65</v>
      </c>
      <c r="H142" s="212" t="s">
        <v>65</v>
      </c>
      <c r="I142" s="212">
        <v>1</v>
      </c>
      <c r="J142" s="212">
        <v>20</v>
      </c>
      <c r="K142" s="212" t="s">
        <v>65</v>
      </c>
      <c r="L142" s="212">
        <v>24</v>
      </c>
      <c r="M142" s="212">
        <v>2</v>
      </c>
      <c r="N142" s="212" t="s">
        <v>65</v>
      </c>
      <c r="O142" s="212">
        <v>652</v>
      </c>
      <c r="P142" s="212">
        <v>4</v>
      </c>
      <c r="Q142" s="212" t="s">
        <v>65</v>
      </c>
      <c r="R142" s="212">
        <v>162</v>
      </c>
      <c r="S142" s="212">
        <v>1</v>
      </c>
      <c r="T142" s="212">
        <v>10</v>
      </c>
      <c r="U142" s="212">
        <v>0</v>
      </c>
      <c r="V142" s="212">
        <v>984</v>
      </c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</row>
    <row r="143" spans="1:43" ht="16.5" customHeight="1" x14ac:dyDescent="0.3">
      <c r="A143" s="323"/>
      <c r="B143" s="95" t="s">
        <v>595</v>
      </c>
      <c r="C143" s="212">
        <v>761</v>
      </c>
      <c r="D143" s="212">
        <v>60</v>
      </c>
      <c r="E143" s="212" t="s">
        <v>65</v>
      </c>
      <c r="F143" s="212">
        <v>36</v>
      </c>
      <c r="G143" s="212" t="s">
        <v>65</v>
      </c>
      <c r="H143" s="212">
        <v>3</v>
      </c>
      <c r="I143" s="212">
        <v>1</v>
      </c>
      <c r="J143" s="212">
        <v>11</v>
      </c>
      <c r="K143" s="212" t="s">
        <v>65</v>
      </c>
      <c r="L143" s="212">
        <v>11</v>
      </c>
      <c r="M143" s="212" t="s">
        <v>65</v>
      </c>
      <c r="N143" s="212" t="s">
        <v>65</v>
      </c>
      <c r="O143" s="212">
        <v>723</v>
      </c>
      <c r="P143" s="212" t="s">
        <v>65</v>
      </c>
      <c r="Q143" s="212" t="s">
        <v>65</v>
      </c>
      <c r="R143" s="212">
        <v>53</v>
      </c>
      <c r="S143" s="212">
        <v>1</v>
      </c>
      <c r="T143" s="212">
        <v>12</v>
      </c>
      <c r="U143" s="212" t="s">
        <v>65</v>
      </c>
      <c r="V143" s="212">
        <v>1673</v>
      </c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</row>
    <row r="144" spans="1:43" ht="16.5" customHeight="1" x14ac:dyDescent="0.3">
      <c r="A144" s="323"/>
      <c r="B144" s="95" t="s">
        <v>604</v>
      </c>
      <c r="C144" s="212">
        <v>8</v>
      </c>
      <c r="D144" s="212">
        <v>3</v>
      </c>
      <c r="E144" s="212" t="s">
        <v>65</v>
      </c>
      <c r="F144" s="212" t="s">
        <v>65</v>
      </c>
      <c r="G144" s="212" t="s">
        <v>65</v>
      </c>
      <c r="H144" s="212" t="s">
        <v>65</v>
      </c>
      <c r="I144" s="212" t="s">
        <v>65</v>
      </c>
      <c r="J144" s="212">
        <v>2</v>
      </c>
      <c r="K144" s="212" t="s">
        <v>65</v>
      </c>
      <c r="L144" s="212">
        <v>1</v>
      </c>
      <c r="M144" s="212" t="s">
        <v>65</v>
      </c>
      <c r="N144" s="212" t="s">
        <v>65</v>
      </c>
      <c r="O144" s="212">
        <v>48</v>
      </c>
      <c r="P144" s="212" t="s">
        <v>65</v>
      </c>
      <c r="Q144" s="212" t="s">
        <v>65</v>
      </c>
      <c r="R144" s="212">
        <v>4</v>
      </c>
      <c r="S144" s="212" t="s">
        <v>65</v>
      </c>
      <c r="T144" s="212">
        <v>11</v>
      </c>
      <c r="U144" s="212">
        <v>20</v>
      </c>
      <c r="V144" s="212">
        <v>96</v>
      </c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</row>
    <row r="145" spans="1:43" ht="16.5" customHeight="1" x14ac:dyDescent="0.3">
      <c r="A145" s="323"/>
      <c r="B145" s="95" t="s">
        <v>600</v>
      </c>
      <c r="C145" s="212">
        <v>6</v>
      </c>
      <c r="D145" s="212" t="s">
        <v>65</v>
      </c>
      <c r="E145" s="212">
        <v>1</v>
      </c>
      <c r="F145" s="212">
        <v>3</v>
      </c>
      <c r="G145" s="212" t="s">
        <v>65</v>
      </c>
      <c r="H145" s="212" t="s">
        <v>65</v>
      </c>
      <c r="I145" s="212" t="s">
        <v>65</v>
      </c>
      <c r="J145" s="212">
        <v>3</v>
      </c>
      <c r="K145" s="212" t="s">
        <v>65</v>
      </c>
      <c r="L145" s="212" t="s">
        <v>65</v>
      </c>
      <c r="M145" s="212">
        <v>1</v>
      </c>
      <c r="N145" s="212" t="s">
        <v>65</v>
      </c>
      <c r="O145" s="212">
        <v>142</v>
      </c>
      <c r="P145" s="212" t="s">
        <v>65</v>
      </c>
      <c r="Q145" s="212" t="s">
        <v>65</v>
      </c>
      <c r="R145" s="212">
        <v>85</v>
      </c>
      <c r="S145" s="212">
        <v>1</v>
      </c>
      <c r="T145" s="212">
        <v>3</v>
      </c>
      <c r="U145" s="212">
        <v>2</v>
      </c>
      <c r="V145" s="212">
        <v>246</v>
      </c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</row>
    <row r="146" spans="1:43" ht="16.5" customHeight="1" x14ac:dyDescent="0.3">
      <c r="A146" s="323"/>
      <c r="B146" s="95" t="s">
        <v>606</v>
      </c>
      <c r="C146" s="212">
        <v>46</v>
      </c>
      <c r="D146" s="212">
        <v>19</v>
      </c>
      <c r="E146" s="212" t="s">
        <v>65</v>
      </c>
      <c r="F146" s="212" t="s">
        <v>65</v>
      </c>
      <c r="G146" s="212" t="s">
        <v>65</v>
      </c>
      <c r="H146" s="212" t="s">
        <v>65</v>
      </c>
      <c r="I146" s="212" t="s">
        <v>65</v>
      </c>
      <c r="J146" s="212">
        <v>9</v>
      </c>
      <c r="K146" s="212" t="s">
        <v>65</v>
      </c>
      <c r="L146" s="212" t="s">
        <v>65</v>
      </c>
      <c r="M146" s="212" t="s">
        <v>65</v>
      </c>
      <c r="N146" s="212" t="s">
        <v>65</v>
      </c>
      <c r="O146" s="212">
        <v>1</v>
      </c>
      <c r="P146" s="212" t="s">
        <v>65</v>
      </c>
      <c r="Q146" s="212" t="s">
        <v>65</v>
      </c>
      <c r="R146" s="212">
        <v>4</v>
      </c>
      <c r="S146" s="212" t="s">
        <v>65</v>
      </c>
      <c r="T146" s="212" t="s">
        <v>65</v>
      </c>
      <c r="U146" s="212">
        <v>93</v>
      </c>
      <c r="V146" s="212">
        <v>173</v>
      </c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</row>
    <row r="147" spans="1:43" x14ac:dyDescent="0.3">
      <c r="A147" s="308"/>
      <c r="B147" s="97" t="s">
        <v>86</v>
      </c>
      <c r="C147" s="214">
        <v>2299</v>
      </c>
      <c r="D147" s="214">
        <v>261</v>
      </c>
      <c r="E147" s="214">
        <v>4</v>
      </c>
      <c r="F147" s="214">
        <v>39</v>
      </c>
      <c r="G147" s="214">
        <v>0</v>
      </c>
      <c r="H147" s="214">
        <v>15</v>
      </c>
      <c r="I147" s="214">
        <v>7</v>
      </c>
      <c r="J147" s="214">
        <v>117</v>
      </c>
      <c r="K147" s="214">
        <v>0</v>
      </c>
      <c r="L147" s="214">
        <v>723</v>
      </c>
      <c r="M147" s="214">
        <v>12</v>
      </c>
      <c r="N147" s="214">
        <v>2</v>
      </c>
      <c r="O147" s="214">
        <v>3127</v>
      </c>
      <c r="P147" s="214">
        <v>4</v>
      </c>
      <c r="Q147" s="214">
        <v>0</v>
      </c>
      <c r="R147" s="214">
        <v>827</v>
      </c>
      <c r="S147" s="214">
        <v>30</v>
      </c>
      <c r="T147" s="214">
        <v>46</v>
      </c>
      <c r="U147" s="214">
        <v>118</v>
      </c>
      <c r="V147" s="214">
        <v>7632</v>
      </c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</row>
    <row r="148" spans="1:43" ht="16.5" customHeight="1" x14ac:dyDescent="0.3">
      <c r="A148" s="307" t="s">
        <v>152</v>
      </c>
      <c r="B148" s="95" t="s">
        <v>691</v>
      </c>
      <c r="C148" s="212">
        <v>23</v>
      </c>
      <c r="D148" s="212">
        <v>3</v>
      </c>
      <c r="E148" s="212" t="s">
        <v>65</v>
      </c>
      <c r="F148" s="212">
        <v>2</v>
      </c>
      <c r="G148" s="212" t="s">
        <v>65</v>
      </c>
      <c r="H148" s="212" t="s">
        <v>65</v>
      </c>
      <c r="I148" s="212" t="s">
        <v>65</v>
      </c>
      <c r="J148" s="212">
        <v>16</v>
      </c>
      <c r="K148" s="212" t="s">
        <v>65</v>
      </c>
      <c r="L148" s="212" t="s">
        <v>65</v>
      </c>
      <c r="M148" s="212">
        <v>2</v>
      </c>
      <c r="N148" s="212">
        <v>0</v>
      </c>
      <c r="O148" s="212">
        <v>304</v>
      </c>
      <c r="P148" s="212" t="s">
        <v>65</v>
      </c>
      <c r="Q148" s="212" t="s">
        <v>65</v>
      </c>
      <c r="R148" s="212">
        <v>204</v>
      </c>
      <c r="S148" s="212" t="s">
        <v>65</v>
      </c>
      <c r="T148" s="212" t="s">
        <v>65</v>
      </c>
      <c r="U148" s="212">
        <v>2</v>
      </c>
      <c r="V148" s="212">
        <v>556</v>
      </c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</row>
    <row r="149" spans="1:43" ht="16.5" customHeight="1" x14ac:dyDescent="0.3">
      <c r="A149" s="323"/>
      <c r="B149" s="95" t="s">
        <v>611</v>
      </c>
      <c r="C149" s="212">
        <v>249</v>
      </c>
      <c r="D149" s="212">
        <v>8</v>
      </c>
      <c r="E149" s="212" t="s">
        <v>65</v>
      </c>
      <c r="F149" s="212">
        <v>17</v>
      </c>
      <c r="G149" s="212" t="s">
        <v>65</v>
      </c>
      <c r="H149" s="212">
        <v>1</v>
      </c>
      <c r="I149" s="212">
        <v>2</v>
      </c>
      <c r="J149" s="212">
        <v>21</v>
      </c>
      <c r="K149" s="212" t="s">
        <v>65</v>
      </c>
      <c r="L149" s="212">
        <v>2</v>
      </c>
      <c r="M149" s="212">
        <v>3</v>
      </c>
      <c r="N149" s="212">
        <v>1</v>
      </c>
      <c r="O149" s="212">
        <v>359</v>
      </c>
      <c r="P149" s="212" t="s">
        <v>65</v>
      </c>
      <c r="Q149" s="212" t="s">
        <v>65</v>
      </c>
      <c r="R149" s="212">
        <v>231</v>
      </c>
      <c r="S149" s="212">
        <v>10</v>
      </c>
      <c r="T149" s="212">
        <v>7</v>
      </c>
      <c r="U149" s="212">
        <v>20</v>
      </c>
      <c r="V149" s="212">
        <v>930</v>
      </c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</row>
    <row r="150" spans="1:43" ht="16.5" customHeight="1" x14ac:dyDescent="0.3">
      <c r="A150" s="323"/>
      <c r="B150" s="95" t="s">
        <v>607</v>
      </c>
      <c r="C150" s="212">
        <v>469</v>
      </c>
      <c r="D150" s="212">
        <v>26</v>
      </c>
      <c r="E150" s="212" t="s">
        <v>65</v>
      </c>
      <c r="F150" s="212">
        <v>2</v>
      </c>
      <c r="G150" s="212" t="s">
        <v>65</v>
      </c>
      <c r="H150" s="212">
        <v>2</v>
      </c>
      <c r="I150" s="212" t="s">
        <v>65</v>
      </c>
      <c r="J150" s="212">
        <v>68</v>
      </c>
      <c r="K150" s="212" t="s">
        <v>65</v>
      </c>
      <c r="L150" s="212">
        <v>254</v>
      </c>
      <c r="M150" s="212">
        <v>1</v>
      </c>
      <c r="N150" s="212" t="s">
        <v>65</v>
      </c>
      <c r="O150" s="212">
        <v>379</v>
      </c>
      <c r="P150" s="212" t="s">
        <v>65</v>
      </c>
      <c r="Q150" s="212" t="s">
        <v>65</v>
      </c>
      <c r="R150" s="212">
        <v>241</v>
      </c>
      <c r="S150" s="212">
        <v>2</v>
      </c>
      <c r="T150" s="212">
        <v>1</v>
      </c>
      <c r="U150" s="212">
        <v>13</v>
      </c>
      <c r="V150" s="212">
        <v>1458</v>
      </c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</row>
    <row r="151" spans="1:43" ht="16.5" customHeight="1" x14ac:dyDescent="0.3">
      <c r="A151" s="323"/>
      <c r="B151" s="95" t="s">
        <v>614</v>
      </c>
      <c r="C151" s="212">
        <v>304</v>
      </c>
      <c r="D151" s="212">
        <v>26</v>
      </c>
      <c r="E151" s="212" t="s">
        <v>65</v>
      </c>
      <c r="F151" s="212" t="s">
        <v>65</v>
      </c>
      <c r="G151" s="212" t="s">
        <v>65</v>
      </c>
      <c r="H151" s="212">
        <v>0</v>
      </c>
      <c r="I151" s="212" t="s">
        <v>65</v>
      </c>
      <c r="J151" s="212">
        <v>7</v>
      </c>
      <c r="K151" s="212">
        <v>4</v>
      </c>
      <c r="L151" s="212">
        <v>8</v>
      </c>
      <c r="M151" s="212" t="s">
        <v>65</v>
      </c>
      <c r="N151" s="212" t="s">
        <v>65</v>
      </c>
      <c r="O151" s="212">
        <v>2376</v>
      </c>
      <c r="P151" s="212" t="s">
        <v>65</v>
      </c>
      <c r="Q151" s="212" t="s">
        <v>65</v>
      </c>
      <c r="R151" s="212">
        <v>250</v>
      </c>
      <c r="S151" s="212" t="s">
        <v>65</v>
      </c>
      <c r="T151" s="212" t="s">
        <v>65</v>
      </c>
      <c r="U151" s="212" t="s">
        <v>65</v>
      </c>
      <c r="V151" s="212">
        <v>2977</v>
      </c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</row>
    <row r="152" spans="1:43" ht="16.5" customHeight="1" x14ac:dyDescent="0.3">
      <c r="A152" s="323"/>
      <c r="B152" s="95" t="s">
        <v>615</v>
      </c>
      <c r="C152" s="212">
        <v>226</v>
      </c>
      <c r="D152" s="212">
        <v>18</v>
      </c>
      <c r="E152" s="212" t="s">
        <v>65</v>
      </c>
      <c r="F152" s="212">
        <v>10</v>
      </c>
      <c r="G152" s="212" t="s">
        <v>65</v>
      </c>
      <c r="H152" s="212" t="s">
        <v>65</v>
      </c>
      <c r="I152" s="212" t="s">
        <v>65</v>
      </c>
      <c r="J152" s="212">
        <v>142</v>
      </c>
      <c r="K152" s="212" t="s">
        <v>65</v>
      </c>
      <c r="L152" s="212">
        <v>5936</v>
      </c>
      <c r="M152" s="212">
        <v>0</v>
      </c>
      <c r="N152" s="212">
        <v>1</v>
      </c>
      <c r="O152" s="212">
        <v>48</v>
      </c>
      <c r="P152" s="212">
        <v>1</v>
      </c>
      <c r="Q152" s="212">
        <v>2</v>
      </c>
      <c r="R152" s="212">
        <v>29</v>
      </c>
      <c r="S152" s="212">
        <v>3</v>
      </c>
      <c r="T152" s="212">
        <v>6</v>
      </c>
      <c r="U152" s="212">
        <v>4</v>
      </c>
      <c r="V152" s="212">
        <v>6427</v>
      </c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</row>
    <row r="153" spans="1:43" ht="16.5" customHeight="1" x14ac:dyDescent="0.3">
      <c r="A153" s="323"/>
      <c r="B153" s="95" t="s">
        <v>692</v>
      </c>
      <c r="C153" s="212">
        <v>2804</v>
      </c>
      <c r="D153" s="212">
        <v>236</v>
      </c>
      <c r="E153" s="212" t="s">
        <v>65</v>
      </c>
      <c r="F153" s="212" t="s">
        <v>65</v>
      </c>
      <c r="G153" s="212" t="s">
        <v>65</v>
      </c>
      <c r="H153" s="212">
        <v>5</v>
      </c>
      <c r="I153" s="212" t="s">
        <v>65</v>
      </c>
      <c r="J153" s="212">
        <v>112</v>
      </c>
      <c r="K153" s="212" t="s">
        <v>65</v>
      </c>
      <c r="L153" s="212">
        <v>41</v>
      </c>
      <c r="M153" s="212">
        <v>1</v>
      </c>
      <c r="N153" s="212" t="s">
        <v>65</v>
      </c>
      <c r="O153" s="212">
        <v>2277</v>
      </c>
      <c r="P153" s="212" t="s">
        <v>65</v>
      </c>
      <c r="Q153" s="212">
        <v>1</v>
      </c>
      <c r="R153" s="212">
        <v>233</v>
      </c>
      <c r="S153" s="212" t="s">
        <v>65</v>
      </c>
      <c r="T153" s="212" t="s">
        <v>65</v>
      </c>
      <c r="U153" s="212" t="s">
        <v>65</v>
      </c>
      <c r="V153" s="212">
        <v>5710</v>
      </c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</row>
    <row r="154" spans="1:43" ht="16.5" customHeight="1" x14ac:dyDescent="0.3">
      <c r="A154" s="323"/>
      <c r="B154" s="95" t="s">
        <v>608</v>
      </c>
      <c r="C154" s="212">
        <v>434</v>
      </c>
      <c r="D154" s="212">
        <v>8</v>
      </c>
      <c r="E154" s="212" t="s">
        <v>65</v>
      </c>
      <c r="F154" s="212" t="s">
        <v>65</v>
      </c>
      <c r="G154" s="212" t="s">
        <v>65</v>
      </c>
      <c r="H154" s="212" t="s">
        <v>65</v>
      </c>
      <c r="I154" s="212" t="s">
        <v>65</v>
      </c>
      <c r="J154" s="212">
        <v>20</v>
      </c>
      <c r="K154" s="212" t="s">
        <v>65</v>
      </c>
      <c r="L154" s="212" t="s">
        <v>65</v>
      </c>
      <c r="M154" s="212" t="s">
        <v>65</v>
      </c>
      <c r="N154" s="212" t="s">
        <v>65</v>
      </c>
      <c r="O154" s="212">
        <v>1389</v>
      </c>
      <c r="P154" s="212" t="s">
        <v>65</v>
      </c>
      <c r="Q154" s="212" t="s">
        <v>65</v>
      </c>
      <c r="R154" s="212">
        <v>390</v>
      </c>
      <c r="S154" s="212" t="s">
        <v>65</v>
      </c>
      <c r="T154" s="212" t="s">
        <v>65</v>
      </c>
      <c r="U154" s="212" t="s">
        <v>65</v>
      </c>
      <c r="V154" s="212">
        <v>2240</v>
      </c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</row>
    <row r="155" spans="1:43" ht="16.5" customHeight="1" x14ac:dyDescent="0.3">
      <c r="A155" s="323"/>
      <c r="B155" s="95" t="s">
        <v>612</v>
      </c>
      <c r="C155" s="212">
        <v>278</v>
      </c>
      <c r="D155" s="212">
        <v>9</v>
      </c>
      <c r="E155" s="212" t="s">
        <v>65</v>
      </c>
      <c r="F155" s="212">
        <v>1</v>
      </c>
      <c r="G155" s="212" t="s">
        <v>65</v>
      </c>
      <c r="H155" s="212" t="s">
        <v>65</v>
      </c>
      <c r="I155" s="212">
        <v>0</v>
      </c>
      <c r="J155" s="212">
        <v>32</v>
      </c>
      <c r="K155" s="212">
        <v>1</v>
      </c>
      <c r="L155" s="212">
        <v>22</v>
      </c>
      <c r="M155" s="212" t="s">
        <v>65</v>
      </c>
      <c r="N155" s="212" t="s">
        <v>65</v>
      </c>
      <c r="O155" s="212">
        <v>47</v>
      </c>
      <c r="P155" s="212" t="s">
        <v>65</v>
      </c>
      <c r="Q155" s="212" t="s">
        <v>65</v>
      </c>
      <c r="R155" s="212">
        <v>69</v>
      </c>
      <c r="S155" s="212">
        <v>3</v>
      </c>
      <c r="T155" s="212" t="s">
        <v>65</v>
      </c>
      <c r="U155" s="212">
        <v>13</v>
      </c>
      <c r="V155" s="212">
        <v>476</v>
      </c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</row>
    <row r="156" spans="1:43" ht="16.5" customHeight="1" x14ac:dyDescent="0.3">
      <c r="A156" s="323"/>
      <c r="B156" s="95" t="s">
        <v>610</v>
      </c>
      <c r="C156" s="212">
        <v>275</v>
      </c>
      <c r="D156" s="212">
        <v>34</v>
      </c>
      <c r="E156" s="212" t="s">
        <v>65</v>
      </c>
      <c r="F156" s="212">
        <v>28</v>
      </c>
      <c r="G156" s="212" t="s">
        <v>65</v>
      </c>
      <c r="H156" s="212">
        <v>7</v>
      </c>
      <c r="I156" s="212" t="s">
        <v>65</v>
      </c>
      <c r="J156" s="212">
        <v>72</v>
      </c>
      <c r="K156" s="212" t="s">
        <v>65</v>
      </c>
      <c r="L156" s="212">
        <v>75</v>
      </c>
      <c r="M156" s="212">
        <v>2</v>
      </c>
      <c r="N156" s="212" t="s">
        <v>65</v>
      </c>
      <c r="O156" s="212">
        <v>1066</v>
      </c>
      <c r="P156" s="212" t="s">
        <v>65</v>
      </c>
      <c r="Q156" s="212" t="s">
        <v>65</v>
      </c>
      <c r="R156" s="212">
        <v>301</v>
      </c>
      <c r="S156" s="212">
        <v>1</v>
      </c>
      <c r="T156" s="212">
        <v>6</v>
      </c>
      <c r="U156" s="212">
        <v>2</v>
      </c>
      <c r="V156" s="212">
        <v>1869</v>
      </c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</row>
    <row r="157" spans="1:43" ht="16.5" customHeight="1" x14ac:dyDescent="0.3">
      <c r="A157" s="323"/>
      <c r="B157" s="95" t="s">
        <v>613</v>
      </c>
      <c r="C157" s="212">
        <v>478</v>
      </c>
      <c r="D157" s="212">
        <v>67</v>
      </c>
      <c r="E157" s="212" t="s">
        <v>65</v>
      </c>
      <c r="F157" s="212" t="s">
        <v>65</v>
      </c>
      <c r="G157" s="212" t="s">
        <v>65</v>
      </c>
      <c r="H157" s="212" t="s">
        <v>65</v>
      </c>
      <c r="I157" s="212" t="s">
        <v>65</v>
      </c>
      <c r="J157" s="212">
        <v>54</v>
      </c>
      <c r="K157" s="212" t="s">
        <v>65</v>
      </c>
      <c r="L157" s="212">
        <v>208</v>
      </c>
      <c r="M157" s="212">
        <v>3</v>
      </c>
      <c r="N157" s="212">
        <v>2</v>
      </c>
      <c r="O157" s="212">
        <v>1545</v>
      </c>
      <c r="P157" s="212" t="s">
        <v>65</v>
      </c>
      <c r="Q157" s="212" t="s">
        <v>65</v>
      </c>
      <c r="R157" s="212">
        <v>225</v>
      </c>
      <c r="S157" s="212">
        <v>6</v>
      </c>
      <c r="T157" s="212">
        <v>15</v>
      </c>
      <c r="U157" s="212" t="s">
        <v>65</v>
      </c>
      <c r="V157" s="212">
        <v>2602</v>
      </c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</row>
    <row r="158" spans="1:43" ht="16.5" customHeight="1" x14ac:dyDescent="0.3">
      <c r="A158" s="323"/>
      <c r="B158" s="95" t="s">
        <v>609</v>
      </c>
      <c r="C158" s="212">
        <v>297</v>
      </c>
      <c r="D158" s="212">
        <v>19</v>
      </c>
      <c r="E158" s="212" t="s">
        <v>65</v>
      </c>
      <c r="F158" s="212">
        <v>85</v>
      </c>
      <c r="G158" s="212" t="s">
        <v>65</v>
      </c>
      <c r="H158" s="212">
        <v>3</v>
      </c>
      <c r="I158" s="212">
        <v>1</v>
      </c>
      <c r="J158" s="212">
        <v>3</v>
      </c>
      <c r="K158" s="212" t="s">
        <v>65</v>
      </c>
      <c r="L158" s="212">
        <v>75</v>
      </c>
      <c r="M158" s="212" t="s">
        <v>65</v>
      </c>
      <c r="N158" s="212" t="s">
        <v>65</v>
      </c>
      <c r="O158" s="212">
        <v>1083</v>
      </c>
      <c r="P158" s="212" t="s">
        <v>65</v>
      </c>
      <c r="Q158" s="212" t="s">
        <v>65</v>
      </c>
      <c r="R158" s="212">
        <v>298</v>
      </c>
      <c r="S158" s="212">
        <v>3</v>
      </c>
      <c r="T158" s="212" t="s">
        <v>65</v>
      </c>
      <c r="U158" s="212" t="s">
        <v>65</v>
      </c>
      <c r="V158" s="212">
        <v>1866</v>
      </c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</row>
    <row r="159" spans="1:43" ht="16.5" customHeight="1" x14ac:dyDescent="0.3">
      <c r="A159" s="323"/>
      <c r="B159" s="95" t="s">
        <v>616</v>
      </c>
      <c r="C159" s="212">
        <v>932</v>
      </c>
      <c r="D159" s="212">
        <v>66</v>
      </c>
      <c r="E159" s="212" t="s">
        <v>65</v>
      </c>
      <c r="F159" s="212" t="s">
        <v>65</v>
      </c>
      <c r="G159" s="212" t="s">
        <v>65</v>
      </c>
      <c r="H159" s="212">
        <v>2</v>
      </c>
      <c r="I159" s="212" t="s">
        <v>65</v>
      </c>
      <c r="J159" s="212">
        <v>35</v>
      </c>
      <c r="K159" s="212" t="s">
        <v>65</v>
      </c>
      <c r="L159" s="212">
        <v>8458</v>
      </c>
      <c r="M159" s="212">
        <v>6</v>
      </c>
      <c r="N159" s="212">
        <v>2</v>
      </c>
      <c r="O159" s="212">
        <v>187</v>
      </c>
      <c r="P159" s="212" t="s">
        <v>65</v>
      </c>
      <c r="Q159" s="212" t="s">
        <v>65</v>
      </c>
      <c r="R159" s="212">
        <v>86</v>
      </c>
      <c r="S159" s="212" t="s">
        <v>65</v>
      </c>
      <c r="T159" s="212" t="s">
        <v>65</v>
      </c>
      <c r="U159" s="212">
        <v>94</v>
      </c>
      <c r="V159" s="212">
        <v>9866</v>
      </c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</row>
    <row r="160" spans="1:43" x14ac:dyDescent="0.3">
      <c r="A160" s="308"/>
      <c r="B160" s="97" t="s">
        <v>86</v>
      </c>
      <c r="C160" s="214">
        <v>6770</v>
      </c>
      <c r="D160" s="214">
        <v>520</v>
      </c>
      <c r="E160" s="214">
        <v>0</v>
      </c>
      <c r="F160" s="214">
        <v>145</v>
      </c>
      <c r="G160" s="214">
        <v>0</v>
      </c>
      <c r="H160" s="214">
        <v>20</v>
      </c>
      <c r="I160" s="214">
        <v>2</v>
      </c>
      <c r="J160" s="214">
        <v>582</v>
      </c>
      <c r="K160" s="214">
        <v>5</v>
      </c>
      <c r="L160" s="214">
        <v>15081</v>
      </c>
      <c r="M160" s="214">
        <v>17</v>
      </c>
      <c r="N160" s="214">
        <v>6</v>
      </c>
      <c r="O160" s="214">
        <v>11059</v>
      </c>
      <c r="P160" s="214">
        <v>1</v>
      </c>
      <c r="Q160" s="214">
        <v>3</v>
      </c>
      <c r="R160" s="214">
        <v>2557</v>
      </c>
      <c r="S160" s="214">
        <v>27</v>
      </c>
      <c r="T160" s="214">
        <v>34</v>
      </c>
      <c r="U160" s="214">
        <v>147</v>
      </c>
      <c r="V160" s="214">
        <v>36977</v>
      </c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</row>
    <row r="161" spans="1:43" ht="16.5" customHeight="1" x14ac:dyDescent="0.3">
      <c r="A161" s="307" t="s">
        <v>153</v>
      </c>
      <c r="B161" s="95" t="s">
        <v>620</v>
      </c>
      <c r="C161" s="212">
        <v>110</v>
      </c>
      <c r="D161" s="212">
        <v>8</v>
      </c>
      <c r="E161" s="212">
        <v>75</v>
      </c>
      <c r="F161" s="212">
        <v>1</v>
      </c>
      <c r="G161" s="212" t="s">
        <v>65</v>
      </c>
      <c r="H161" s="212" t="s">
        <v>65</v>
      </c>
      <c r="I161" s="212" t="s">
        <v>65</v>
      </c>
      <c r="J161" s="212">
        <v>95</v>
      </c>
      <c r="K161" s="212" t="s">
        <v>65</v>
      </c>
      <c r="L161" s="212">
        <v>3079</v>
      </c>
      <c r="M161" s="212">
        <v>1</v>
      </c>
      <c r="N161" s="212" t="s">
        <v>65</v>
      </c>
      <c r="O161" s="212">
        <v>5</v>
      </c>
      <c r="P161" s="212">
        <v>0</v>
      </c>
      <c r="Q161" s="212" t="s">
        <v>65</v>
      </c>
      <c r="R161" s="212">
        <v>38</v>
      </c>
      <c r="S161" s="212" t="s">
        <v>65</v>
      </c>
      <c r="T161" s="212" t="s">
        <v>65</v>
      </c>
      <c r="U161" s="212">
        <v>1</v>
      </c>
      <c r="V161" s="212">
        <v>3412</v>
      </c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</row>
    <row r="162" spans="1:43" ht="16.5" customHeight="1" x14ac:dyDescent="0.3">
      <c r="A162" s="323"/>
      <c r="B162" s="95" t="s">
        <v>694</v>
      </c>
      <c r="C162" s="212">
        <v>402</v>
      </c>
      <c r="D162" s="212">
        <v>2</v>
      </c>
      <c r="E162" s="212" t="s">
        <v>65</v>
      </c>
      <c r="F162" s="212" t="s">
        <v>65</v>
      </c>
      <c r="G162" s="212">
        <v>2</v>
      </c>
      <c r="H162" s="212" t="s">
        <v>65</v>
      </c>
      <c r="I162" s="212" t="s">
        <v>65</v>
      </c>
      <c r="J162" s="212">
        <v>0</v>
      </c>
      <c r="K162" s="212">
        <v>24</v>
      </c>
      <c r="L162" s="212" t="s">
        <v>65</v>
      </c>
      <c r="M162" s="212" t="s">
        <v>65</v>
      </c>
      <c r="N162" s="212" t="s">
        <v>65</v>
      </c>
      <c r="O162" s="212">
        <v>6</v>
      </c>
      <c r="P162" s="212" t="s">
        <v>65</v>
      </c>
      <c r="Q162" s="212" t="s">
        <v>65</v>
      </c>
      <c r="R162" s="212">
        <v>47</v>
      </c>
      <c r="S162" s="212" t="s">
        <v>65</v>
      </c>
      <c r="T162" s="212" t="s">
        <v>65</v>
      </c>
      <c r="U162" s="212">
        <v>1</v>
      </c>
      <c r="V162" s="212">
        <v>483</v>
      </c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</row>
    <row r="163" spans="1:43" ht="16.5" customHeight="1" x14ac:dyDescent="0.3">
      <c r="A163" s="323"/>
      <c r="B163" s="95" t="s">
        <v>695</v>
      </c>
      <c r="C163" s="212">
        <v>1097</v>
      </c>
      <c r="D163" s="212">
        <v>52</v>
      </c>
      <c r="E163" s="212" t="s">
        <v>65</v>
      </c>
      <c r="F163" s="212">
        <v>5</v>
      </c>
      <c r="G163" s="212" t="s">
        <v>65</v>
      </c>
      <c r="H163" s="212" t="s">
        <v>65</v>
      </c>
      <c r="I163" s="212" t="s">
        <v>65</v>
      </c>
      <c r="J163" s="212">
        <v>113</v>
      </c>
      <c r="K163" s="212" t="s">
        <v>65</v>
      </c>
      <c r="L163" s="212">
        <v>199</v>
      </c>
      <c r="M163" s="212">
        <v>1</v>
      </c>
      <c r="N163" s="212">
        <v>4</v>
      </c>
      <c r="O163" s="212">
        <v>81</v>
      </c>
      <c r="P163" s="212" t="s">
        <v>65</v>
      </c>
      <c r="Q163" s="212" t="s">
        <v>65</v>
      </c>
      <c r="R163" s="212">
        <v>109</v>
      </c>
      <c r="S163" s="212" t="s">
        <v>65</v>
      </c>
      <c r="T163" s="212" t="s">
        <v>65</v>
      </c>
      <c r="U163" s="212">
        <v>11</v>
      </c>
      <c r="V163" s="212">
        <v>1673</v>
      </c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</row>
    <row r="164" spans="1:43" ht="16.5" customHeight="1" x14ac:dyDescent="0.3">
      <c r="A164" s="323"/>
      <c r="B164" s="95" t="s">
        <v>617</v>
      </c>
      <c r="C164" s="212">
        <v>2608</v>
      </c>
      <c r="D164" s="212">
        <v>105</v>
      </c>
      <c r="E164" s="212">
        <v>5</v>
      </c>
      <c r="F164" s="212">
        <v>155</v>
      </c>
      <c r="G164" s="212">
        <v>2</v>
      </c>
      <c r="H164" s="212">
        <v>16</v>
      </c>
      <c r="I164" s="212">
        <v>6</v>
      </c>
      <c r="J164" s="212">
        <v>159</v>
      </c>
      <c r="K164" s="212">
        <v>33</v>
      </c>
      <c r="L164" s="212">
        <v>78</v>
      </c>
      <c r="M164" s="212">
        <v>41</v>
      </c>
      <c r="N164" s="212">
        <v>10</v>
      </c>
      <c r="O164" s="212">
        <v>1348</v>
      </c>
      <c r="P164" s="212">
        <v>9</v>
      </c>
      <c r="Q164" s="212">
        <v>0</v>
      </c>
      <c r="R164" s="212">
        <v>2304</v>
      </c>
      <c r="S164" s="212">
        <v>38</v>
      </c>
      <c r="T164" s="212">
        <v>3</v>
      </c>
      <c r="U164" s="212">
        <v>78</v>
      </c>
      <c r="V164" s="212">
        <v>7001</v>
      </c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</row>
    <row r="165" spans="1:43" ht="16.5" customHeight="1" x14ac:dyDescent="0.3">
      <c r="A165" s="323"/>
      <c r="B165" s="95" t="s">
        <v>619</v>
      </c>
      <c r="C165" s="212">
        <v>1261</v>
      </c>
      <c r="D165" s="212">
        <v>6</v>
      </c>
      <c r="E165" s="212" t="s">
        <v>65</v>
      </c>
      <c r="F165" s="212">
        <v>456</v>
      </c>
      <c r="G165" s="212" t="s">
        <v>65</v>
      </c>
      <c r="H165" s="212">
        <v>4</v>
      </c>
      <c r="I165" s="212">
        <v>11</v>
      </c>
      <c r="J165" s="212">
        <v>321</v>
      </c>
      <c r="K165" s="212" t="s">
        <v>65</v>
      </c>
      <c r="L165" s="212">
        <v>971</v>
      </c>
      <c r="M165" s="212">
        <v>3</v>
      </c>
      <c r="N165" s="212" t="s">
        <v>65</v>
      </c>
      <c r="O165" s="212">
        <v>27</v>
      </c>
      <c r="P165" s="212">
        <v>1</v>
      </c>
      <c r="Q165" s="212" t="s">
        <v>65</v>
      </c>
      <c r="R165" s="212">
        <v>27</v>
      </c>
      <c r="S165" s="212">
        <v>234</v>
      </c>
      <c r="T165" s="212">
        <v>21</v>
      </c>
      <c r="U165" s="212">
        <v>10</v>
      </c>
      <c r="V165" s="212">
        <v>3353</v>
      </c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</row>
    <row r="166" spans="1:43" ht="16.5" customHeight="1" x14ac:dyDescent="0.3">
      <c r="A166" s="323"/>
      <c r="B166" s="95" t="s">
        <v>696</v>
      </c>
      <c r="C166" s="212">
        <v>546</v>
      </c>
      <c r="D166" s="212">
        <v>5</v>
      </c>
      <c r="E166" s="212" t="s">
        <v>65</v>
      </c>
      <c r="F166" s="212">
        <v>15</v>
      </c>
      <c r="G166" s="212" t="s">
        <v>65</v>
      </c>
      <c r="H166" s="212" t="s">
        <v>65</v>
      </c>
      <c r="I166" s="212" t="s">
        <v>65</v>
      </c>
      <c r="J166" s="212">
        <v>4</v>
      </c>
      <c r="K166" s="212">
        <v>2</v>
      </c>
      <c r="L166" s="212" t="s">
        <v>65</v>
      </c>
      <c r="M166" s="212" t="s">
        <v>65</v>
      </c>
      <c r="N166" s="212" t="s">
        <v>65</v>
      </c>
      <c r="O166" s="212">
        <v>50</v>
      </c>
      <c r="P166" s="212" t="s">
        <v>65</v>
      </c>
      <c r="Q166" s="212" t="s">
        <v>65</v>
      </c>
      <c r="R166" s="212">
        <v>19</v>
      </c>
      <c r="S166" s="212">
        <v>7</v>
      </c>
      <c r="T166" s="212" t="s">
        <v>65</v>
      </c>
      <c r="U166" s="212" t="s">
        <v>65</v>
      </c>
      <c r="V166" s="212">
        <v>648</v>
      </c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</row>
    <row r="167" spans="1:43" ht="16.5" customHeight="1" x14ac:dyDescent="0.3">
      <c r="A167" s="323"/>
      <c r="B167" s="95" t="s">
        <v>697</v>
      </c>
      <c r="C167" s="212">
        <v>144</v>
      </c>
      <c r="D167" s="212">
        <v>3</v>
      </c>
      <c r="E167" s="212" t="s">
        <v>65</v>
      </c>
      <c r="F167" s="212">
        <v>38</v>
      </c>
      <c r="G167" s="212">
        <v>1</v>
      </c>
      <c r="H167" s="212">
        <v>2</v>
      </c>
      <c r="I167" s="212">
        <v>1</v>
      </c>
      <c r="J167" s="212">
        <v>56</v>
      </c>
      <c r="K167" s="212" t="s">
        <v>65</v>
      </c>
      <c r="L167" s="212" t="s">
        <v>65</v>
      </c>
      <c r="M167" s="212" t="s">
        <v>65</v>
      </c>
      <c r="N167" s="212">
        <v>14</v>
      </c>
      <c r="O167" s="212">
        <v>35</v>
      </c>
      <c r="P167" s="212" t="s">
        <v>65</v>
      </c>
      <c r="Q167" s="212" t="s">
        <v>65</v>
      </c>
      <c r="R167" s="212">
        <v>37</v>
      </c>
      <c r="S167" s="212">
        <v>11</v>
      </c>
      <c r="T167" s="212">
        <v>53</v>
      </c>
      <c r="U167" s="212">
        <v>295</v>
      </c>
      <c r="V167" s="212">
        <v>688</v>
      </c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</row>
    <row r="168" spans="1:43" ht="16.5" customHeight="1" x14ac:dyDescent="0.3">
      <c r="A168" s="323"/>
      <c r="B168" s="95" t="s">
        <v>618</v>
      </c>
      <c r="C168" s="212">
        <v>2329</v>
      </c>
      <c r="D168" s="212">
        <v>43</v>
      </c>
      <c r="E168" s="212">
        <v>13</v>
      </c>
      <c r="F168" s="212">
        <v>54</v>
      </c>
      <c r="G168" s="212" t="s">
        <v>65</v>
      </c>
      <c r="H168" s="212" t="s">
        <v>65</v>
      </c>
      <c r="I168" s="212" t="s">
        <v>65</v>
      </c>
      <c r="J168" s="212">
        <v>71</v>
      </c>
      <c r="K168" s="212">
        <v>3</v>
      </c>
      <c r="L168" s="212">
        <v>73</v>
      </c>
      <c r="M168" s="212">
        <v>3</v>
      </c>
      <c r="N168" s="212" t="s">
        <v>65</v>
      </c>
      <c r="O168" s="212">
        <v>115</v>
      </c>
      <c r="P168" s="212">
        <v>3</v>
      </c>
      <c r="Q168" s="212">
        <v>2</v>
      </c>
      <c r="R168" s="212">
        <v>115</v>
      </c>
      <c r="S168" s="212">
        <v>22</v>
      </c>
      <c r="T168" s="212" t="s">
        <v>65</v>
      </c>
      <c r="U168" s="212">
        <v>62</v>
      </c>
      <c r="V168" s="212">
        <v>2906</v>
      </c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</row>
    <row r="169" spans="1:43" ht="16.5" customHeight="1" x14ac:dyDescent="0.3">
      <c r="A169" s="323"/>
      <c r="B169" s="95" t="s">
        <v>698</v>
      </c>
      <c r="C169" s="212">
        <v>4718</v>
      </c>
      <c r="D169" s="212">
        <v>249</v>
      </c>
      <c r="E169" s="212">
        <v>12</v>
      </c>
      <c r="F169" s="212">
        <v>59</v>
      </c>
      <c r="G169" s="212">
        <v>9</v>
      </c>
      <c r="H169" s="212">
        <v>8</v>
      </c>
      <c r="I169" s="212">
        <v>8</v>
      </c>
      <c r="J169" s="212">
        <v>224</v>
      </c>
      <c r="K169" s="212">
        <v>44</v>
      </c>
      <c r="L169" s="212">
        <v>355</v>
      </c>
      <c r="M169" s="212">
        <v>32</v>
      </c>
      <c r="N169" s="212">
        <v>7</v>
      </c>
      <c r="O169" s="212">
        <v>532</v>
      </c>
      <c r="P169" s="212">
        <v>14</v>
      </c>
      <c r="Q169" s="212">
        <v>3</v>
      </c>
      <c r="R169" s="212">
        <v>477</v>
      </c>
      <c r="S169" s="212">
        <v>19</v>
      </c>
      <c r="T169" s="212">
        <v>10</v>
      </c>
      <c r="U169" s="212">
        <v>149</v>
      </c>
      <c r="V169" s="212">
        <v>6929</v>
      </c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</row>
    <row r="170" spans="1:43" ht="16.5" customHeight="1" x14ac:dyDescent="0.3">
      <c r="A170" s="323"/>
      <c r="B170" s="95" t="s">
        <v>699</v>
      </c>
      <c r="C170" s="212">
        <v>600</v>
      </c>
      <c r="D170" s="212">
        <v>73</v>
      </c>
      <c r="E170" s="212" t="s">
        <v>65</v>
      </c>
      <c r="F170" s="212">
        <v>13</v>
      </c>
      <c r="G170" s="212" t="s">
        <v>65</v>
      </c>
      <c r="H170" s="212" t="s">
        <v>65</v>
      </c>
      <c r="I170" s="212">
        <v>0</v>
      </c>
      <c r="J170" s="212">
        <v>18</v>
      </c>
      <c r="K170" s="212" t="s">
        <v>65</v>
      </c>
      <c r="L170" s="212">
        <v>75</v>
      </c>
      <c r="M170" s="212" t="s">
        <v>65</v>
      </c>
      <c r="N170" s="212">
        <v>0</v>
      </c>
      <c r="O170" s="212">
        <v>417</v>
      </c>
      <c r="P170" s="212" t="s">
        <v>65</v>
      </c>
      <c r="Q170" s="212" t="s">
        <v>65</v>
      </c>
      <c r="R170" s="212">
        <v>130</v>
      </c>
      <c r="S170" s="212">
        <v>5</v>
      </c>
      <c r="T170" s="212" t="s">
        <v>65</v>
      </c>
      <c r="U170" s="212">
        <v>29</v>
      </c>
      <c r="V170" s="212">
        <v>1359</v>
      </c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</row>
    <row r="171" spans="1:43" ht="16.5" customHeight="1" x14ac:dyDescent="0.3">
      <c r="A171" s="323"/>
      <c r="B171" s="95" t="s">
        <v>700</v>
      </c>
      <c r="C171" s="212">
        <v>131</v>
      </c>
      <c r="D171" s="212">
        <v>10</v>
      </c>
      <c r="E171" s="212" t="s">
        <v>65</v>
      </c>
      <c r="F171" s="212">
        <v>50</v>
      </c>
      <c r="G171" s="212" t="s">
        <v>65</v>
      </c>
      <c r="H171" s="212">
        <v>0</v>
      </c>
      <c r="I171" s="212" t="s">
        <v>65</v>
      </c>
      <c r="J171" s="212">
        <v>1</v>
      </c>
      <c r="K171" s="212" t="s">
        <v>65</v>
      </c>
      <c r="L171" s="212" t="s">
        <v>65</v>
      </c>
      <c r="M171" s="212">
        <v>1</v>
      </c>
      <c r="N171" s="212">
        <v>1</v>
      </c>
      <c r="O171" s="212">
        <v>110</v>
      </c>
      <c r="P171" s="212">
        <v>1</v>
      </c>
      <c r="Q171" s="212" t="s">
        <v>65</v>
      </c>
      <c r="R171" s="212">
        <v>105</v>
      </c>
      <c r="S171" s="212">
        <v>8</v>
      </c>
      <c r="T171" s="212" t="s">
        <v>65</v>
      </c>
      <c r="U171" s="212">
        <v>18</v>
      </c>
      <c r="V171" s="212">
        <v>436</v>
      </c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</row>
    <row r="172" spans="1:43" ht="16.5" customHeight="1" x14ac:dyDescent="0.3">
      <c r="A172" s="323"/>
      <c r="B172" s="95" t="s">
        <v>701</v>
      </c>
      <c r="C172" s="212">
        <v>348</v>
      </c>
      <c r="D172" s="212">
        <v>19</v>
      </c>
      <c r="E172" s="212" t="s">
        <v>65</v>
      </c>
      <c r="F172" s="212">
        <v>42</v>
      </c>
      <c r="G172" s="212" t="s">
        <v>65</v>
      </c>
      <c r="H172" s="212">
        <v>0</v>
      </c>
      <c r="I172" s="212">
        <v>1</v>
      </c>
      <c r="J172" s="212">
        <v>9</v>
      </c>
      <c r="K172" s="212">
        <v>14</v>
      </c>
      <c r="L172" s="212">
        <v>6</v>
      </c>
      <c r="M172" s="212">
        <v>10</v>
      </c>
      <c r="N172" s="212" t="s">
        <v>65</v>
      </c>
      <c r="O172" s="212">
        <v>62</v>
      </c>
      <c r="P172" s="212">
        <v>0</v>
      </c>
      <c r="Q172" s="212" t="s">
        <v>65</v>
      </c>
      <c r="R172" s="212">
        <v>351</v>
      </c>
      <c r="S172" s="212">
        <v>14</v>
      </c>
      <c r="T172" s="212" t="s">
        <v>65</v>
      </c>
      <c r="U172" s="212">
        <v>34</v>
      </c>
      <c r="V172" s="212">
        <v>909</v>
      </c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</row>
    <row r="173" spans="1:43" ht="16.5" customHeight="1" x14ac:dyDescent="0.3">
      <c r="A173" s="323"/>
      <c r="B173" s="95" t="s">
        <v>693</v>
      </c>
      <c r="C173" s="212">
        <v>2439</v>
      </c>
      <c r="D173" s="212">
        <v>215</v>
      </c>
      <c r="E173" s="212" t="s">
        <v>65</v>
      </c>
      <c r="F173" s="212">
        <v>6</v>
      </c>
      <c r="G173" s="212" t="s">
        <v>65</v>
      </c>
      <c r="H173" s="212">
        <v>1</v>
      </c>
      <c r="I173" s="212" t="s">
        <v>65</v>
      </c>
      <c r="J173" s="212">
        <v>15</v>
      </c>
      <c r="K173" s="212" t="s">
        <v>65</v>
      </c>
      <c r="L173" s="212" t="s">
        <v>65</v>
      </c>
      <c r="M173" s="212">
        <v>1</v>
      </c>
      <c r="N173" s="212">
        <v>1</v>
      </c>
      <c r="O173" s="212">
        <v>159</v>
      </c>
      <c r="P173" s="212" t="s">
        <v>65</v>
      </c>
      <c r="Q173" s="212" t="s">
        <v>65</v>
      </c>
      <c r="R173" s="212">
        <v>42</v>
      </c>
      <c r="S173" s="212" t="s">
        <v>65</v>
      </c>
      <c r="T173" s="212">
        <v>7</v>
      </c>
      <c r="U173" s="212">
        <v>7</v>
      </c>
      <c r="V173" s="212">
        <v>2894</v>
      </c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</row>
    <row r="174" spans="1:43" x14ac:dyDescent="0.3">
      <c r="A174" s="308"/>
      <c r="B174" s="97" t="s">
        <v>86</v>
      </c>
      <c r="C174" s="214">
        <v>16733</v>
      </c>
      <c r="D174" s="214">
        <v>790</v>
      </c>
      <c r="E174" s="214">
        <v>104</v>
      </c>
      <c r="F174" s="214">
        <v>893</v>
      </c>
      <c r="G174" s="214">
        <v>13</v>
      </c>
      <c r="H174" s="214">
        <v>31</v>
      </c>
      <c r="I174" s="214">
        <v>27</v>
      </c>
      <c r="J174" s="214">
        <v>1087</v>
      </c>
      <c r="K174" s="214">
        <v>120</v>
      </c>
      <c r="L174" s="214">
        <v>4835</v>
      </c>
      <c r="M174" s="214">
        <v>94</v>
      </c>
      <c r="N174" s="214">
        <v>38</v>
      </c>
      <c r="O174" s="214">
        <v>2944</v>
      </c>
      <c r="P174" s="214">
        <v>29</v>
      </c>
      <c r="Q174" s="214">
        <v>5</v>
      </c>
      <c r="R174" s="214">
        <v>3801</v>
      </c>
      <c r="S174" s="214">
        <v>358</v>
      </c>
      <c r="T174" s="214">
        <v>94</v>
      </c>
      <c r="U174" s="214">
        <v>694</v>
      </c>
      <c r="V174" s="214">
        <v>32692</v>
      </c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</row>
    <row r="175" spans="1:43" ht="16.5" customHeight="1" x14ac:dyDescent="0.3">
      <c r="A175" s="307" t="s">
        <v>154</v>
      </c>
      <c r="B175" s="95" t="s">
        <v>625</v>
      </c>
      <c r="C175" s="212">
        <v>36</v>
      </c>
      <c r="D175" s="212">
        <v>1</v>
      </c>
      <c r="E175" s="212" t="s">
        <v>65</v>
      </c>
      <c r="F175" s="212">
        <v>13</v>
      </c>
      <c r="G175" s="212" t="s">
        <v>65</v>
      </c>
      <c r="H175" s="212">
        <v>2</v>
      </c>
      <c r="I175" s="212">
        <v>2</v>
      </c>
      <c r="J175" s="212" t="s">
        <v>65</v>
      </c>
      <c r="K175" s="212" t="s">
        <v>65</v>
      </c>
      <c r="L175" s="212" t="s">
        <v>65</v>
      </c>
      <c r="M175" s="212" t="s">
        <v>65</v>
      </c>
      <c r="N175" s="212" t="s">
        <v>65</v>
      </c>
      <c r="O175" s="212">
        <v>325</v>
      </c>
      <c r="P175" s="212" t="s">
        <v>65</v>
      </c>
      <c r="Q175" s="212" t="s">
        <v>65</v>
      </c>
      <c r="R175" s="212">
        <v>8</v>
      </c>
      <c r="S175" s="212" t="s">
        <v>65</v>
      </c>
      <c r="T175" s="212" t="s">
        <v>65</v>
      </c>
      <c r="U175" s="212" t="s">
        <v>65</v>
      </c>
      <c r="V175" s="212">
        <v>386</v>
      </c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</row>
    <row r="176" spans="1:43" ht="16.5" customHeight="1" x14ac:dyDescent="0.3">
      <c r="A176" s="323"/>
      <c r="B176" s="95" t="s">
        <v>623</v>
      </c>
      <c r="C176" s="212">
        <v>26</v>
      </c>
      <c r="D176" s="212">
        <v>1</v>
      </c>
      <c r="E176" s="212" t="s">
        <v>65</v>
      </c>
      <c r="F176" s="212" t="s">
        <v>65</v>
      </c>
      <c r="G176" s="212" t="s">
        <v>65</v>
      </c>
      <c r="H176" s="212" t="s">
        <v>65</v>
      </c>
      <c r="I176" s="212" t="s">
        <v>65</v>
      </c>
      <c r="J176" s="212" t="s">
        <v>65</v>
      </c>
      <c r="K176" s="212" t="s">
        <v>65</v>
      </c>
      <c r="L176" s="212" t="s">
        <v>65</v>
      </c>
      <c r="M176" s="212" t="s">
        <v>65</v>
      </c>
      <c r="N176" s="212" t="s">
        <v>65</v>
      </c>
      <c r="O176" s="212">
        <v>406</v>
      </c>
      <c r="P176" s="212" t="s">
        <v>65</v>
      </c>
      <c r="Q176" s="212" t="s">
        <v>65</v>
      </c>
      <c r="R176" s="212">
        <v>11</v>
      </c>
      <c r="S176" s="212" t="s">
        <v>65</v>
      </c>
      <c r="T176" s="212" t="s">
        <v>65</v>
      </c>
      <c r="U176" s="212" t="s">
        <v>65</v>
      </c>
      <c r="V176" s="212">
        <v>444</v>
      </c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</row>
    <row r="177" spans="1:43" ht="16.5" customHeight="1" x14ac:dyDescent="0.3">
      <c r="A177" s="323"/>
      <c r="B177" s="95" t="s">
        <v>702</v>
      </c>
      <c r="C177" s="212">
        <v>187</v>
      </c>
      <c r="D177" s="212">
        <v>7</v>
      </c>
      <c r="E177" s="212" t="s">
        <v>65</v>
      </c>
      <c r="F177" s="212">
        <v>0</v>
      </c>
      <c r="G177" s="212" t="s">
        <v>65</v>
      </c>
      <c r="H177" s="212" t="s">
        <v>65</v>
      </c>
      <c r="I177" s="212" t="s">
        <v>65</v>
      </c>
      <c r="J177" s="212">
        <v>2</v>
      </c>
      <c r="K177" s="212" t="s">
        <v>65</v>
      </c>
      <c r="L177" s="212" t="s">
        <v>65</v>
      </c>
      <c r="M177" s="212" t="s">
        <v>65</v>
      </c>
      <c r="N177" s="212" t="s">
        <v>65</v>
      </c>
      <c r="O177" s="212">
        <v>866</v>
      </c>
      <c r="P177" s="212" t="s">
        <v>65</v>
      </c>
      <c r="Q177" s="212" t="s">
        <v>65</v>
      </c>
      <c r="R177" s="212">
        <v>65</v>
      </c>
      <c r="S177" s="212">
        <v>5</v>
      </c>
      <c r="T177" s="212">
        <v>2</v>
      </c>
      <c r="U177" s="212" t="s">
        <v>65</v>
      </c>
      <c r="V177" s="212">
        <v>1135</v>
      </c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</row>
    <row r="178" spans="1:43" ht="16.5" customHeight="1" x14ac:dyDescent="0.3">
      <c r="A178" s="323"/>
      <c r="B178" s="95" t="s">
        <v>624</v>
      </c>
      <c r="C178" s="212">
        <v>1768</v>
      </c>
      <c r="D178" s="212">
        <v>92</v>
      </c>
      <c r="E178" s="212" t="s">
        <v>65</v>
      </c>
      <c r="F178" s="212">
        <v>208</v>
      </c>
      <c r="G178" s="212" t="s">
        <v>65</v>
      </c>
      <c r="H178" s="212">
        <v>20</v>
      </c>
      <c r="I178" s="212">
        <v>16</v>
      </c>
      <c r="J178" s="212">
        <v>92</v>
      </c>
      <c r="K178" s="212" t="s">
        <v>65</v>
      </c>
      <c r="L178" s="212">
        <v>132</v>
      </c>
      <c r="M178" s="212" t="s">
        <v>65</v>
      </c>
      <c r="N178" s="212">
        <v>4</v>
      </c>
      <c r="O178" s="212">
        <v>3652</v>
      </c>
      <c r="P178" s="212" t="s">
        <v>65</v>
      </c>
      <c r="Q178" s="212" t="s">
        <v>65</v>
      </c>
      <c r="R178" s="212">
        <v>512</v>
      </c>
      <c r="S178" s="212">
        <v>193</v>
      </c>
      <c r="T178" s="212">
        <v>107</v>
      </c>
      <c r="U178" s="212">
        <v>14</v>
      </c>
      <c r="V178" s="212">
        <v>6810</v>
      </c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</row>
    <row r="179" spans="1:43" ht="16.5" customHeight="1" x14ac:dyDescent="0.3">
      <c r="A179" s="323"/>
      <c r="B179" s="95" t="s">
        <v>621</v>
      </c>
      <c r="C179" s="212">
        <v>324</v>
      </c>
      <c r="D179" s="212">
        <v>7</v>
      </c>
      <c r="E179" s="212" t="s">
        <v>65</v>
      </c>
      <c r="F179" s="212">
        <v>10</v>
      </c>
      <c r="G179" s="212" t="s">
        <v>65</v>
      </c>
      <c r="H179" s="212">
        <v>1</v>
      </c>
      <c r="I179" s="212">
        <v>4</v>
      </c>
      <c r="J179" s="212">
        <v>83</v>
      </c>
      <c r="K179" s="212" t="s">
        <v>65</v>
      </c>
      <c r="L179" s="212" t="s">
        <v>65</v>
      </c>
      <c r="M179" s="212" t="s">
        <v>65</v>
      </c>
      <c r="N179" s="212" t="s">
        <v>65</v>
      </c>
      <c r="O179" s="212">
        <v>599</v>
      </c>
      <c r="P179" s="212" t="s">
        <v>65</v>
      </c>
      <c r="Q179" s="212" t="s">
        <v>65</v>
      </c>
      <c r="R179" s="212">
        <v>21</v>
      </c>
      <c r="S179" s="212">
        <v>9</v>
      </c>
      <c r="T179" s="212">
        <v>13</v>
      </c>
      <c r="U179" s="212">
        <v>1</v>
      </c>
      <c r="V179" s="212">
        <v>1072</v>
      </c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</row>
    <row r="180" spans="1:43" ht="16.5" customHeight="1" x14ac:dyDescent="0.3">
      <c r="A180" s="323"/>
      <c r="B180" s="95" t="s">
        <v>622</v>
      </c>
      <c r="C180" s="212">
        <v>188</v>
      </c>
      <c r="D180" s="212">
        <v>16</v>
      </c>
      <c r="E180" s="212" t="s">
        <v>65</v>
      </c>
      <c r="F180" s="212">
        <v>89</v>
      </c>
      <c r="G180" s="212" t="s">
        <v>65</v>
      </c>
      <c r="H180" s="212" t="s">
        <v>65</v>
      </c>
      <c r="I180" s="212" t="s">
        <v>65</v>
      </c>
      <c r="J180" s="212">
        <v>19</v>
      </c>
      <c r="K180" s="212" t="s">
        <v>65</v>
      </c>
      <c r="L180" s="212" t="s">
        <v>65</v>
      </c>
      <c r="M180" s="212" t="s">
        <v>65</v>
      </c>
      <c r="N180" s="212" t="s">
        <v>65</v>
      </c>
      <c r="O180" s="212">
        <v>473</v>
      </c>
      <c r="P180" s="212" t="s">
        <v>65</v>
      </c>
      <c r="Q180" s="212" t="s">
        <v>65</v>
      </c>
      <c r="R180" s="212">
        <v>12</v>
      </c>
      <c r="S180" s="212" t="s">
        <v>65</v>
      </c>
      <c r="T180" s="212">
        <v>2</v>
      </c>
      <c r="U180" s="212" t="s">
        <v>65</v>
      </c>
      <c r="V180" s="212">
        <v>799</v>
      </c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</row>
    <row r="181" spans="1:43" ht="16.5" customHeight="1" x14ac:dyDescent="0.3">
      <c r="A181" s="323"/>
      <c r="B181" s="95" t="s">
        <v>703</v>
      </c>
      <c r="C181" s="212">
        <v>221</v>
      </c>
      <c r="D181" s="212">
        <v>5</v>
      </c>
      <c r="E181" s="212" t="s">
        <v>65</v>
      </c>
      <c r="F181" s="212">
        <v>54</v>
      </c>
      <c r="G181" s="212" t="s">
        <v>65</v>
      </c>
      <c r="H181" s="212" t="s">
        <v>65</v>
      </c>
      <c r="I181" s="212" t="s">
        <v>65</v>
      </c>
      <c r="J181" s="212">
        <v>1</v>
      </c>
      <c r="K181" s="212" t="s">
        <v>65</v>
      </c>
      <c r="L181" s="212">
        <v>7</v>
      </c>
      <c r="M181" s="212" t="s">
        <v>65</v>
      </c>
      <c r="N181" s="212" t="s">
        <v>65</v>
      </c>
      <c r="O181" s="212">
        <v>656</v>
      </c>
      <c r="P181" s="212" t="s">
        <v>65</v>
      </c>
      <c r="Q181" s="212" t="s">
        <v>65</v>
      </c>
      <c r="R181" s="212">
        <v>27</v>
      </c>
      <c r="S181" s="212" t="s">
        <v>65</v>
      </c>
      <c r="T181" s="212" t="s">
        <v>65</v>
      </c>
      <c r="U181" s="212">
        <v>1</v>
      </c>
      <c r="V181" s="212">
        <v>972</v>
      </c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</row>
    <row r="182" spans="1:43" ht="16.5" customHeight="1" x14ac:dyDescent="0.3">
      <c r="A182" s="323"/>
      <c r="B182" s="95" t="s">
        <v>626</v>
      </c>
      <c r="C182" s="212">
        <v>507</v>
      </c>
      <c r="D182" s="212">
        <v>66</v>
      </c>
      <c r="E182" s="212" t="s">
        <v>65</v>
      </c>
      <c r="F182" s="212" t="s">
        <v>65</v>
      </c>
      <c r="G182" s="212" t="s">
        <v>65</v>
      </c>
      <c r="H182" s="212">
        <v>3</v>
      </c>
      <c r="I182" s="212">
        <v>3</v>
      </c>
      <c r="J182" s="212">
        <v>3</v>
      </c>
      <c r="K182" s="212" t="s">
        <v>65</v>
      </c>
      <c r="L182" s="212">
        <v>21</v>
      </c>
      <c r="M182" s="212" t="s">
        <v>65</v>
      </c>
      <c r="N182" s="212" t="s">
        <v>65</v>
      </c>
      <c r="O182" s="212">
        <v>563</v>
      </c>
      <c r="P182" s="212" t="s">
        <v>65</v>
      </c>
      <c r="Q182" s="212" t="s">
        <v>65</v>
      </c>
      <c r="R182" s="212">
        <v>26</v>
      </c>
      <c r="S182" s="212">
        <v>12</v>
      </c>
      <c r="T182" s="212" t="s">
        <v>65</v>
      </c>
      <c r="U182" s="212" t="s">
        <v>65</v>
      </c>
      <c r="V182" s="212">
        <v>1204</v>
      </c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</row>
    <row r="183" spans="1:43" x14ac:dyDescent="0.3">
      <c r="A183" s="308"/>
      <c r="B183" s="97" t="s">
        <v>86</v>
      </c>
      <c r="C183" s="214">
        <v>3258</v>
      </c>
      <c r="D183" s="214">
        <v>195</v>
      </c>
      <c r="E183" s="214">
        <v>0</v>
      </c>
      <c r="F183" s="214">
        <v>374</v>
      </c>
      <c r="G183" s="214">
        <v>0</v>
      </c>
      <c r="H183" s="214">
        <v>26</v>
      </c>
      <c r="I183" s="214">
        <v>25</v>
      </c>
      <c r="J183" s="214">
        <v>199</v>
      </c>
      <c r="K183" s="214">
        <v>0</v>
      </c>
      <c r="L183" s="214">
        <v>160</v>
      </c>
      <c r="M183" s="214">
        <v>0</v>
      </c>
      <c r="N183" s="214">
        <v>4</v>
      </c>
      <c r="O183" s="214">
        <v>7539</v>
      </c>
      <c r="P183" s="214">
        <v>0</v>
      </c>
      <c r="Q183" s="214">
        <v>0</v>
      </c>
      <c r="R183" s="214">
        <v>683</v>
      </c>
      <c r="S183" s="214">
        <v>220</v>
      </c>
      <c r="T183" s="214">
        <v>124</v>
      </c>
      <c r="U183" s="214">
        <v>16</v>
      </c>
      <c r="V183" s="214">
        <v>12823</v>
      </c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</row>
    <row r="184" spans="1:43" ht="16.5" customHeight="1" x14ac:dyDescent="0.3">
      <c r="A184" s="307" t="s">
        <v>149</v>
      </c>
      <c r="B184" s="95" t="s">
        <v>630</v>
      </c>
      <c r="C184" s="212">
        <v>447</v>
      </c>
      <c r="D184" s="212">
        <v>12</v>
      </c>
      <c r="E184" s="212" t="s">
        <v>65</v>
      </c>
      <c r="F184" s="212" t="s">
        <v>65</v>
      </c>
      <c r="G184" s="212" t="s">
        <v>65</v>
      </c>
      <c r="H184" s="212">
        <v>2</v>
      </c>
      <c r="I184" s="212" t="s">
        <v>65</v>
      </c>
      <c r="J184" s="212">
        <v>46</v>
      </c>
      <c r="K184" s="212" t="s">
        <v>65</v>
      </c>
      <c r="L184" s="212" t="s">
        <v>65</v>
      </c>
      <c r="M184" s="212">
        <v>2</v>
      </c>
      <c r="N184" s="212" t="s">
        <v>65</v>
      </c>
      <c r="O184" s="212">
        <v>57</v>
      </c>
      <c r="P184" s="212" t="s">
        <v>65</v>
      </c>
      <c r="Q184" s="212">
        <v>49</v>
      </c>
      <c r="R184" s="212">
        <v>20</v>
      </c>
      <c r="S184" s="212">
        <v>1</v>
      </c>
      <c r="T184" s="212">
        <v>1</v>
      </c>
      <c r="U184" s="212">
        <v>3</v>
      </c>
      <c r="V184" s="212">
        <v>641</v>
      </c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</row>
    <row r="185" spans="1:43" ht="16.5" customHeight="1" x14ac:dyDescent="0.3">
      <c r="A185" s="323"/>
      <c r="B185" s="95" t="s">
        <v>704</v>
      </c>
      <c r="C185" s="212">
        <v>243</v>
      </c>
      <c r="D185" s="212">
        <v>1</v>
      </c>
      <c r="E185" s="212" t="s">
        <v>65</v>
      </c>
      <c r="F185" s="212" t="s">
        <v>65</v>
      </c>
      <c r="G185" s="212" t="s">
        <v>65</v>
      </c>
      <c r="H185" s="212" t="s">
        <v>65</v>
      </c>
      <c r="I185" s="212" t="s">
        <v>65</v>
      </c>
      <c r="J185" s="212" t="s">
        <v>65</v>
      </c>
      <c r="K185" s="212" t="s">
        <v>65</v>
      </c>
      <c r="L185" s="212" t="s">
        <v>65</v>
      </c>
      <c r="M185" s="212" t="s">
        <v>65</v>
      </c>
      <c r="N185" s="212" t="s">
        <v>65</v>
      </c>
      <c r="O185" s="212">
        <v>16</v>
      </c>
      <c r="P185" s="212" t="s">
        <v>65</v>
      </c>
      <c r="Q185" s="212" t="s">
        <v>65</v>
      </c>
      <c r="R185" s="212">
        <v>4</v>
      </c>
      <c r="S185" s="212" t="s">
        <v>65</v>
      </c>
      <c r="T185" s="212" t="s">
        <v>65</v>
      </c>
      <c r="U185" s="212" t="s">
        <v>65</v>
      </c>
      <c r="V185" s="212">
        <v>264</v>
      </c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</row>
    <row r="186" spans="1:43" ht="16.5" customHeight="1" x14ac:dyDescent="0.3">
      <c r="A186" s="323"/>
      <c r="B186" s="95" t="s">
        <v>705</v>
      </c>
      <c r="C186" s="212">
        <v>127</v>
      </c>
      <c r="D186" s="212">
        <v>0</v>
      </c>
      <c r="E186" s="212" t="s">
        <v>65</v>
      </c>
      <c r="F186" s="212" t="s">
        <v>65</v>
      </c>
      <c r="G186" s="212" t="s">
        <v>65</v>
      </c>
      <c r="H186" s="212" t="s">
        <v>65</v>
      </c>
      <c r="I186" s="212" t="s">
        <v>65</v>
      </c>
      <c r="J186" s="212" t="s">
        <v>65</v>
      </c>
      <c r="K186" s="212" t="s">
        <v>65</v>
      </c>
      <c r="L186" s="212" t="s">
        <v>65</v>
      </c>
      <c r="M186" s="212" t="s">
        <v>65</v>
      </c>
      <c r="N186" s="212" t="s">
        <v>65</v>
      </c>
      <c r="O186" s="212">
        <v>95</v>
      </c>
      <c r="P186" s="212">
        <v>3</v>
      </c>
      <c r="Q186" s="212">
        <v>14</v>
      </c>
      <c r="R186" s="212">
        <v>16</v>
      </c>
      <c r="S186" s="212">
        <v>2</v>
      </c>
      <c r="T186" s="212" t="s">
        <v>65</v>
      </c>
      <c r="U186" s="212" t="s">
        <v>65</v>
      </c>
      <c r="V186" s="212">
        <v>257</v>
      </c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</row>
    <row r="187" spans="1:43" ht="16.5" customHeight="1" x14ac:dyDescent="0.3">
      <c r="A187" s="323"/>
      <c r="B187" s="95" t="s">
        <v>706</v>
      </c>
      <c r="C187" s="212">
        <v>439</v>
      </c>
      <c r="D187" s="212" t="s">
        <v>65</v>
      </c>
      <c r="E187" s="212" t="s">
        <v>65</v>
      </c>
      <c r="F187" s="212" t="s">
        <v>65</v>
      </c>
      <c r="G187" s="212" t="s">
        <v>65</v>
      </c>
      <c r="H187" s="212" t="s">
        <v>65</v>
      </c>
      <c r="I187" s="212" t="s">
        <v>65</v>
      </c>
      <c r="J187" s="212" t="s">
        <v>65</v>
      </c>
      <c r="K187" s="212" t="s">
        <v>65</v>
      </c>
      <c r="L187" s="212" t="s">
        <v>65</v>
      </c>
      <c r="M187" s="212" t="s">
        <v>65</v>
      </c>
      <c r="N187" s="212" t="s">
        <v>65</v>
      </c>
      <c r="O187" s="212">
        <v>91</v>
      </c>
      <c r="P187" s="212" t="s">
        <v>65</v>
      </c>
      <c r="Q187" s="212">
        <v>8</v>
      </c>
      <c r="R187" s="212">
        <v>15</v>
      </c>
      <c r="S187" s="212" t="s">
        <v>65</v>
      </c>
      <c r="T187" s="212" t="s">
        <v>65</v>
      </c>
      <c r="U187" s="212" t="s">
        <v>65</v>
      </c>
      <c r="V187" s="212">
        <v>552</v>
      </c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</row>
    <row r="188" spans="1:43" ht="16.5" customHeight="1" x14ac:dyDescent="0.3">
      <c r="A188" s="323"/>
      <c r="B188" s="95" t="s">
        <v>628</v>
      </c>
      <c r="C188" s="212">
        <v>354</v>
      </c>
      <c r="D188" s="212">
        <v>4</v>
      </c>
      <c r="E188" s="212" t="s">
        <v>65</v>
      </c>
      <c r="F188" s="212" t="s">
        <v>65</v>
      </c>
      <c r="G188" s="212" t="s">
        <v>65</v>
      </c>
      <c r="H188" s="212" t="s">
        <v>65</v>
      </c>
      <c r="I188" s="212" t="s">
        <v>65</v>
      </c>
      <c r="J188" s="212">
        <v>19</v>
      </c>
      <c r="K188" s="212" t="s">
        <v>65</v>
      </c>
      <c r="L188" s="212" t="s">
        <v>65</v>
      </c>
      <c r="M188" s="212">
        <v>0</v>
      </c>
      <c r="N188" s="212" t="s">
        <v>65</v>
      </c>
      <c r="O188" s="212">
        <v>189</v>
      </c>
      <c r="P188" s="212" t="s">
        <v>65</v>
      </c>
      <c r="Q188" s="212">
        <v>526</v>
      </c>
      <c r="R188" s="212">
        <v>14</v>
      </c>
      <c r="S188" s="212" t="s">
        <v>65</v>
      </c>
      <c r="T188" s="212" t="s">
        <v>65</v>
      </c>
      <c r="U188" s="212" t="s">
        <v>65</v>
      </c>
      <c r="V188" s="212">
        <v>1106</v>
      </c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</row>
    <row r="189" spans="1:43" ht="16.5" customHeight="1" x14ac:dyDescent="0.3">
      <c r="A189" s="323"/>
      <c r="B189" s="95" t="s">
        <v>627</v>
      </c>
      <c r="C189" s="212">
        <v>135</v>
      </c>
      <c r="D189" s="212">
        <v>1</v>
      </c>
      <c r="E189" s="212" t="s">
        <v>65</v>
      </c>
      <c r="F189" s="212" t="s">
        <v>65</v>
      </c>
      <c r="G189" s="212" t="s">
        <v>65</v>
      </c>
      <c r="H189" s="212" t="s">
        <v>65</v>
      </c>
      <c r="I189" s="212" t="s">
        <v>65</v>
      </c>
      <c r="J189" s="212">
        <v>11</v>
      </c>
      <c r="K189" s="212" t="s">
        <v>65</v>
      </c>
      <c r="L189" s="212" t="s">
        <v>65</v>
      </c>
      <c r="M189" s="212" t="s">
        <v>65</v>
      </c>
      <c r="N189" s="212" t="s">
        <v>65</v>
      </c>
      <c r="O189" s="212">
        <v>52</v>
      </c>
      <c r="P189" s="212" t="s">
        <v>65</v>
      </c>
      <c r="Q189" s="212">
        <v>4</v>
      </c>
      <c r="R189" s="212">
        <v>1</v>
      </c>
      <c r="S189" s="212" t="s">
        <v>65</v>
      </c>
      <c r="T189" s="212" t="s">
        <v>65</v>
      </c>
      <c r="U189" s="212" t="s">
        <v>65</v>
      </c>
      <c r="V189" s="212">
        <v>205</v>
      </c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</row>
    <row r="190" spans="1:43" ht="16.5" customHeight="1" x14ac:dyDescent="0.3">
      <c r="A190" s="323"/>
      <c r="B190" s="95" t="s">
        <v>707</v>
      </c>
      <c r="C190" s="212">
        <v>90</v>
      </c>
      <c r="D190" s="212" t="s">
        <v>65</v>
      </c>
      <c r="E190" s="212" t="s">
        <v>65</v>
      </c>
      <c r="F190" s="212" t="s">
        <v>65</v>
      </c>
      <c r="G190" s="212" t="s">
        <v>65</v>
      </c>
      <c r="H190" s="212" t="s">
        <v>65</v>
      </c>
      <c r="I190" s="212" t="s">
        <v>65</v>
      </c>
      <c r="J190" s="212">
        <v>5</v>
      </c>
      <c r="K190" s="212" t="s">
        <v>65</v>
      </c>
      <c r="L190" s="212" t="s">
        <v>65</v>
      </c>
      <c r="M190" s="212" t="s">
        <v>65</v>
      </c>
      <c r="N190" s="212" t="s">
        <v>65</v>
      </c>
      <c r="O190" s="212">
        <v>17</v>
      </c>
      <c r="P190" s="212" t="s">
        <v>65</v>
      </c>
      <c r="Q190" s="212">
        <v>0</v>
      </c>
      <c r="R190" s="212" t="s">
        <v>65</v>
      </c>
      <c r="S190" s="212" t="s">
        <v>65</v>
      </c>
      <c r="T190" s="212" t="s">
        <v>65</v>
      </c>
      <c r="U190" s="212" t="s">
        <v>65</v>
      </c>
      <c r="V190" s="212">
        <v>113</v>
      </c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</row>
    <row r="191" spans="1:43" ht="16.5" customHeight="1" x14ac:dyDescent="0.3">
      <c r="A191" s="323"/>
      <c r="B191" s="95" t="s">
        <v>629</v>
      </c>
      <c r="C191" s="212">
        <v>211</v>
      </c>
      <c r="D191" s="212" t="s">
        <v>65</v>
      </c>
      <c r="E191" s="212" t="s">
        <v>65</v>
      </c>
      <c r="F191" s="212" t="s">
        <v>65</v>
      </c>
      <c r="G191" s="212" t="s">
        <v>65</v>
      </c>
      <c r="H191" s="212" t="s">
        <v>65</v>
      </c>
      <c r="I191" s="212" t="s">
        <v>65</v>
      </c>
      <c r="J191" s="212">
        <v>18</v>
      </c>
      <c r="K191" s="212" t="s">
        <v>65</v>
      </c>
      <c r="L191" s="212" t="s">
        <v>65</v>
      </c>
      <c r="M191" s="212" t="s">
        <v>65</v>
      </c>
      <c r="N191" s="212" t="s">
        <v>65</v>
      </c>
      <c r="O191" s="212">
        <v>98</v>
      </c>
      <c r="P191" s="212" t="s">
        <v>65</v>
      </c>
      <c r="Q191" s="212">
        <v>6</v>
      </c>
      <c r="R191" s="212">
        <v>4</v>
      </c>
      <c r="S191" s="212" t="s">
        <v>65</v>
      </c>
      <c r="T191" s="212" t="s">
        <v>65</v>
      </c>
      <c r="U191" s="212" t="s">
        <v>65</v>
      </c>
      <c r="V191" s="212">
        <v>337</v>
      </c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</row>
    <row r="192" spans="1:43" ht="16.5" customHeight="1" x14ac:dyDescent="0.3">
      <c r="A192" s="323"/>
      <c r="B192" s="95" t="s">
        <v>708</v>
      </c>
      <c r="C192" s="212">
        <v>725</v>
      </c>
      <c r="D192" s="212">
        <v>6</v>
      </c>
      <c r="E192" s="212" t="s">
        <v>65</v>
      </c>
      <c r="F192" s="212" t="s">
        <v>65</v>
      </c>
      <c r="G192" s="212" t="s">
        <v>65</v>
      </c>
      <c r="H192" s="212" t="s">
        <v>65</v>
      </c>
      <c r="I192" s="212" t="s">
        <v>65</v>
      </c>
      <c r="J192" s="212">
        <v>1</v>
      </c>
      <c r="K192" s="212" t="s">
        <v>65</v>
      </c>
      <c r="L192" s="212" t="s">
        <v>65</v>
      </c>
      <c r="M192" s="212" t="s">
        <v>65</v>
      </c>
      <c r="N192" s="212" t="s">
        <v>65</v>
      </c>
      <c r="O192" s="212">
        <v>592</v>
      </c>
      <c r="P192" s="212" t="s">
        <v>65</v>
      </c>
      <c r="Q192" s="212">
        <v>27</v>
      </c>
      <c r="R192" s="212">
        <v>24</v>
      </c>
      <c r="S192" s="212" t="s">
        <v>65</v>
      </c>
      <c r="T192" s="212" t="s">
        <v>65</v>
      </c>
      <c r="U192" s="212" t="s">
        <v>65</v>
      </c>
      <c r="V192" s="212">
        <v>1375</v>
      </c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</row>
    <row r="193" spans="1:43" ht="16.5" customHeight="1" x14ac:dyDescent="0.3">
      <c r="A193" s="323"/>
      <c r="B193" s="95" t="s">
        <v>631</v>
      </c>
      <c r="C193" s="212">
        <v>240</v>
      </c>
      <c r="D193" s="212">
        <v>1</v>
      </c>
      <c r="E193" s="212" t="s">
        <v>65</v>
      </c>
      <c r="F193" s="212" t="s">
        <v>65</v>
      </c>
      <c r="G193" s="212" t="s">
        <v>65</v>
      </c>
      <c r="H193" s="212" t="s">
        <v>65</v>
      </c>
      <c r="I193" s="212" t="s">
        <v>65</v>
      </c>
      <c r="J193" s="212">
        <v>1117</v>
      </c>
      <c r="K193" s="212" t="s">
        <v>65</v>
      </c>
      <c r="L193" s="212" t="s">
        <v>65</v>
      </c>
      <c r="M193" s="212" t="s">
        <v>65</v>
      </c>
      <c r="N193" s="212" t="s">
        <v>65</v>
      </c>
      <c r="O193" s="212" t="s">
        <v>65</v>
      </c>
      <c r="P193" s="212" t="s">
        <v>65</v>
      </c>
      <c r="Q193" s="212" t="s">
        <v>65</v>
      </c>
      <c r="R193" s="212">
        <v>1</v>
      </c>
      <c r="S193" s="212" t="s">
        <v>65</v>
      </c>
      <c r="T193" s="212" t="s">
        <v>65</v>
      </c>
      <c r="U193" s="212" t="s">
        <v>65</v>
      </c>
      <c r="V193" s="212">
        <v>1359</v>
      </c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</row>
    <row r="194" spans="1:43" ht="16.5" customHeight="1" x14ac:dyDescent="0.3">
      <c r="A194" s="323"/>
      <c r="B194" s="95" t="s">
        <v>632</v>
      </c>
      <c r="C194" s="212">
        <v>1216</v>
      </c>
      <c r="D194" s="212">
        <v>5</v>
      </c>
      <c r="E194" s="212" t="s">
        <v>65</v>
      </c>
      <c r="F194" s="212" t="s">
        <v>65</v>
      </c>
      <c r="G194" s="212" t="s">
        <v>65</v>
      </c>
      <c r="H194" s="212" t="s">
        <v>65</v>
      </c>
      <c r="I194" s="212" t="s">
        <v>65</v>
      </c>
      <c r="J194" s="212">
        <v>4</v>
      </c>
      <c r="K194" s="212" t="s">
        <v>65</v>
      </c>
      <c r="L194" s="212">
        <v>71</v>
      </c>
      <c r="M194" s="212" t="s">
        <v>65</v>
      </c>
      <c r="N194" s="212" t="s">
        <v>65</v>
      </c>
      <c r="O194" s="212">
        <v>35</v>
      </c>
      <c r="P194" s="212" t="s">
        <v>65</v>
      </c>
      <c r="Q194" s="212">
        <v>277</v>
      </c>
      <c r="R194" s="212">
        <v>10</v>
      </c>
      <c r="S194" s="212" t="s">
        <v>65</v>
      </c>
      <c r="T194" s="212" t="s">
        <v>65</v>
      </c>
      <c r="U194" s="212" t="s">
        <v>65</v>
      </c>
      <c r="V194" s="212">
        <v>1617</v>
      </c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</row>
    <row r="195" spans="1:43" x14ac:dyDescent="0.3">
      <c r="A195" s="308"/>
      <c r="B195" s="97" t="s">
        <v>86</v>
      </c>
      <c r="C195" s="214">
        <v>4228</v>
      </c>
      <c r="D195" s="214">
        <v>30</v>
      </c>
      <c r="E195" s="214">
        <v>0</v>
      </c>
      <c r="F195" s="214">
        <v>0</v>
      </c>
      <c r="G195" s="214">
        <v>0</v>
      </c>
      <c r="H195" s="214">
        <v>2</v>
      </c>
      <c r="I195" s="214">
        <v>0</v>
      </c>
      <c r="J195" s="214">
        <v>1222</v>
      </c>
      <c r="K195" s="214">
        <v>0</v>
      </c>
      <c r="L195" s="214">
        <v>71</v>
      </c>
      <c r="M195" s="214">
        <v>3</v>
      </c>
      <c r="N195" s="214">
        <v>0</v>
      </c>
      <c r="O195" s="214">
        <v>1242</v>
      </c>
      <c r="P195" s="214">
        <v>3</v>
      </c>
      <c r="Q195" s="214">
        <v>911</v>
      </c>
      <c r="R195" s="214">
        <v>109</v>
      </c>
      <c r="S195" s="214">
        <v>2</v>
      </c>
      <c r="T195" s="214">
        <v>1</v>
      </c>
      <c r="U195" s="214">
        <v>3</v>
      </c>
      <c r="V195" s="214">
        <v>7827</v>
      </c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</row>
    <row r="196" spans="1:43" ht="16.5" customHeight="1" x14ac:dyDescent="0.3">
      <c r="A196" s="307" t="s">
        <v>150</v>
      </c>
      <c r="B196" s="95" t="s">
        <v>633</v>
      </c>
      <c r="C196" s="212">
        <v>336</v>
      </c>
      <c r="D196" s="212">
        <v>15</v>
      </c>
      <c r="E196" s="212" t="s">
        <v>65</v>
      </c>
      <c r="F196" s="212">
        <v>39</v>
      </c>
      <c r="G196" s="212" t="s">
        <v>65</v>
      </c>
      <c r="H196" s="212">
        <v>8</v>
      </c>
      <c r="I196" s="212">
        <v>17</v>
      </c>
      <c r="J196" s="212">
        <v>17</v>
      </c>
      <c r="K196" s="212" t="s">
        <v>65</v>
      </c>
      <c r="L196" s="212" t="s">
        <v>65</v>
      </c>
      <c r="M196" s="212">
        <v>3</v>
      </c>
      <c r="N196" s="212">
        <v>8</v>
      </c>
      <c r="O196" s="212">
        <v>226</v>
      </c>
      <c r="P196" s="212" t="s">
        <v>65</v>
      </c>
      <c r="Q196" s="212" t="s">
        <v>65</v>
      </c>
      <c r="R196" s="212">
        <v>89</v>
      </c>
      <c r="S196" s="212">
        <v>31</v>
      </c>
      <c r="T196" s="212">
        <v>269</v>
      </c>
      <c r="U196" s="212">
        <v>13</v>
      </c>
      <c r="V196" s="212">
        <v>1069</v>
      </c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</row>
    <row r="197" spans="1:43" ht="16.5" customHeight="1" x14ac:dyDescent="0.3">
      <c r="A197" s="323"/>
      <c r="B197" s="95" t="s">
        <v>634</v>
      </c>
      <c r="C197" s="212">
        <v>177</v>
      </c>
      <c r="D197" s="212">
        <v>46</v>
      </c>
      <c r="E197" s="212" t="s">
        <v>65</v>
      </c>
      <c r="F197" s="212">
        <v>8</v>
      </c>
      <c r="G197" s="212">
        <v>0</v>
      </c>
      <c r="H197" s="212">
        <v>3</v>
      </c>
      <c r="I197" s="212" t="s">
        <v>65</v>
      </c>
      <c r="J197" s="212">
        <v>5</v>
      </c>
      <c r="K197" s="212" t="s">
        <v>65</v>
      </c>
      <c r="L197" s="212" t="s">
        <v>65</v>
      </c>
      <c r="M197" s="212" t="s">
        <v>65</v>
      </c>
      <c r="N197" s="212" t="s">
        <v>65</v>
      </c>
      <c r="O197" s="212">
        <v>21</v>
      </c>
      <c r="P197" s="212" t="s">
        <v>65</v>
      </c>
      <c r="Q197" s="212" t="s">
        <v>65</v>
      </c>
      <c r="R197" s="212">
        <v>88</v>
      </c>
      <c r="S197" s="212">
        <v>3</v>
      </c>
      <c r="T197" s="212">
        <v>800</v>
      </c>
      <c r="U197" s="212">
        <v>9</v>
      </c>
      <c r="V197" s="212">
        <v>1160</v>
      </c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</row>
    <row r="198" spans="1:43" ht="16.5" customHeight="1" x14ac:dyDescent="0.3">
      <c r="A198" s="323"/>
      <c r="B198" s="95" t="s">
        <v>636</v>
      </c>
      <c r="C198" s="212">
        <v>15</v>
      </c>
      <c r="D198" s="212">
        <v>19</v>
      </c>
      <c r="E198" s="212" t="s">
        <v>65</v>
      </c>
      <c r="F198" s="212">
        <v>9</v>
      </c>
      <c r="G198" s="212" t="s">
        <v>65</v>
      </c>
      <c r="H198" s="212" t="s">
        <v>65</v>
      </c>
      <c r="I198" s="212">
        <v>0</v>
      </c>
      <c r="J198" s="212" t="s">
        <v>65</v>
      </c>
      <c r="K198" s="212" t="s">
        <v>65</v>
      </c>
      <c r="L198" s="212" t="s">
        <v>65</v>
      </c>
      <c r="M198" s="212" t="s">
        <v>65</v>
      </c>
      <c r="N198" s="212">
        <v>11</v>
      </c>
      <c r="O198" s="212">
        <v>0</v>
      </c>
      <c r="P198" s="212" t="s">
        <v>65</v>
      </c>
      <c r="Q198" s="212" t="s">
        <v>65</v>
      </c>
      <c r="R198" s="212">
        <v>11</v>
      </c>
      <c r="S198" s="212">
        <v>4</v>
      </c>
      <c r="T198" s="212">
        <v>82</v>
      </c>
      <c r="U198" s="212" t="s">
        <v>65</v>
      </c>
      <c r="V198" s="212">
        <v>150</v>
      </c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</row>
    <row r="199" spans="1:43" ht="16.5" customHeight="1" x14ac:dyDescent="0.3">
      <c r="A199" s="323"/>
      <c r="B199" s="95" t="s">
        <v>709</v>
      </c>
      <c r="C199" s="212">
        <v>14</v>
      </c>
      <c r="D199" s="212">
        <v>1</v>
      </c>
      <c r="E199" s="212" t="s">
        <v>65</v>
      </c>
      <c r="F199" s="212">
        <v>2</v>
      </c>
      <c r="G199" s="212" t="s">
        <v>65</v>
      </c>
      <c r="H199" s="212" t="s">
        <v>65</v>
      </c>
      <c r="I199" s="212" t="s">
        <v>65</v>
      </c>
      <c r="J199" s="212">
        <v>2</v>
      </c>
      <c r="K199" s="212" t="s">
        <v>65</v>
      </c>
      <c r="L199" s="212" t="s">
        <v>65</v>
      </c>
      <c r="M199" s="212" t="s">
        <v>65</v>
      </c>
      <c r="N199" s="212">
        <v>0</v>
      </c>
      <c r="O199" s="212">
        <v>16</v>
      </c>
      <c r="P199" s="212" t="s">
        <v>65</v>
      </c>
      <c r="Q199" s="212" t="s">
        <v>65</v>
      </c>
      <c r="R199" s="212">
        <v>6</v>
      </c>
      <c r="S199" s="212" t="s">
        <v>65</v>
      </c>
      <c r="T199" s="212">
        <v>1</v>
      </c>
      <c r="U199" s="212">
        <v>5</v>
      </c>
      <c r="V199" s="212">
        <v>46</v>
      </c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</row>
    <row r="200" spans="1:43" ht="16.5" customHeight="1" x14ac:dyDescent="0.3">
      <c r="A200" s="323"/>
      <c r="B200" s="95" t="s">
        <v>710</v>
      </c>
      <c r="C200" s="212">
        <v>14</v>
      </c>
      <c r="D200" s="212">
        <v>13</v>
      </c>
      <c r="E200" s="212" t="s">
        <v>65</v>
      </c>
      <c r="F200" s="212">
        <v>6</v>
      </c>
      <c r="G200" s="212" t="s">
        <v>65</v>
      </c>
      <c r="H200" s="212">
        <v>0</v>
      </c>
      <c r="I200" s="212">
        <v>2</v>
      </c>
      <c r="J200" s="212" t="s">
        <v>65</v>
      </c>
      <c r="K200" s="212" t="s">
        <v>65</v>
      </c>
      <c r="L200" s="212" t="s">
        <v>65</v>
      </c>
      <c r="M200" s="212" t="s">
        <v>65</v>
      </c>
      <c r="N200" s="212" t="s">
        <v>65</v>
      </c>
      <c r="O200" s="212">
        <v>2</v>
      </c>
      <c r="P200" s="212">
        <v>4</v>
      </c>
      <c r="Q200" s="212" t="s">
        <v>65</v>
      </c>
      <c r="R200" s="212">
        <v>1</v>
      </c>
      <c r="S200" s="212" t="s">
        <v>65</v>
      </c>
      <c r="T200" s="212">
        <v>150</v>
      </c>
      <c r="U200" s="212">
        <v>4</v>
      </c>
      <c r="V200" s="212">
        <v>197</v>
      </c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</row>
    <row r="201" spans="1:43" ht="16.5" customHeight="1" x14ac:dyDescent="0.3">
      <c r="A201" s="323"/>
      <c r="B201" s="95" t="s">
        <v>643</v>
      </c>
      <c r="C201" s="212">
        <v>5</v>
      </c>
      <c r="D201" s="212">
        <v>5</v>
      </c>
      <c r="E201" s="212" t="s">
        <v>65</v>
      </c>
      <c r="F201" s="212" t="s">
        <v>65</v>
      </c>
      <c r="G201" s="212" t="s">
        <v>65</v>
      </c>
      <c r="H201" s="212" t="s">
        <v>65</v>
      </c>
      <c r="I201" s="212" t="s">
        <v>65</v>
      </c>
      <c r="J201" s="212" t="s">
        <v>65</v>
      </c>
      <c r="K201" s="212" t="s">
        <v>65</v>
      </c>
      <c r="L201" s="212" t="s">
        <v>65</v>
      </c>
      <c r="M201" s="212" t="s">
        <v>65</v>
      </c>
      <c r="N201" s="212" t="s">
        <v>65</v>
      </c>
      <c r="O201" s="212">
        <v>14</v>
      </c>
      <c r="P201" s="212" t="s">
        <v>65</v>
      </c>
      <c r="Q201" s="212" t="s">
        <v>65</v>
      </c>
      <c r="R201" s="212">
        <v>9</v>
      </c>
      <c r="S201" s="212" t="s">
        <v>65</v>
      </c>
      <c r="T201" s="212" t="s">
        <v>65</v>
      </c>
      <c r="U201" s="212">
        <v>11</v>
      </c>
      <c r="V201" s="212">
        <v>44</v>
      </c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</row>
    <row r="202" spans="1:43" ht="16.5" customHeight="1" x14ac:dyDescent="0.3">
      <c r="A202" s="323"/>
      <c r="B202" s="95" t="s">
        <v>711</v>
      </c>
      <c r="C202" s="212">
        <v>18</v>
      </c>
      <c r="D202" s="212">
        <v>0</v>
      </c>
      <c r="E202" s="212" t="s">
        <v>65</v>
      </c>
      <c r="F202" s="212">
        <v>0</v>
      </c>
      <c r="G202" s="212" t="s">
        <v>65</v>
      </c>
      <c r="H202" s="212">
        <v>0</v>
      </c>
      <c r="I202" s="212" t="s">
        <v>65</v>
      </c>
      <c r="J202" s="212" t="s">
        <v>65</v>
      </c>
      <c r="K202" s="212" t="s">
        <v>65</v>
      </c>
      <c r="L202" s="212" t="s">
        <v>65</v>
      </c>
      <c r="M202" s="212" t="s">
        <v>65</v>
      </c>
      <c r="N202" s="212" t="s">
        <v>65</v>
      </c>
      <c r="O202" s="212">
        <v>286</v>
      </c>
      <c r="P202" s="212" t="s">
        <v>65</v>
      </c>
      <c r="Q202" s="212" t="s">
        <v>65</v>
      </c>
      <c r="R202" s="212">
        <v>43</v>
      </c>
      <c r="S202" s="212">
        <v>0</v>
      </c>
      <c r="T202" s="212">
        <v>10</v>
      </c>
      <c r="U202" s="212">
        <v>1</v>
      </c>
      <c r="V202" s="212">
        <v>359</v>
      </c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</row>
    <row r="203" spans="1:43" ht="16.5" customHeight="1" x14ac:dyDescent="0.3">
      <c r="A203" s="323"/>
      <c r="B203" s="95" t="s">
        <v>642</v>
      </c>
      <c r="C203" s="212">
        <v>51</v>
      </c>
      <c r="D203" s="212">
        <v>1</v>
      </c>
      <c r="E203" s="212" t="s">
        <v>65</v>
      </c>
      <c r="F203" s="212" t="s">
        <v>65</v>
      </c>
      <c r="G203" s="212" t="s">
        <v>65</v>
      </c>
      <c r="H203" s="212">
        <v>0</v>
      </c>
      <c r="I203" s="212">
        <v>2</v>
      </c>
      <c r="J203" s="212">
        <v>3</v>
      </c>
      <c r="K203" s="212" t="s">
        <v>65</v>
      </c>
      <c r="L203" s="212">
        <v>16</v>
      </c>
      <c r="M203" s="212" t="s">
        <v>65</v>
      </c>
      <c r="N203" s="212">
        <v>5</v>
      </c>
      <c r="O203" s="212">
        <v>53</v>
      </c>
      <c r="P203" s="212">
        <v>0</v>
      </c>
      <c r="Q203" s="212">
        <v>4</v>
      </c>
      <c r="R203" s="212">
        <v>26</v>
      </c>
      <c r="S203" s="212">
        <v>0</v>
      </c>
      <c r="T203" s="212">
        <v>64</v>
      </c>
      <c r="U203" s="212">
        <v>17</v>
      </c>
      <c r="V203" s="212">
        <v>243</v>
      </c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</row>
    <row r="204" spans="1:43" ht="16.5" customHeight="1" x14ac:dyDescent="0.3">
      <c r="A204" s="323"/>
      <c r="B204" s="95" t="s">
        <v>641</v>
      </c>
      <c r="C204" s="212">
        <v>61</v>
      </c>
      <c r="D204" s="212">
        <v>8</v>
      </c>
      <c r="E204" s="212" t="s">
        <v>65</v>
      </c>
      <c r="F204" s="212">
        <v>20</v>
      </c>
      <c r="G204" s="212" t="s">
        <v>65</v>
      </c>
      <c r="H204" s="212">
        <v>2</v>
      </c>
      <c r="I204" s="212">
        <v>1</v>
      </c>
      <c r="J204" s="212">
        <v>2</v>
      </c>
      <c r="K204" s="212" t="s">
        <v>65</v>
      </c>
      <c r="L204" s="212" t="s">
        <v>65</v>
      </c>
      <c r="M204" s="212" t="s">
        <v>65</v>
      </c>
      <c r="N204" s="212" t="s">
        <v>65</v>
      </c>
      <c r="O204" s="212">
        <v>102</v>
      </c>
      <c r="P204" s="212" t="s">
        <v>65</v>
      </c>
      <c r="Q204" s="212" t="s">
        <v>65</v>
      </c>
      <c r="R204" s="212">
        <v>53</v>
      </c>
      <c r="S204" s="212">
        <v>0</v>
      </c>
      <c r="T204" s="212">
        <v>34</v>
      </c>
      <c r="U204" s="212" t="s">
        <v>65</v>
      </c>
      <c r="V204" s="212">
        <v>284</v>
      </c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</row>
    <row r="205" spans="1:43" ht="16.5" customHeight="1" x14ac:dyDescent="0.3">
      <c r="A205" s="323"/>
      <c r="B205" s="95" t="s">
        <v>640</v>
      </c>
      <c r="C205" s="212">
        <v>104</v>
      </c>
      <c r="D205" s="212">
        <v>8</v>
      </c>
      <c r="E205" s="212" t="s">
        <v>65</v>
      </c>
      <c r="F205" s="212">
        <v>2</v>
      </c>
      <c r="G205" s="212" t="s">
        <v>65</v>
      </c>
      <c r="H205" s="212">
        <v>6</v>
      </c>
      <c r="I205" s="212">
        <v>1</v>
      </c>
      <c r="J205" s="212">
        <v>5</v>
      </c>
      <c r="K205" s="212" t="s">
        <v>65</v>
      </c>
      <c r="L205" s="212" t="s">
        <v>65</v>
      </c>
      <c r="M205" s="212" t="s">
        <v>65</v>
      </c>
      <c r="N205" s="212">
        <v>7</v>
      </c>
      <c r="O205" s="212">
        <v>58</v>
      </c>
      <c r="P205" s="212">
        <v>2</v>
      </c>
      <c r="Q205" s="212" t="s">
        <v>65</v>
      </c>
      <c r="R205" s="212">
        <v>88</v>
      </c>
      <c r="S205" s="212">
        <v>12</v>
      </c>
      <c r="T205" s="212">
        <v>62</v>
      </c>
      <c r="U205" s="212" t="s">
        <v>65</v>
      </c>
      <c r="V205" s="212">
        <v>355</v>
      </c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</row>
    <row r="206" spans="1:43" ht="16.5" customHeight="1" x14ac:dyDescent="0.3">
      <c r="A206" s="323"/>
      <c r="B206" s="95" t="s">
        <v>635</v>
      </c>
      <c r="C206" s="212">
        <v>52</v>
      </c>
      <c r="D206" s="212">
        <v>10</v>
      </c>
      <c r="E206" s="212" t="s">
        <v>65</v>
      </c>
      <c r="F206" s="212" t="s">
        <v>65</v>
      </c>
      <c r="G206" s="212" t="s">
        <v>65</v>
      </c>
      <c r="H206" s="212">
        <v>1</v>
      </c>
      <c r="I206" s="212">
        <v>2</v>
      </c>
      <c r="J206" s="212" t="s">
        <v>65</v>
      </c>
      <c r="K206" s="212" t="s">
        <v>65</v>
      </c>
      <c r="L206" s="212" t="s">
        <v>65</v>
      </c>
      <c r="M206" s="212" t="s">
        <v>65</v>
      </c>
      <c r="N206" s="212" t="s">
        <v>65</v>
      </c>
      <c r="O206" s="212">
        <v>6</v>
      </c>
      <c r="P206" s="212" t="s">
        <v>65</v>
      </c>
      <c r="Q206" s="212" t="s">
        <v>65</v>
      </c>
      <c r="R206" s="212">
        <v>7</v>
      </c>
      <c r="S206" s="212" t="s">
        <v>65</v>
      </c>
      <c r="T206" s="212">
        <v>183</v>
      </c>
      <c r="U206" s="212" t="s">
        <v>65</v>
      </c>
      <c r="V206" s="212">
        <v>260</v>
      </c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</row>
    <row r="207" spans="1:43" ht="16.5" customHeight="1" x14ac:dyDescent="0.3">
      <c r="A207" s="323"/>
      <c r="B207" s="95" t="s">
        <v>712</v>
      </c>
      <c r="C207" s="212">
        <v>192</v>
      </c>
      <c r="D207" s="212">
        <v>31</v>
      </c>
      <c r="E207" s="212" t="s">
        <v>65</v>
      </c>
      <c r="F207" s="212">
        <v>59</v>
      </c>
      <c r="G207" s="212" t="s">
        <v>65</v>
      </c>
      <c r="H207" s="212">
        <v>10</v>
      </c>
      <c r="I207" s="212">
        <v>12</v>
      </c>
      <c r="J207" s="212">
        <v>1</v>
      </c>
      <c r="K207" s="212">
        <v>1</v>
      </c>
      <c r="L207" s="212" t="s">
        <v>65</v>
      </c>
      <c r="M207" s="212" t="s">
        <v>65</v>
      </c>
      <c r="N207" s="212">
        <v>1</v>
      </c>
      <c r="O207" s="212">
        <v>364</v>
      </c>
      <c r="P207" s="212" t="s">
        <v>65</v>
      </c>
      <c r="Q207" s="212" t="s">
        <v>65</v>
      </c>
      <c r="R207" s="212">
        <v>165</v>
      </c>
      <c r="S207" s="212">
        <v>4</v>
      </c>
      <c r="T207" s="212">
        <v>417</v>
      </c>
      <c r="U207" s="212">
        <v>3</v>
      </c>
      <c r="V207" s="212">
        <v>1260</v>
      </c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</row>
    <row r="208" spans="1:43" ht="16.5" customHeight="1" x14ac:dyDescent="0.3">
      <c r="A208" s="323"/>
      <c r="B208" s="95" t="s">
        <v>637</v>
      </c>
      <c r="C208" s="212">
        <v>38</v>
      </c>
      <c r="D208" s="212">
        <v>15</v>
      </c>
      <c r="E208" s="212" t="s">
        <v>65</v>
      </c>
      <c r="F208" s="212">
        <v>0</v>
      </c>
      <c r="G208" s="212" t="s">
        <v>65</v>
      </c>
      <c r="H208" s="212" t="s">
        <v>65</v>
      </c>
      <c r="I208" s="212">
        <v>2</v>
      </c>
      <c r="J208" s="212">
        <v>7</v>
      </c>
      <c r="K208" s="212" t="s">
        <v>65</v>
      </c>
      <c r="L208" s="212" t="s">
        <v>65</v>
      </c>
      <c r="M208" s="212" t="s">
        <v>65</v>
      </c>
      <c r="N208" s="212">
        <v>0</v>
      </c>
      <c r="O208" s="212">
        <v>46</v>
      </c>
      <c r="P208" s="212" t="s">
        <v>65</v>
      </c>
      <c r="Q208" s="212">
        <v>12</v>
      </c>
      <c r="R208" s="212">
        <v>21</v>
      </c>
      <c r="S208" s="212">
        <v>689</v>
      </c>
      <c r="T208" s="212">
        <v>6</v>
      </c>
      <c r="U208" s="212">
        <v>58</v>
      </c>
      <c r="V208" s="212">
        <v>895</v>
      </c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</row>
    <row r="209" spans="1:43" ht="16.5" customHeight="1" x14ac:dyDescent="0.3">
      <c r="A209" s="323"/>
      <c r="B209" s="95" t="s">
        <v>638</v>
      </c>
      <c r="C209" s="212">
        <v>179</v>
      </c>
      <c r="D209" s="212">
        <v>28</v>
      </c>
      <c r="E209" s="212" t="s">
        <v>65</v>
      </c>
      <c r="F209" s="212">
        <v>4</v>
      </c>
      <c r="G209" s="212" t="s">
        <v>65</v>
      </c>
      <c r="H209" s="212">
        <v>1</v>
      </c>
      <c r="I209" s="212" t="s">
        <v>65</v>
      </c>
      <c r="J209" s="212">
        <v>8</v>
      </c>
      <c r="K209" s="212" t="s">
        <v>65</v>
      </c>
      <c r="L209" s="212">
        <v>2</v>
      </c>
      <c r="M209" s="212">
        <v>2</v>
      </c>
      <c r="N209" s="212">
        <v>3</v>
      </c>
      <c r="O209" s="212">
        <v>0</v>
      </c>
      <c r="P209" s="212">
        <v>11</v>
      </c>
      <c r="Q209" s="212" t="s">
        <v>65</v>
      </c>
      <c r="R209" s="212">
        <v>5</v>
      </c>
      <c r="S209" s="212">
        <v>0</v>
      </c>
      <c r="T209" s="212">
        <v>371</v>
      </c>
      <c r="U209" s="212">
        <v>17</v>
      </c>
      <c r="V209" s="212">
        <v>631</v>
      </c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</row>
    <row r="210" spans="1:43" ht="16.5" customHeight="1" x14ac:dyDescent="0.3">
      <c r="A210" s="323"/>
      <c r="B210" s="95" t="s">
        <v>639</v>
      </c>
      <c r="C210" s="212">
        <v>78</v>
      </c>
      <c r="D210" s="212">
        <v>12</v>
      </c>
      <c r="E210" s="212" t="s">
        <v>65</v>
      </c>
      <c r="F210" s="212">
        <v>29</v>
      </c>
      <c r="G210" s="212">
        <v>0</v>
      </c>
      <c r="H210" s="212">
        <v>3</v>
      </c>
      <c r="I210" s="212" t="s">
        <v>65</v>
      </c>
      <c r="J210" s="212">
        <v>2</v>
      </c>
      <c r="K210" s="212" t="s">
        <v>65</v>
      </c>
      <c r="L210" s="212" t="s">
        <v>65</v>
      </c>
      <c r="M210" s="212" t="s">
        <v>65</v>
      </c>
      <c r="N210" s="212">
        <v>2</v>
      </c>
      <c r="O210" s="212">
        <v>22</v>
      </c>
      <c r="P210" s="212" t="s">
        <v>65</v>
      </c>
      <c r="Q210" s="212" t="s">
        <v>65</v>
      </c>
      <c r="R210" s="212">
        <v>13</v>
      </c>
      <c r="S210" s="212">
        <v>17</v>
      </c>
      <c r="T210" s="212">
        <v>154</v>
      </c>
      <c r="U210" s="212">
        <v>13</v>
      </c>
      <c r="V210" s="212">
        <v>345</v>
      </c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</row>
    <row r="211" spans="1:43" ht="16.5" customHeight="1" x14ac:dyDescent="0.3">
      <c r="A211" s="323"/>
      <c r="B211" s="95" t="s">
        <v>644</v>
      </c>
      <c r="C211" s="212">
        <v>233</v>
      </c>
      <c r="D211" s="212">
        <v>58</v>
      </c>
      <c r="E211" s="212" t="s">
        <v>65</v>
      </c>
      <c r="F211" s="212" t="s">
        <v>65</v>
      </c>
      <c r="G211" s="212" t="s">
        <v>65</v>
      </c>
      <c r="H211" s="212">
        <v>0</v>
      </c>
      <c r="I211" s="212">
        <v>1</v>
      </c>
      <c r="J211" s="212">
        <v>4</v>
      </c>
      <c r="K211" s="212" t="s">
        <v>65</v>
      </c>
      <c r="L211" s="212" t="s">
        <v>65</v>
      </c>
      <c r="M211" s="212" t="s">
        <v>65</v>
      </c>
      <c r="N211" s="212">
        <v>2</v>
      </c>
      <c r="O211" s="212">
        <v>31</v>
      </c>
      <c r="P211" s="212">
        <v>1</v>
      </c>
      <c r="Q211" s="212" t="s">
        <v>65</v>
      </c>
      <c r="R211" s="212">
        <v>5</v>
      </c>
      <c r="S211" s="212" t="s">
        <v>65</v>
      </c>
      <c r="T211" s="212">
        <v>182</v>
      </c>
      <c r="U211" s="212">
        <v>0</v>
      </c>
      <c r="V211" s="212">
        <v>518</v>
      </c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</row>
    <row r="212" spans="1:43" x14ac:dyDescent="0.3">
      <c r="A212" s="308"/>
      <c r="B212" s="97" t="s">
        <v>86</v>
      </c>
      <c r="C212" s="214">
        <v>1567</v>
      </c>
      <c r="D212" s="214">
        <v>270</v>
      </c>
      <c r="E212" s="214">
        <v>0</v>
      </c>
      <c r="F212" s="214">
        <v>179</v>
      </c>
      <c r="G212" s="214">
        <v>1</v>
      </c>
      <c r="H212" s="214">
        <v>34</v>
      </c>
      <c r="I212" s="214">
        <v>40</v>
      </c>
      <c r="J212" s="214">
        <v>54</v>
      </c>
      <c r="K212" s="214">
        <v>1</v>
      </c>
      <c r="L212" s="214">
        <v>18</v>
      </c>
      <c r="M212" s="214">
        <v>5</v>
      </c>
      <c r="N212" s="214">
        <v>40</v>
      </c>
      <c r="O212" s="214">
        <v>1248</v>
      </c>
      <c r="P212" s="214">
        <v>18</v>
      </c>
      <c r="Q212" s="214">
        <v>16</v>
      </c>
      <c r="R212" s="214">
        <v>629</v>
      </c>
      <c r="S212" s="214">
        <v>761</v>
      </c>
      <c r="T212" s="214">
        <v>2785</v>
      </c>
      <c r="U212" s="214">
        <v>151</v>
      </c>
      <c r="V212" s="214">
        <v>7818</v>
      </c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</row>
    <row r="213" spans="1:43" ht="16.5" customHeight="1" x14ac:dyDescent="0.3">
      <c r="A213" s="307" t="s">
        <v>155</v>
      </c>
      <c r="B213" s="95" t="s">
        <v>651</v>
      </c>
      <c r="C213" s="212">
        <v>190</v>
      </c>
      <c r="D213" s="212">
        <v>44</v>
      </c>
      <c r="E213" s="212" t="s">
        <v>65</v>
      </c>
      <c r="F213" s="212">
        <v>232</v>
      </c>
      <c r="G213" s="212" t="s">
        <v>65</v>
      </c>
      <c r="H213" s="212" t="s">
        <v>65</v>
      </c>
      <c r="I213" s="212" t="s">
        <v>65</v>
      </c>
      <c r="J213" s="212">
        <v>13</v>
      </c>
      <c r="K213" s="212" t="s">
        <v>65</v>
      </c>
      <c r="L213" s="212" t="s">
        <v>65</v>
      </c>
      <c r="M213" s="212">
        <v>1</v>
      </c>
      <c r="N213" s="212">
        <v>4</v>
      </c>
      <c r="O213" s="212">
        <v>221</v>
      </c>
      <c r="P213" s="212" t="s">
        <v>65</v>
      </c>
      <c r="Q213" s="212" t="s">
        <v>65</v>
      </c>
      <c r="R213" s="212">
        <v>18</v>
      </c>
      <c r="S213" s="212">
        <v>0</v>
      </c>
      <c r="T213" s="212">
        <v>40</v>
      </c>
      <c r="U213" s="212">
        <v>12</v>
      </c>
      <c r="V213" s="212">
        <v>775</v>
      </c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</row>
    <row r="214" spans="1:43" ht="16.5" customHeight="1" x14ac:dyDescent="0.3">
      <c r="A214" s="323"/>
      <c r="B214" s="95" t="s">
        <v>713</v>
      </c>
      <c r="C214" s="212">
        <v>379</v>
      </c>
      <c r="D214" s="212">
        <v>65</v>
      </c>
      <c r="E214" s="212" t="s">
        <v>65</v>
      </c>
      <c r="F214" s="212">
        <v>567</v>
      </c>
      <c r="G214" s="212" t="s">
        <v>65</v>
      </c>
      <c r="H214" s="212" t="s">
        <v>65</v>
      </c>
      <c r="I214" s="212" t="s">
        <v>65</v>
      </c>
      <c r="J214" s="212">
        <v>2</v>
      </c>
      <c r="K214" s="212" t="s">
        <v>65</v>
      </c>
      <c r="L214" s="212" t="s">
        <v>65</v>
      </c>
      <c r="M214" s="212">
        <v>3</v>
      </c>
      <c r="N214" s="212">
        <v>8</v>
      </c>
      <c r="O214" s="212">
        <v>115</v>
      </c>
      <c r="P214" s="212" t="s">
        <v>65</v>
      </c>
      <c r="Q214" s="212">
        <v>0</v>
      </c>
      <c r="R214" s="212">
        <v>126</v>
      </c>
      <c r="S214" s="212">
        <v>6</v>
      </c>
      <c r="T214" s="212" t="s">
        <v>65</v>
      </c>
      <c r="U214" s="212">
        <v>4</v>
      </c>
      <c r="V214" s="212">
        <v>1275</v>
      </c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</row>
    <row r="215" spans="1:43" ht="16.5" customHeight="1" x14ac:dyDescent="0.3">
      <c r="A215" s="323"/>
      <c r="B215" s="95" t="s">
        <v>645</v>
      </c>
      <c r="C215" s="212">
        <v>80</v>
      </c>
      <c r="D215" s="212">
        <v>32</v>
      </c>
      <c r="E215" s="212" t="s">
        <v>65</v>
      </c>
      <c r="F215" s="212">
        <v>252</v>
      </c>
      <c r="G215" s="212" t="s">
        <v>65</v>
      </c>
      <c r="H215" s="212" t="s">
        <v>65</v>
      </c>
      <c r="I215" s="212">
        <v>0</v>
      </c>
      <c r="J215" s="212">
        <v>9</v>
      </c>
      <c r="K215" s="212" t="s">
        <v>65</v>
      </c>
      <c r="L215" s="212" t="s">
        <v>65</v>
      </c>
      <c r="M215" s="212" t="s">
        <v>65</v>
      </c>
      <c r="N215" s="212">
        <v>2</v>
      </c>
      <c r="O215" s="212">
        <v>12</v>
      </c>
      <c r="P215" s="212" t="s">
        <v>65</v>
      </c>
      <c r="Q215" s="212" t="s">
        <v>65</v>
      </c>
      <c r="R215" s="212">
        <v>11</v>
      </c>
      <c r="S215" s="212">
        <v>33</v>
      </c>
      <c r="T215" s="212" t="s">
        <v>65</v>
      </c>
      <c r="U215" s="212">
        <v>1</v>
      </c>
      <c r="V215" s="212">
        <v>433</v>
      </c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</row>
    <row r="216" spans="1:43" ht="16.5" customHeight="1" x14ac:dyDescent="0.3">
      <c r="A216" s="323"/>
      <c r="B216" s="95" t="s">
        <v>714</v>
      </c>
      <c r="C216" s="212">
        <v>65</v>
      </c>
      <c r="D216" s="212">
        <v>20</v>
      </c>
      <c r="E216" s="212" t="s">
        <v>65</v>
      </c>
      <c r="F216" s="212">
        <v>79</v>
      </c>
      <c r="G216" s="212" t="s">
        <v>65</v>
      </c>
      <c r="H216" s="212" t="s">
        <v>65</v>
      </c>
      <c r="I216" s="212">
        <v>470</v>
      </c>
      <c r="J216" s="212" t="s">
        <v>65</v>
      </c>
      <c r="K216" s="212" t="s">
        <v>65</v>
      </c>
      <c r="L216" s="212" t="s">
        <v>65</v>
      </c>
      <c r="M216" s="212">
        <v>1</v>
      </c>
      <c r="N216" s="212">
        <v>1</v>
      </c>
      <c r="O216" s="212" t="s">
        <v>65</v>
      </c>
      <c r="P216" s="212" t="s">
        <v>65</v>
      </c>
      <c r="Q216" s="212">
        <v>2</v>
      </c>
      <c r="R216" s="212">
        <v>1</v>
      </c>
      <c r="S216" s="212" t="s">
        <v>65</v>
      </c>
      <c r="T216" s="212">
        <v>2</v>
      </c>
      <c r="U216" s="212">
        <v>1</v>
      </c>
      <c r="V216" s="212">
        <v>641</v>
      </c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</row>
    <row r="217" spans="1:43" ht="16.5" customHeight="1" x14ac:dyDescent="0.3">
      <c r="A217" s="323"/>
      <c r="B217" s="95" t="s">
        <v>646</v>
      </c>
      <c r="C217" s="212">
        <v>78</v>
      </c>
      <c r="D217" s="212">
        <v>6</v>
      </c>
      <c r="E217" s="212" t="s">
        <v>65</v>
      </c>
      <c r="F217" s="212">
        <v>425</v>
      </c>
      <c r="G217" s="212">
        <v>2</v>
      </c>
      <c r="H217" s="212" t="s">
        <v>65</v>
      </c>
      <c r="I217" s="212" t="s">
        <v>65</v>
      </c>
      <c r="J217" s="212">
        <v>16</v>
      </c>
      <c r="K217" s="212" t="s">
        <v>65</v>
      </c>
      <c r="L217" s="212" t="s">
        <v>65</v>
      </c>
      <c r="M217" s="212">
        <v>0</v>
      </c>
      <c r="N217" s="212" t="s">
        <v>65</v>
      </c>
      <c r="O217" s="212">
        <v>191</v>
      </c>
      <c r="P217" s="212" t="s">
        <v>65</v>
      </c>
      <c r="Q217" s="212" t="s">
        <v>65</v>
      </c>
      <c r="R217" s="212">
        <v>64</v>
      </c>
      <c r="S217" s="212" t="s">
        <v>65</v>
      </c>
      <c r="T217" s="212" t="s">
        <v>65</v>
      </c>
      <c r="U217" s="212">
        <v>192</v>
      </c>
      <c r="V217" s="212">
        <v>974</v>
      </c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</row>
    <row r="218" spans="1:43" ht="16.5" customHeight="1" x14ac:dyDescent="0.3">
      <c r="A218" s="323"/>
      <c r="B218" s="95" t="s">
        <v>650</v>
      </c>
      <c r="C218" s="212">
        <v>54</v>
      </c>
      <c r="D218" s="212">
        <v>3</v>
      </c>
      <c r="E218" s="212" t="s">
        <v>65</v>
      </c>
      <c r="F218" s="212">
        <v>240</v>
      </c>
      <c r="G218" s="212" t="s">
        <v>65</v>
      </c>
      <c r="H218" s="212">
        <v>0</v>
      </c>
      <c r="I218" s="212">
        <v>0</v>
      </c>
      <c r="J218" s="212">
        <v>4</v>
      </c>
      <c r="K218" s="212" t="s">
        <v>65</v>
      </c>
      <c r="L218" s="212" t="s">
        <v>65</v>
      </c>
      <c r="M218" s="212" t="s">
        <v>65</v>
      </c>
      <c r="N218" s="212" t="s">
        <v>65</v>
      </c>
      <c r="O218" s="212">
        <v>110</v>
      </c>
      <c r="P218" s="212" t="s">
        <v>65</v>
      </c>
      <c r="Q218" s="212" t="s">
        <v>65</v>
      </c>
      <c r="R218" s="212">
        <v>55</v>
      </c>
      <c r="S218" s="212">
        <v>175</v>
      </c>
      <c r="T218" s="212" t="s">
        <v>65</v>
      </c>
      <c r="U218" s="212" t="s">
        <v>65</v>
      </c>
      <c r="V218" s="212">
        <v>642</v>
      </c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</row>
    <row r="219" spans="1:43" ht="16.5" customHeight="1" x14ac:dyDescent="0.3">
      <c r="A219" s="323"/>
      <c r="B219" s="95" t="s">
        <v>649</v>
      </c>
      <c r="C219" s="212">
        <v>114</v>
      </c>
      <c r="D219" s="212">
        <v>20</v>
      </c>
      <c r="E219" s="212" t="s">
        <v>65</v>
      </c>
      <c r="F219" s="212">
        <v>12</v>
      </c>
      <c r="G219" s="212" t="s">
        <v>65</v>
      </c>
      <c r="H219" s="212" t="s">
        <v>65</v>
      </c>
      <c r="I219" s="212" t="s">
        <v>65</v>
      </c>
      <c r="J219" s="212">
        <v>5</v>
      </c>
      <c r="K219" s="212" t="s">
        <v>65</v>
      </c>
      <c r="L219" s="212" t="s">
        <v>65</v>
      </c>
      <c r="M219" s="212" t="s">
        <v>65</v>
      </c>
      <c r="N219" s="212" t="s">
        <v>65</v>
      </c>
      <c r="O219" s="212" t="s">
        <v>65</v>
      </c>
      <c r="P219" s="212" t="s">
        <v>65</v>
      </c>
      <c r="Q219" s="212" t="s">
        <v>65</v>
      </c>
      <c r="R219" s="212">
        <v>5</v>
      </c>
      <c r="S219" s="212">
        <v>16</v>
      </c>
      <c r="T219" s="212">
        <v>114</v>
      </c>
      <c r="U219" s="212">
        <v>4</v>
      </c>
      <c r="V219" s="212">
        <v>289</v>
      </c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</row>
    <row r="220" spans="1:43" ht="16.5" customHeight="1" x14ac:dyDescent="0.3">
      <c r="A220" s="323"/>
      <c r="B220" s="95" t="s">
        <v>715</v>
      </c>
      <c r="C220" s="212">
        <v>230</v>
      </c>
      <c r="D220" s="212">
        <v>55</v>
      </c>
      <c r="E220" s="212" t="s">
        <v>65</v>
      </c>
      <c r="F220" s="212">
        <v>317</v>
      </c>
      <c r="G220" s="212" t="s">
        <v>65</v>
      </c>
      <c r="H220" s="212" t="s">
        <v>65</v>
      </c>
      <c r="I220" s="212">
        <v>325</v>
      </c>
      <c r="J220" s="212">
        <v>6</v>
      </c>
      <c r="K220" s="212" t="s">
        <v>65</v>
      </c>
      <c r="L220" s="212" t="s">
        <v>65</v>
      </c>
      <c r="M220" s="212">
        <v>2</v>
      </c>
      <c r="N220" s="212">
        <v>1</v>
      </c>
      <c r="O220" s="212">
        <v>124</v>
      </c>
      <c r="P220" s="212" t="s">
        <v>65</v>
      </c>
      <c r="Q220" s="212" t="s">
        <v>65</v>
      </c>
      <c r="R220" s="212">
        <v>17</v>
      </c>
      <c r="S220" s="212">
        <v>4</v>
      </c>
      <c r="T220" s="212">
        <v>9</v>
      </c>
      <c r="U220" s="212">
        <v>2</v>
      </c>
      <c r="V220" s="212">
        <v>1094</v>
      </c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</row>
    <row r="221" spans="1:43" ht="16.5" customHeight="1" x14ac:dyDescent="0.3">
      <c r="A221" s="323"/>
      <c r="B221" s="95" t="s">
        <v>716</v>
      </c>
      <c r="C221" s="212">
        <v>402</v>
      </c>
      <c r="D221" s="212">
        <v>70</v>
      </c>
      <c r="E221" s="212" t="s">
        <v>65</v>
      </c>
      <c r="F221" s="212">
        <v>222</v>
      </c>
      <c r="G221" s="212" t="s">
        <v>65</v>
      </c>
      <c r="H221" s="212">
        <v>6</v>
      </c>
      <c r="I221" s="212">
        <v>1</v>
      </c>
      <c r="J221" s="212">
        <v>3</v>
      </c>
      <c r="K221" s="212" t="s">
        <v>65</v>
      </c>
      <c r="L221" s="212" t="s">
        <v>65</v>
      </c>
      <c r="M221" s="212" t="s">
        <v>65</v>
      </c>
      <c r="N221" s="212" t="s">
        <v>65</v>
      </c>
      <c r="O221" s="212">
        <v>49</v>
      </c>
      <c r="P221" s="212" t="s">
        <v>65</v>
      </c>
      <c r="Q221" s="212">
        <v>1</v>
      </c>
      <c r="R221" s="212">
        <v>76</v>
      </c>
      <c r="S221" s="212">
        <v>11</v>
      </c>
      <c r="T221" s="212">
        <v>18</v>
      </c>
      <c r="U221" s="212">
        <v>89</v>
      </c>
      <c r="V221" s="212">
        <v>947</v>
      </c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</row>
    <row r="222" spans="1:43" ht="16.5" customHeight="1" x14ac:dyDescent="0.3">
      <c r="A222" s="323"/>
      <c r="B222" s="95" t="s">
        <v>647</v>
      </c>
      <c r="C222" s="212">
        <v>561</v>
      </c>
      <c r="D222" s="212">
        <v>1</v>
      </c>
      <c r="E222" s="212" t="s">
        <v>65</v>
      </c>
      <c r="F222" s="212">
        <v>463</v>
      </c>
      <c r="G222" s="212" t="s">
        <v>65</v>
      </c>
      <c r="H222" s="212" t="s">
        <v>65</v>
      </c>
      <c r="I222" s="212" t="s">
        <v>65</v>
      </c>
      <c r="J222" s="212" t="s">
        <v>65</v>
      </c>
      <c r="K222" s="212" t="s">
        <v>65</v>
      </c>
      <c r="L222" s="212" t="s">
        <v>65</v>
      </c>
      <c r="M222" s="212" t="s">
        <v>65</v>
      </c>
      <c r="N222" s="212" t="s">
        <v>65</v>
      </c>
      <c r="O222" s="212">
        <v>26</v>
      </c>
      <c r="P222" s="212" t="s">
        <v>65</v>
      </c>
      <c r="Q222" s="212" t="s">
        <v>65</v>
      </c>
      <c r="R222" s="212">
        <v>13</v>
      </c>
      <c r="S222" s="212" t="s">
        <v>65</v>
      </c>
      <c r="T222" s="212" t="s">
        <v>65</v>
      </c>
      <c r="U222" s="212" t="s">
        <v>65</v>
      </c>
      <c r="V222" s="212">
        <v>1063</v>
      </c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</row>
    <row r="223" spans="1:43" ht="16.5" customHeight="1" x14ac:dyDescent="0.3">
      <c r="A223" s="323"/>
      <c r="B223" s="95" t="s">
        <v>648</v>
      </c>
      <c r="C223" s="212">
        <v>10</v>
      </c>
      <c r="D223" s="212">
        <v>1</v>
      </c>
      <c r="E223" s="212" t="s">
        <v>65</v>
      </c>
      <c r="F223" s="212">
        <v>353</v>
      </c>
      <c r="G223" s="212" t="s">
        <v>65</v>
      </c>
      <c r="H223" s="212" t="s">
        <v>65</v>
      </c>
      <c r="I223" s="212" t="s">
        <v>65</v>
      </c>
      <c r="J223" s="212" t="s">
        <v>65</v>
      </c>
      <c r="K223" s="212" t="s">
        <v>65</v>
      </c>
      <c r="L223" s="212" t="s">
        <v>65</v>
      </c>
      <c r="M223" s="212" t="s">
        <v>65</v>
      </c>
      <c r="N223" s="212" t="s">
        <v>65</v>
      </c>
      <c r="O223" s="212">
        <v>19</v>
      </c>
      <c r="P223" s="212" t="s">
        <v>65</v>
      </c>
      <c r="Q223" s="212" t="s">
        <v>65</v>
      </c>
      <c r="R223" s="212">
        <v>2</v>
      </c>
      <c r="S223" s="212" t="s">
        <v>65</v>
      </c>
      <c r="T223" s="212" t="s">
        <v>65</v>
      </c>
      <c r="U223" s="212" t="s">
        <v>65</v>
      </c>
      <c r="V223" s="212">
        <v>385</v>
      </c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</row>
    <row r="224" spans="1:43" ht="16.5" customHeight="1" x14ac:dyDescent="0.3">
      <c r="A224" s="323"/>
      <c r="B224" s="95" t="s">
        <v>717</v>
      </c>
      <c r="C224" s="212">
        <v>16</v>
      </c>
      <c r="D224" s="212">
        <v>1</v>
      </c>
      <c r="E224" s="212">
        <v>2</v>
      </c>
      <c r="F224" s="212">
        <v>1</v>
      </c>
      <c r="G224" s="212" t="s">
        <v>65</v>
      </c>
      <c r="H224" s="212" t="s">
        <v>65</v>
      </c>
      <c r="I224" s="212" t="s">
        <v>65</v>
      </c>
      <c r="J224" s="212">
        <v>3</v>
      </c>
      <c r="K224" s="212" t="s">
        <v>65</v>
      </c>
      <c r="L224" s="212" t="s">
        <v>65</v>
      </c>
      <c r="M224" s="212" t="s">
        <v>65</v>
      </c>
      <c r="N224" s="212" t="s">
        <v>65</v>
      </c>
      <c r="O224" s="212">
        <v>0</v>
      </c>
      <c r="P224" s="212" t="s">
        <v>65</v>
      </c>
      <c r="Q224" s="212" t="s">
        <v>65</v>
      </c>
      <c r="R224" s="212">
        <v>7</v>
      </c>
      <c r="S224" s="212">
        <v>230</v>
      </c>
      <c r="T224" s="212" t="s">
        <v>65</v>
      </c>
      <c r="U224" s="212">
        <v>74</v>
      </c>
      <c r="V224" s="212">
        <v>334</v>
      </c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</row>
    <row r="225" spans="1:43" ht="16.5" customHeight="1" x14ac:dyDescent="0.3">
      <c r="A225" s="323"/>
      <c r="B225" s="95" t="s">
        <v>652</v>
      </c>
      <c r="C225" s="212">
        <v>604</v>
      </c>
      <c r="D225" s="212">
        <v>37</v>
      </c>
      <c r="E225" s="212" t="s">
        <v>65</v>
      </c>
      <c r="F225" s="212">
        <v>288</v>
      </c>
      <c r="G225" s="212" t="s">
        <v>65</v>
      </c>
      <c r="H225" s="212" t="s">
        <v>65</v>
      </c>
      <c r="I225" s="212">
        <v>69</v>
      </c>
      <c r="J225" s="212">
        <v>1</v>
      </c>
      <c r="K225" s="212" t="s">
        <v>65</v>
      </c>
      <c r="L225" s="212">
        <v>1246</v>
      </c>
      <c r="M225" s="212">
        <v>1</v>
      </c>
      <c r="N225" s="212" t="s">
        <v>65</v>
      </c>
      <c r="O225" s="212">
        <v>17</v>
      </c>
      <c r="P225" s="212" t="s">
        <v>65</v>
      </c>
      <c r="Q225" s="212" t="s">
        <v>65</v>
      </c>
      <c r="R225" s="212">
        <v>28</v>
      </c>
      <c r="S225" s="212">
        <v>15</v>
      </c>
      <c r="T225" s="212" t="s">
        <v>65</v>
      </c>
      <c r="U225" s="212">
        <v>10</v>
      </c>
      <c r="V225" s="212">
        <v>2318</v>
      </c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</row>
    <row r="226" spans="1:43" x14ac:dyDescent="0.3">
      <c r="A226" s="308"/>
      <c r="B226" s="97" t="s">
        <v>86</v>
      </c>
      <c r="C226" s="214">
        <v>2783</v>
      </c>
      <c r="D226" s="214">
        <v>354</v>
      </c>
      <c r="E226" s="214">
        <v>2</v>
      </c>
      <c r="F226" s="214">
        <v>3450</v>
      </c>
      <c r="G226" s="214">
        <v>2</v>
      </c>
      <c r="H226" s="214">
        <v>6</v>
      </c>
      <c r="I226" s="214">
        <v>866</v>
      </c>
      <c r="J226" s="214">
        <v>62</v>
      </c>
      <c r="K226" s="214">
        <v>0</v>
      </c>
      <c r="L226" s="214">
        <v>1246</v>
      </c>
      <c r="M226" s="214">
        <v>9</v>
      </c>
      <c r="N226" s="214">
        <v>15</v>
      </c>
      <c r="O226" s="214">
        <v>885</v>
      </c>
      <c r="P226" s="214">
        <v>0</v>
      </c>
      <c r="Q226" s="214">
        <v>3</v>
      </c>
      <c r="R226" s="214">
        <v>424</v>
      </c>
      <c r="S226" s="214">
        <v>490</v>
      </c>
      <c r="T226" s="214">
        <v>183</v>
      </c>
      <c r="U226" s="214">
        <v>389</v>
      </c>
      <c r="V226" s="214">
        <v>11170</v>
      </c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</row>
    <row r="227" spans="1:43" ht="16.5" customHeight="1" x14ac:dyDescent="0.3">
      <c r="A227" s="307" t="s">
        <v>653</v>
      </c>
      <c r="B227" s="95" t="s">
        <v>657</v>
      </c>
      <c r="C227" s="212">
        <v>308</v>
      </c>
      <c r="D227" s="212">
        <v>19</v>
      </c>
      <c r="E227" s="212" t="s">
        <v>65</v>
      </c>
      <c r="F227" s="212" t="s">
        <v>65</v>
      </c>
      <c r="G227" s="212" t="s">
        <v>65</v>
      </c>
      <c r="H227" s="212" t="s">
        <v>65</v>
      </c>
      <c r="I227" s="212" t="s">
        <v>65</v>
      </c>
      <c r="J227" s="212">
        <v>16</v>
      </c>
      <c r="K227" s="212" t="s">
        <v>65</v>
      </c>
      <c r="L227" s="212">
        <v>28</v>
      </c>
      <c r="M227" s="212">
        <v>8</v>
      </c>
      <c r="N227" s="212" t="s">
        <v>65</v>
      </c>
      <c r="O227" s="212">
        <v>60</v>
      </c>
      <c r="P227" s="212" t="s">
        <v>65</v>
      </c>
      <c r="Q227" s="212" t="s">
        <v>65</v>
      </c>
      <c r="R227" s="212">
        <v>7</v>
      </c>
      <c r="S227" s="212" t="s">
        <v>65</v>
      </c>
      <c r="T227" s="212" t="s">
        <v>65</v>
      </c>
      <c r="U227" s="212" t="s">
        <v>65</v>
      </c>
      <c r="V227" s="212">
        <v>445</v>
      </c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</row>
    <row r="228" spans="1:43" ht="16.5" customHeight="1" x14ac:dyDescent="0.3">
      <c r="A228" s="323"/>
      <c r="B228" s="95" t="s">
        <v>654</v>
      </c>
      <c r="C228" s="212">
        <v>203</v>
      </c>
      <c r="D228" s="212">
        <v>19</v>
      </c>
      <c r="E228" s="212" t="s">
        <v>65</v>
      </c>
      <c r="F228" s="212" t="s">
        <v>65</v>
      </c>
      <c r="G228" s="212" t="s">
        <v>65</v>
      </c>
      <c r="H228" s="212" t="s">
        <v>65</v>
      </c>
      <c r="I228" s="212" t="s">
        <v>65</v>
      </c>
      <c r="J228" s="212">
        <v>11</v>
      </c>
      <c r="K228" s="212" t="s">
        <v>65</v>
      </c>
      <c r="L228" s="212" t="s">
        <v>65</v>
      </c>
      <c r="M228" s="212">
        <v>4</v>
      </c>
      <c r="N228" s="212" t="s">
        <v>65</v>
      </c>
      <c r="O228" s="212" t="s">
        <v>65</v>
      </c>
      <c r="P228" s="212" t="s">
        <v>65</v>
      </c>
      <c r="Q228" s="212" t="s">
        <v>65</v>
      </c>
      <c r="R228" s="212">
        <v>2</v>
      </c>
      <c r="S228" s="212" t="s">
        <v>65</v>
      </c>
      <c r="T228" s="212" t="s">
        <v>65</v>
      </c>
      <c r="U228" s="212" t="s">
        <v>65</v>
      </c>
      <c r="V228" s="212">
        <v>238</v>
      </c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</row>
    <row r="229" spans="1:43" ht="16.5" customHeight="1" x14ac:dyDescent="0.3">
      <c r="A229" s="323"/>
      <c r="B229" s="95" t="s">
        <v>656</v>
      </c>
      <c r="C229" s="212">
        <v>152</v>
      </c>
      <c r="D229" s="212">
        <v>26</v>
      </c>
      <c r="E229" s="212" t="s">
        <v>65</v>
      </c>
      <c r="F229" s="212" t="s">
        <v>65</v>
      </c>
      <c r="G229" s="212" t="s">
        <v>65</v>
      </c>
      <c r="H229" s="212" t="s">
        <v>65</v>
      </c>
      <c r="I229" s="212" t="s">
        <v>65</v>
      </c>
      <c r="J229" s="212">
        <v>61</v>
      </c>
      <c r="K229" s="212" t="s">
        <v>65</v>
      </c>
      <c r="L229" s="212" t="s">
        <v>65</v>
      </c>
      <c r="M229" s="212">
        <v>29</v>
      </c>
      <c r="N229" s="212" t="s">
        <v>65</v>
      </c>
      <c r="O229" s="212">
        <v>7</v>
      </c>
      <c r="P229" s="212" t="s">
        <v>65</v>
      </c>
      <c r="Q229" s="212" t="s">
        <v>65</v>
      </c>
      <c r="R229" s="212">
        <v>10</v>
      </c>
      <c r="S229" s="212" t="s">
        <v>65</v>
      </c>
      <c r="T229" s="212" t="s">
        <v>65</v>
      </c>
      <c r="U229" s="212">
        <v>16</v>
      </c>
      <c r="V229" s="212">
        <v>302</v>
      </c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</row>
    <row r="230" spans="1:43" ht="16.5" customHeight="1" x14ac:dyDescent="0.3">
      <c r="A230" s="323"/>
      <c r="B230" s="95" t="s">
        <v>655</v>
      </c>
      <c r="C230" s="212">
        <v>275</v>
      </c>
      <c r="D230" s="212">
        <v>25</v>
      </c>
      <c r="E230" s="212" t="s">
        <v>65</v>
      </c>
      <c r="F230" s="212" t="s">
        <v>65</v>
      </c>
      <c r="G230" s="212" t="s">
        <v>65</v>
      </c>
      <c r="H230" s="212">
        <v>0</v>
      </c>
      <c r="I230" s="212" t="s">
        <v>65</v>
      </c>
      <c r="J230" s="212">
        <v>12</v>
      </c>
      <c r="K230" s="212" t="s">
        <v>65</v>
      </c>
      <c r="L230" s="212" t="s">
        <v>65</v>
      </c>
      <c r="M230" s="212">
        <v>4</v>
      </c>
      <c r="N230" s="212">
        <v>2</v>
      </c>
      <c r="O230" s="212">
        <v>35</v>
      </c>
      <c r="P230" s="212" t="s">
        <v>65</v>
      </c>
      <c r="Q230" s="212" t="s">
        <v>65</v>
      </c>
      <c r="R230" s="212">
        <v>2</v>
      </c>
      <c r="S230" s="212" t="s">
        <v>65</v>
      </c>
      <c r="T230" s="212" t="s">
        <v>65</v>
      </c>
      <c r="U230" s="212">
        <v>1</v>
      </c>
      <c r="V230" s="212">
        <v>357</v>
      </c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</row>
    <row r="231" spans="1:43" ht="16.5" customHeight="1" x14ac:dyDescent="0.3">
      <c r="A231" s="323"/>
      <c r="B231" s="95" t="s">
        <v>658</v>
      </c>
      <c r="C231" s="212">
        <v>494</v>
      </c>
      <c r="D231" s="212">
        <v>4</v>
      </c>
      <c r="E231" s="212" t="s">
        <v>65</v>
      </c>
      <c r="F231" s="212" t="s">
        <v>65</v>
      </c>
      <c r="G231" s="212" t="s">
        <v>65</v>
      </c>
      <c r="H231" s="212" t="s">
        <v>65</v>
      </c>
      <c r="I231" s="212" t="s">
        <v>65</v>
      </c>
      <c r="J231" s="212">
        <v>3</v>
      </c>
      <c r="K231" s="212" t="s">
        <v>65</v>
      </c>
      <c r="L231" s="212" t="s">
        <v>65</v>
      </c>
      <c r="M231" s="212">
        <v>5</v>
      </c>
      <c r="N231" s="212">
        <v>1</v>
      </c>
      <c r="O231" s="212" t="s">
        <v>65</v>
      </c>
      <c r="P231" s="212" t="s">
        <v>65</v>
      </c>
      <c r="Q231" s="212" t="s">
        <v>65</v>
      </c>
      <c r="R231" s="212">
        <v>1</v>
      </c>
      <c r="S231" s="212" t="s">
        <v>65</v>
      </c>
      <c r="T231" s="212" t="s">
        <v>65</v>
      </c>
      <c r="U231" s="212" t="s">
        <v>65</v>
      </c>
      <c r="V231" s="212">
        <v>508</v>
      </c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</row>
    <row r="232" spans="1:43" x14ac:dyDescent="0.3">
      <c r="A232" s="308"/>
      <c r="B232" s="97" t="s">
        <v>86</v>
      </c>
      <c r="C232" s="214">
        <v>1431</v>
      </c>
      <c r="D232" s="214">
        <v>93</v>
      </c>
      <c r="E232" s="214">
        <v>0</v>
      </c>
      <c r="F232" s="214">
        <v>0</v>
      </c>
      <c r="G232" s="214">
        <v>0</v>
      </c>
      <c r="H232" s="214">
        <v>0</v>
      </c>
      <c r="I232" s="214">
        <v>0</v>
      </c>
      <c r="J232" s="214">
        <v>103</v>
      </c>
      <c r="K232" s="214">
        <v>0</v>
      </c>
      <c r="L232" s="214">
        <v>28</v>
      </c>
      <c r="M232" s="214">
        <v>49</v>
      </c>
      <c r="N232" s="214">
        <v>3</v>
      </c>
      <c r="O232" s="214">
        <v>102</v>
      </c>
      <c r="P232" s="214">
        <v>0</v>
      </c>
      <c r="Q232" s="214">
        <v>0</v>
      </c>
      <c r="R232" s="214">
        <v>22</v>
      </c>
      <c r="S232" s="214">
        <v>0</v>
      </c>
      <c r="T232" s="214">
        <v>0</v>
      </c>
      <c r="U232" s="214">
        <v>17</v>
      </c>
      <c r="V232" s="214">
        <v>1850</v>
      </c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</row>
    <row r="233" spans="1:43" ht="16.5" customHeight="1" x14ac:dyDescent="0.3">
      <c r="A233" s="307" t="s">
        <v>772</v>
      </c>
      <c r="B233" s="95" t="s">
        <v>660</v>
      </c>
      <c r="C233" s="212">
        <v>23</v>
      </c>
      <c r="D233" s="212">
        <v>6</v>
      </c>
      <c r="E233" s="212" t="s">
        <v>65</v>
      </c>
      <c r="F233" s="212" t="s">
        <v>65</v>
      </c>
      <c r="G233" s="212" t="s">
        <v>65</v>
      </c>
      <c r="H233" s="212" t="s">
        <v>65</v>
      </c>
      <c r="I233" s="212" t="s">
        <v>65</v>
      </c>
      <c r="J233" s="212" t="s">
        <v>65</v>
      </c>
      <c r="K233" s="212" t="s">
        <v>65</v>
      </c>
      <c r="L233" s="212" t="s">
        <v>65</v>
      </c>
      <c r="M233" s="212" t="s">
        <v>65</v>
      </c>
      <c r="N233" s="212" t="s">
        <v>65</v>
      </c>
      <c r="O233" s="212">
        <v>50</v>
      </c>
      <c r="P233" s="212" t="s">
        <v>65</v>
      </c>
      <c r="Q233" s="212" t="s">
        <v>65</v>
      </c>
      <c r="R233" s="212">
        <v>2</v>
      </c>
      <c r="S233" s="212" t="s">
        <v>65</v>
      </c>
      <c r="T233" s="212" t="s">
        <v>65</v>
      </c>
      <c r="U233" s="212">
        <v>5</v>
      </c>
      <c r="V233" s="212">
        <v>86</v>
      </c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</row>
    <row r="234" spans="1:43" ht="16.5" customHeight="1" x14ac:dyDescent="0.3">
      <c r="A234" s="323"/>
      <c r="B234" s="95" t="s">
        <v>659</v>
      </c>
      <c r="C234" s="212">
        <v>63</v>
      </c>
      <c r="D234" s="212">
        <v>19</v>
      </c>
      <c r="E234" s="212" t="s">
        <v>65</v>
      </c>
      <c r="F234" s="212" t="s">
        <v>65</v>
      </c>
      <c r="G234" s="212" t="s">
        <v>65</v>
      </c>
      <c r="H234" s="212" t="s">
        <v>65</v>
      </c>
      <c r="I234" s="212" t="s">
        <v>65</v>
      </c>
      <c r="J234" s="212">
        <v>2</v>
      </c>
      <c r="K234" s="212" t="s">
        <v>65</v>
      </c>
      <c r="L234" s="212" t="s">
        <v>65</v>
      </c>
      <c r="M234" s="212">
        <v>3</v>
      </c>
      <c r="N234" s="212" t="s">
        <v>65</v>
      </c>
      <c r="O234" s="212">
        <v>10</v>
      </c>
      <c r="P234" s="212" t="s">
        <v>65</v>
      </c>
      <c r="Q234" s="212" t="s">
        <v>65</v>
      </c>
      <c r="R234" s="212">
        <v>6</v>
      </c>
      <c r="S234" s="212" t="s">
        <v>65</v>
      </c>
      <c r="T234" s="212" t="s">
        <v>65</v>
      </c>
      <c r="U234" s="212">
        <v>6</v>
      </c>
      <c r="V234" s="212">
        <v>108</v>
      </c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</row>
    <row r="235" spans="1:43" ht="16.5" customHeight="1" x14ac:dyDescent="0.3">
      <c r="A235" s="323"/>
      <c r="B235" s="95" t="s">
        <v>661</v>
      </c>
      <c r="C235" s="212">
        <v>14</v>
      </c>
      <c r="D235" s="212">
        <v>5</v>
      </c>
      <c r="E235" s="212" t="s">
        <v>65</v>
      </c>
      <c r="F235" s="212" t="s">
        <v>65</v>
      </c>
      <c r="G235" s="212" t="s">
        <v>65</v>
      </c>
      <c r="H235" s="212" t="s">
        <v>65</v>
      </c>
      <c r="I235" s="212">
        <v>6</v>
      </c>
      <c r="J235" s="212" t="s">
        <v>65</v>
      </c>
      <c r="K235" s="212" t="s">
        <v>65</v>
      </c>
      <c r="L235" s="212" t="s">
        <v>65</v>
      </c>
      <c r="M235" s="212">
        <v>0</v>
      </c>
      <c r="N235" s="212" t="s">
        <v>65</v>
      </c>
      <c r="O235" s="212" t="s">
        <v>65</v>
      </c>
      <c r="P235" s="212" t="s">
        <v>65</v>
      </c>
      <c r="Q235" s="212" t="s">
        <v>65</v>
      </c>
      <c r="R235" s="212">
        <v>4</v>
      </c>
      <c r="S235" s="212" t="s">
        <v>65</v>
      </c>
      <c r="T235" s="212" t="s">
        <v>65</v>
      </c>
      <c r="U235" s="212">
        <v>1</v>
      </c>
      <c r="V235" s="212">
        <v>29</v>
      </c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</row>
    <row r="236" spans="1:43" x14ac:dyDescent="0.3">
      <c r="A236" s="308"/>
      <c r="B236" s="97" t="s">
        <v>86</v>
      </c>
      <c r="C236" s="214">
        <v>100</v>
      </c>
      <c r="D236" s="214">
        <v>30</v>
      </c>
      <c r="E236" s="214">
        <v>0</v>
      </c>
      <c r="F236" s="214">
        <v>0</v>
      </c>
      <c r="G236" s="214">
        <v>0</v>
      </c>
      <c r="H236" s="214">
        <v>0</v>
      </c>
      <c r="I236" s="214">
        <v>6</v>
      </c>
      <c r="J236" s="214">
        <v>2</v>
      </c>
      <c r="K236" s="214">
        <v>0</v>
      </c>
      <c r="L236" s="214">
        <v>0</v>
      </c>
      <c r="M236" s="214">
        <v>3</v>
      </c>
      <c r="N236" s="214">
        <v>0</v>
      </c>
      <c r="O236" s="214">
        <v>60</v>
      </c>
      <c r="P236" s="214">
        <v>0</v>
      </c>
      <c r="Q236" s="214">
        <v>0</v>
      </c>
      <c r="R236" s="214">
        <v>12</v>
      </c>
      <c r="S236" s="214">
        <v>0</v>
      </c>
      <c r="T236" s="214">
        <v>0</v>
      </c>
      <c r="U236" s="214">
        <v>12</v>
      </c>
      <c r="V236" s="214">
        <v>223</v>
      </c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</row>
    <row r="237" spans="1:43" ht="16.5" customHeight="1" x14ac:dyDescent="0.3">
      <c r="A237" s="307" t="s">
        <v>151</v>
      </c>
      <c r="B237" s="95" t="s">
        <v>662</v>
      </c>
      <c r="C237" s="212">
        <v>4</v>
      </c>
      <c r="D237" s="212">
        <v>0</v>
      </c>
      <c r="E237" s="212" t="s">
        <v>65</v>
      </c>
      <c r="F237" s="212" t="s">
        <v>65</v>
      </c>
      <c r="G237" s="212" t="s">
        <v>65</v>
      </c>
      <c r="H237" s="212" t="s">
        <v>65</v>
      </c>
      <c r="I237" s="212" t="s">
        <v>65</v>
      </c>
      <c r="J237" s="212" t="s">
        <v>65</v>
      </c>
      <c r="K237" s="212" t="s">
        <v>65</v>
      </c>
      <c r="L237" s="212" t="s">
        <v>65</v>
      </c>
      <c r="M237" s="212" t="s">
        <v>65</v>
      </c>
      <c r="N237" s="212" t="s">
        <v>65</v>
      </c>
      <c r="O237" s="212" t="s">
        <v>65</v>
      </c>
      <c r="P237" s="212" t="s">
        <v>65</v>
      </c>
      <c r="Q237" s="212" t="s">
        <v>65</v>
      </c>
      <c r="R237" s="212">
        <v>23</v>
      </c>
      <c r="S237" s="212" t="s">
        <v>65</v>
      </c>
      <c r="T237" s="212" t="s">
        <v>65</v>
      </c>
      <c r="U237" s="212" t="s">
        <v>65</v>
      </c>
      <c r="V237" s="212">
        <v>26</v>
      </c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</row>
    <row r="238" spans="1:43" ht="16.5" customHeight="1" x14ac:dyDescent="0.3">
      <c r="A238" s="323"/>
      <c r="B238" s="95" t="s">
        <v>718</v>
      </c>
      <c r="C238" s="212">
        <v>3171</v>
      </c>
      <c r="D238" s="212">
        <v>37</v>
      </c>
      <c r="E238" s="212" t="s">
        <v>65</v>
      </c>
      <c r="F238" s="212" t="s">
        <v>65</v>
      </c>
      <c r="G238" s="212" t="s">
        <v>65</v>
      </c>
      <c r="H238" s="212" t="s">
        <v>65</v>
      </c>
      <c r="I238" s="212">
        <v>3</v>
      </c>
      <c r="J238" s="212">
        <v>9</v>
      </c>
      <c r="K238" s="212" t="s">
        <v>65</v>
      </c>
      <c r="L238" s="212" t="s">
        <v>65</v>
      </c>
      <c r="M238" s="212">
        <v>1</v>
      </c>
      <c r="N238" s="212" t="s">
        <v>65</v>
      </c>
      <c r="O238" s="212">
        <v>72</v>
      </c>
      <c r="P238" s="212">
        <v>6</v>
      </c>
      <c r="Q238" s="212">
        <v>1</v>
      </c>
      <c r="R238" s="212">
        <v>293</v>
      </c>
      <c r="S238" s="212">
        <v>176</v>
      </c>
      <c r="T238" s="212">
        <v>4</v>
      </c>
      <c r="U238" s="212">
        <v>102</v>
      </c>
      <c r="V238" s="212">
        <v>3877</v>
      </c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</row>
    <row r="239" spans="1:43" ht="16.5" customHeight="1" x14ac:dyDescent="0.3">
      <c r="A239" s="323"/>
      <c r="B239" s="95" t="s">
        <v>719</v>
      </c>
      <c r="C239" s="212">
        <v>0</v>
      </c>
      <c r="D239" s="212" t="s">
        <v>65</v>
      </c>
      <c r="E239" s="212" t="s">
        <v>65</v>
      </c>
      <c r="F239" s="212" t="s">
        <v>65</v>
      </c>
      <c r="G239" s="212" t="s">
        <v>65</v>
      </c>
      <c r="H239" s="212" t="s">
        <v>65</v>
      </c>
      <c r="I239" s="212" t="s">
        <v>65</v>
      </c>
      <c r="J239" s="212" t="s">
        <v>65</v>
      </c>
      <c r="K239" s="212" t="s">
        <v>65</v>
      </c>
      <c r="L239" s="212" t="s">
        <v>65</v>
      </c>
      <c r="M239" s="212" t="s">
        <v>65</v>
      </c>
      <c r="N239" s="212" t="s">
        <v>65</v>
      </c>
      <c r="O239" s="212" t="s">
        <v>65</v>
      </c>
      <c r="P239" s="212" t="s">
        <v>65</v>
      </c>
      <c r="Q239" s="212" t="s">
        <v>65</v>
      </c>
      <c r="R239" s="212" t="s">
        <v>65</v>
      </c>
      <c r="S239" s="212" t="s">
        <v>65</v>
      </c>
      <c r="T239" s="212" t="s">
        <v>65</v>
      </c>
      <c r="U239" s="212" t="s">
        <v>65</v>
      </c>
      <c r="V239" s="212">
        <v>0</v>
      </c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</row>
    <row r="240" spans="1:43" ht="16.5" customHeight="1" x14ac:dyDescent="0.3">
      <c r="A240" s="323"/>
      <c r="B240" s="95" t="s">
        <v>721</v>
      </c>
      <c r="C240" s="212">
        <v>3</v>
      </c>
      <c r="D240" s="212">
        <v>2</v>
      </c>
      <c r="E240" s="212" t="s">
        <v>65</v>
      </c>
      <c r="F240" s="212" t="s">
        <v>65</v>
      </c>
      <c r="G240" s="212" t="s">
        <v>65</v>
      </c>
      <c r="H240" s="212" t="s">
        <v>65</v>
      </c>
      <c r="I240" s="212" t="s">
        <v>65</v>
      </c>
      <c r="J240" s="212" t="s">
        <v>65</v>
      </c>
      <c r="K240" s="212" t="s">
        <v>65</v>
      </c>
      <c r="L240" s="212" t="s">
        <v>65</v>
      </c>
      <c r="M240" s="212" t="s">
        <v>65</v>
      </c>
      <c r="N240" s="212" t="s">
        <v>65</v>
      </c>
      <c r="O240" s="212" t="s">
        <v>65</v>
      </c>
      <c r="P240" s="212" t="s">
        <v>65</v>
      </c>
      <c r="Q240" s="212" t="s">
        <v>65</v>
      </c>
      <c r="R240" s="212">
        <v>2</v>
      </c>
      <c r="S240" s="212" t="s">
        <v>65</v>
      </c>
      <c r="T240" s="212" t="s">
        <v>65</v>
      </c>
      <c r="U240" s="212">
        <v>0</v>
      </c>
      <c r="V240" s="212">
        <v>7</v>
      </c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</row>
    <row r="241" spans="1:43" ht="16.5" customHeight="1" x14ac:dyDescent="0.3">
      <c r="A241" s="323"/>
      <c r="B241" s="95" t="s">
        <v>663</v>
      </c>
      <c r="C241" s="212">
        <v>105</v>
      </c>
      <c r="D241" s="212">
        <v>3</v>
      </c>
      <c r="E241" s="212" t="s">
        <v>65</v>
      </c>
      <c r="F241" s="212" t="s">
        <v>65</v>
      </c>
      <c r="G241" s="212" t="s">
        <v>65</v>
      </c>
      <c r="H241" s="212" t="s">
        <v>65</v>
      </c>
      <c r="I241" s="212" t="s">
        <v>65</v>
      </c>
      <c r="J241" s="212">
        <v>22</v>
      </c>
      <c r="K241" s="212" t="s">
        <v>65</v>
      </c>
      <c r="L241" s="212" t="s">
        <v>65</v>
      </c>
      <c r="M241" s="212" t="s">
        <v>65</v>
      </c>
      <c r="N241" s="212" t="s">
        <v>65</v>
      </c>
      <c r="O241" s="212">
        <v>13</v>
      </c>
      <c r="P241" s="212" t="s">
        <v>65</v>
      </c>
      <c r="Q241" s="212" t="s">
        <v>65</v>
      </c>
      <c r="R241" s="212">
        <v>4</v>
      </c>
      <c r="S241" s="212" t="s">
        <v>65</v>
      </c>
      <c r="T241" s="212">
        <v>2</v>
      </c>
      <c r="U241" s="212">
        <v>172</v>
      </c>
      <c r="V241" s="212">
        <v>320</v>
      </c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</row>
    <row r="242" spans="1:43" ht="16.5" customHeight="1" x14ac:dyDescent="0.3">
      <c r="A242" s="323"/>
      <c r="B242" s="95" t="s">
        <v>720</v>
      </c>
      <c r="C242" s="212">
        <v>4866</v>
      </c>
      <c r="D242" s="212">
        <v>9616</v>
      </c>
      <c r="E242" s="212" t="s">
        <v>65</v>
      </c>
      <c r="F242" s="212" t="s">
        <v>65</v>
      </c>
      <c r="G242" s="212" t="s">
        <v>65</v>
      </c>
      <c r="H242" s="212" t="s">
        <v>65</v>
      </c>
      <c r="I242" s="212">
        <v>27</v>
      </c>
      <c r="J242" s="212">
        <v>2</v>
      </c>
      <c r="K242" s="212" t="s">
        <v>65</v>
      </c>
      <c r="L242" s="212" t="s">
        <v>65</v>
      </c>
      <c r="M242" s="212" t="s">
        <v>65</v>
      </c>
      <c r="N242" s="212" t="s">
        <v>65</v>
      </c>
      <c r="O242" s="212">
        <v>2379</v>
      </c>
      <c r="P242" s="212" t="s">
        <v>65</v>
      </c>
      <c r="Q242" s="212" t="s">
        <v>65</v>
      </c>
      <c r="R242" s="212">
        <v>227</v>
      </c>
      <c r="S242" s="212">
        <v>676</v>
      </c>
      <c r="T242" s="212">
        <v>0</v>
      </c>
      <c r="U242" s="212">
        <v>169</v>
      </c>
      <c r="V242" s="212">
        <v>17962</v>
      </c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</row>
    <row r="243" spans="1:43" x14ac:dyDescent="0.3">
      <c r="A243" s="308"/>
      <c r="B243" s="97" t="s">
        <v>86</v>
      </c>
      <c r="C243" s="214">
        <v>8149</v>
      </c>
      <c r="D243" s="214">
        <v>9659</v>
      </c>
      <c r="E243" s="214">
        <v>0</v>
      </c>
      <c r="F243" s="214">
        <v>0</v>
      </c>
      <c r="G243" s="214">
        <v>0</v>
      </c>
      <c r="H243" s="214">
        <v>0</v>
      </c>
      <c r="I243" s="214">
        <v>30</v>
      </c>
      <c r="J243" s="214">
        <v>33</v>
      </c>
      <c r="K243" s="214">
        <v>0</v>
      </c>
      <c r="L243" s="214">
        <v>0</v>
      </c>
      <c r="M243" s="214">
        <v>1</v>
      </c>
      <c r="N243" s="214">
        <v>0</v>
      </c>
      <c r="O243" s="214">
        <v>2464</v>
      </c>
      <c r="P243" s="214">
        <v>6</v>
      </c>
      <c r="Q243" s="214">
        <v>1</v>
      </c>
      <c r="R243" s="214">
        <v>549</v>
      </c>
      <c r="S243" s="214">
        <v>852</v>
      </c>
      <c r="T243" s="214">
        <v>6</v>
      </c>
      <c r="U243" s="214">
        <v>443</v>
      </c>
      <c r="V243" s="214">
        <v>22193</v>
      </c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</row>
    <row r="244" spans="1:43" ht="16.5" customHeight="1" x14ac:dyDescent="0.3">
      <c r="A244" s="307" t="s">
        <v>773</v>
      </c>
      <c r="B244" s="95" t="s">
        <v>723</v>
      </c>
      <c r="C244" s="212">
        <v>0</v>
      </c>
      <c r="D244" s="212" t="s">
        <v>65</v>
      </c>
      <c r="E244" s="212" t="s">
        <v>65</v>
      </c>
      <c r="F244" s="212" t="s">
        <v>65</v>
      </c>
      <c r="G244" s="212" t="s">
        <v>65</v>
      </c>
      <c r="H244" s="212" t="s">
        <v>65</v>
      </c>
      <c r="I244" s="212" t="s">
        <v>65</v>
      </c>
      <c r="J244" s="212" t="s">
        <v>65</v>
      </c>
      <c r="K244" s="212" t="s">
        <v>65</v>
      </c>
      <c r="L244" s="212" t="s">
        <v>65</v>
      </c>
      <c r="M244" s="212" t="s">
        <v>65</v>
      </c>
      <c r="N244" s="212" t="s">
        <v>65</v>
      </c>
      <c r="O244" s="212" t="s">
        <v>65</v>
      </c>
      <c r="P244" s="212" t="s">
        <v>65</v>
      </c>
      <c r="Q244" s="212" t="s">
        <v>65</v>
      </c>
      <c r="R244" s="212" t="s">
        <v>65</v>
      </c>
      <c r="S244" s="212" t="s">
        <v>65</v>
      </c>
      <c r="T244" s="212" t="s">
        <v>65</v>
      </c>
      <c r="U244" s="212" t="s">
        <v>65</v>
      </c>
      <c r="V244" s="212">
        <v>0</v>
      </c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</row>
    <row r="245" spans="1:43" ht="16.5" customHeight="1" x14ac:dyDescent="0.3">
      <c r="A245" s="323"/>
      <c r="B245" s="95" t="s">
        <v>724</v>
      </c>
      <c r="C245" s="212">
        <v>0</v>
      </c>
      <c r="D245" s="212">
        <v>4</v>
      </c>
      <c r="E245" s="212" t="s">
        <v>65</v>
      </c>
      <c r="F245" s="212" t="s">
        <v>65</v>
      </c>
      <c r="G245" s="212" t="s">
        <v>65</v>
      </c>
      <c r="H245" s="212" t="s">
        <v>65</v>
      </c>
      <c r="I245" s="212" t="s">
        <v>65</v>
      </c>
      <c r="J245" s="212" t="s">
        <v>65</v>
      </c>
      <c r="K245" s="212" t="s">
        <v>65</v>
      </c>
      <c r="L245" s="212" t="s">
        <v>65</v>
      </c>
      <c r="M245" s="212" t="s">
        <v>65</v>
      </c>
      <c r="N245" s="212" t="s">
        <v>65</v>
      </c>
      <c r="O245" s="212" t="s">
        <v>65</v>
      </c>
      <c r="P245" s="212" t="s">
        <v>65</v>
      </c>
      <c r="Q245" s="212" t="s">
        <v>65</v>
      </c>
      <c r="R245" s="212" t="s">
        <v>65</v>
      </c>
      <c r="S245" s="212" t="s">
        <v>65</v>
      </c>
      <c r="T245" s="212" t="s">
        <v>65</v>
      </c>
      <c r="U245" s="212" t="s">
        <v>65</v>
      </c>
      <c r="V245" s="212">
        <v>4</v>
      </c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</row>
    <row r="246" spans="1:43" ht="16.5" customHeight="1" x14ac:dyDescent="0.3">
      <c r="A246" s="323"/>
      <c r="B246" s="95" t="s">
        <v>725</v>
      </c>
      <c r="C246" s="212" t="s">
        <v>65</v>
      </c>
      <c r="D246" s="212">
        <v>0</v>
      </c>
      <c r="E246" s="212" t="s">
        <v>65</v>
      </c>
      <c r="F246" s="212" t="s">
        <v>65</v>
      </c>
      <c r="G246" s="212" t="s">
        <v>65</v>
      </c>
      <c r="H246" s="212" t="s">
        <v>65</v>
      </c>
      <c r="I246" s="212" t="s">
        <v>65</v>
      </c>
      <c r="J246" s="212" t="s">
        <v>65</v>
      </c>
      <c r="K246" s="212" t="s">
        <v>65</v>
      </c>
      <c r="L246" s="212" t="s">
        <v>65</v>
      </c>
      <c r="M246" s="212" t="s">
        <v>65</v>
      </c>
      <c r="N246" s="212" t="s">
        <v>65</v>
      </c>
      <c r="O246" s="212" t="s">
        <v>65</v>
      </c>
      <c r="P246" s="212" t="s">
        <v>65</v>
      </c>
      <c r="Q246" s="212" t="s">
        <v>65</v>
      </c>
      <c r="R246" s="212" t="s">
        <v>65</v>
      </c>
      <c r="S246" s="212" t="s">
        <v>65</v>
      </c>
      <c r="T246" s="212" t="s">
        <v>65</v>
      </c>
      <c r="U246" s="212" t="s">
        <v>65</v>
      </c>
      <c r="V246" s="212">
        <v>0</v>
      </c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</row>
    <row r="247" spans="1:43" ht="16.5" customHeight="1" x14ac:dyDescent="0.3">
      <c r="A247" s="323"/>
      <c r="B247" s="95" t="s">
        <v>726</v>
      </c>
      <c r="C247" s="212">
        <v>3</v>
      </c>
      <c r="D247" s="212">
        <v>5</v>
      </c>
      <c r="E247" s="212" t="s">
        <v>65</v>
      </c>
      <c r="F247" s="212" t="s">
        <v>65</v>
      </c>
      <c r="G247" s="212" t="s">
        <v>65</v>
      </c>
      <c r="H247" s="212" t="s">
        <v>65</v>
      </c>
      <c r="I247" s="212" t="s">
        <v>65</v>
      </c>
      <c r="J247" s="212" t="s">
        <v>65</v>
      </c>
      <c r="K247" s="212" t="s">
        <v>65</v>
      </c>
      <c r="L247" s="212" t="s">
        <v>65</v>
      </c>
      <c r="M247" s="212" t="s">
        <v>65</v>
      </c>
      <c r="N247" s="212" t="s">
        <v>65</v>
      </c>
      <c r="O247" s="212" t="s">
        <v>65</v>
      </c>
      <c r="P247" s="212" t="s">
        <v>65</v>
      </c>
      <c r="Q247" s="212" t="s">
        <v>65</v>
      </c>
      <c r="R247" s="212">
        <v>0</v>
      </c>
      <c r="S247" s="212" t="s">
        <v>65</v>
      </c>
      <c r="T247" s="212" t="s">
        <v>65</v>
      </c>
      <c r="U247" s="212" t="s">
        <v>65</v>
      </c>
      <c r="V247" s="212">
        <v>8</v>
      </c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</row>
    <row r="248" spans="1:43" ht="16.5" customHeight="1" x14ac:dyDescent="0.3">
      <c r="A248" s="323"/>
      <c r="B248" s="95" t="s">
        <v>727</v>
      </c>
      <c r="C248" s="212">
        <v>2</v>
      </c>
      <c r="D248" s="212">
        <v>21</v>
      </c>
      <c r="E248" s="212" t="s">
        <v>65</v>
      </c>
      <c r="F248" s="212" t="s">
        <v>65</v>
      </c>
      <c r="G248" s="212" t="s">
        <v>65</v>
      </c>
      <c r="H248" s="212" t="s">
        <v>65</v>
      </c>
      <c r="I248" s="212" t="s">
        <v>65</v>
      </c>
      <c r="J248" s="212" t="s">
        <v>65</v>
      </c>
      <c r="K248" s="212" t="s">
        <v>65</v>
      </c>
      <c r="L248" s="212" t="s">
        <v>65</v>
      </c>
      <c r="M248" s="212" t="s">
        <v>65</v>
      </c>
      <c r="N248" s="212">
        <v>1</v>
      </c>
      <c r="O248" s="212" t="s">
        <v>65</v>
      </c>
      <c r="P248" s="212" t="s">
        <v>65</v>
      </c>
      <c r="Q248" s="212" t="s">
        <v>65</v>
      </c>
      <c r="R248" s="212" t="s">
        <v>65</v>
      </c>
      <c r="S248" s="212" t="s">
        <v>65</v>
      </c>
      <c r="T248" s="212" t="s">
        <v>65</v>
      </c>
      <c r="U248" s="212">
        <v>87</v>
      </c>
      <c r="V248" s="212">
        <v>110</v>
      </c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</row>
    <row r="249" spans="1:43" ht="16.5" customHeight="1" x14ac:dyDescent="0.3">
      <c r="A249" s="323"/>
      <c r="B249" s="95" t="s">
        <v>728</v>
      </c>
      <c r="C249" s="212">
        <v>1</v>
      </c>
      <c r="D249" s="212">
        <v>5</v>
      </c>
      <c r="E249" s="212" t="s">
        <v>65</v>
      </c>
      <c r="F249" s="212" t="s">
        <v>65</v>
      </c>
      <c r="G249" s="212" t="s">
        <v>65</v>
      </c>
      <c r="H249" s="212" t="s">
        <v>65</v>
      </c>
      <c r="I249" s="212" t="s">
        <v>65</v>
      </c>
      <c r="J249" s="212" t="s">
        <v>65</v>
      </c>
      <c r="K249" s="212" t="s">
        <v>65</v>
      </c>
      <c r="L249" s="212" t="s">
        <v>65</v>
      </c>
      <c r="M249" s="212" t="s">
        <v>65</v>
      </c>
      <c r="N249" s="212" t="s">
        <v>65</v>
      </c>
      <c r="O249" s="212" t="s">
        <v>65</v>
      </c>
      <c r="P249" s="212" t="s">
        <v>65</v>
      </c>
      <c r="Q249" s="212" t="s">
        <v>65</v>
      </c>
      <c r="R249" s="212" t="s">
        <v>65</v>
      </c>
      <c r="S249" s="212" t="s">
        <v>65</v>
      </c>
      <c r="T249" s="212" t="s">
        <v>65</v>
      </c>
      <c r="U249" s="212" t="s">
        <v>65</v>
      </c>
      <c r="V249" s="212">
        <v>5</v>
      </c>
    </row>
    <row r="250" spans="1:43" ht="16.5" customHeight="1" x14ac:dyDescent="0.3">
      <c r="A250" s="323"/>
      <c r="B250" s="95" t="s">
        <v>729</v>
      </c>
      <c r="C250" s="212" t="s">
        <v>65</v>
      </c>
      <c r="D250" s="212">
        <v>3</v>
      </c>
      <c r="E250" s="212" t="s">
        <v>65</v>
      </c>
      <c r="F250" s="212" t="s">
        <v>65</v>
      </c>
      <c r="G250" s="212" t="s">
        <v>65</v>
      </c>
      <c r="H250" s="212" t="s">
        <v>65</v>
      </c>
      <c r="I250" s="212" t="s">
        <v>65</v>
      </c>
      <c r="J250" s="212" t="s">
        <v>65</v>
      </c>
      <c r="K250" s="212" t="s">
        <v>65</v>
      </c>
      <c r="L250" s="212" t="s">
        <v>65</v>
      </c>
      <c r="M250" s="212" t="s">
        <v>65</v>
      </c>
      <c r="N250" s="212" t="s">
        <v>65</v>
      </c>
      <c r="O250" s="212" t="s">
        <v>65</v>
      </c>
      <c r="P250" s="212" t="s">
        <v>65</v>
      </c>
      <c r="Q250" s="212" t="s">
        <v>65</v>
      </c>
      <c r="R250" s="212" t="s">
        <v>65</v>
      </c>
      <c r="S250" s="212" t="s">
        <v>65</v>
      </c>
      <c r="T250" s="212" t="s">
        <v>65</v>
      </c>
      <c r="U250" s="212" t="s">
        <v>65</v>
      </c>
      <c r="V250" s="212">
        <v>3</v>
      </c>
    </row>
    <row r="251" spans="1:43" ht="16.5" customHeight="1" x14ac:dyDescent="0.3">
      <c r="A251" s="323"/>
      <c r="B251" s="95" t="s">
        <v>730</v>
      </c>
      <c r="C251" s="212">
        <v>0</v>
      </c>
      <c r="D251" s="212" t="s">
        <v>65</v>
      </c>
      <c r="E251" s="212" t="s">
        <v>65</v>
      </c>
      <c r="F251" s="212" t="s">
        <v>65</v>
      </c>
      <c r="G251" s="212" t="s">
        <v>65</v>
      </c>
      <c r="H251" s="212" t="s">
        <v>65</v>
      </c>
      <c r="I251" s="212" t="s">
        <v>65</v>
      </c>
      <c r="J251" s="212" t="s">
        <v>65</v>
      </c>
      <c r="K251" s="212" t="s">
        <v>65</v>
      </c>
      <c r="L251" s="212" t="s">
        <v>65</v>
      </c>
      <c r="M251" s="212" t="s">
        <v>65</v>
      </c>
      <c r="N251" s="212" t="s">
        <v>65</v>
      </c>
      <c r="O251" s="212" t="s">
        <v>65</v>
      </c>
      <c r="P251" s="212" t="s">
        <v>65</v>
      </c>
      <c r="Q251" s="212" t="s">
        <v>65</v>
      </c>
      <c r="R251" s="212" t="s">
        <v>65</v>
      </c>
      <c r="S251" s="212" t="s">
        <v>65</v>
      </c>
      <c r="T251" s="212" t="s">
        <v>65</v>
      </c>
      <c r="U251" s="212" t="s">
        <v>65</v>
      </c>
      <c r="V251" s="212">
        <v>0</v>
      </c>
    </row>
    <row r="252" spans="1:43" ht="16.5" customHeight="1" x14ac:dyDescent="0.3">
      <c r="A252" s="323"/>
      <c r="B252" s="95" t="s">
        <v>731</v>
      </c>
      <c r="C252" s="212">
        <v>0</v>
      </c>
      <c r="D252" s="212">
        <v>2</v>
      </c>
      <c r="E252" s="212" t="s">
        <v>65</v>
      </c>
      <c r="F252" s="212" t="s">
        <v>65</v>
      </c>
      <c r="G252" s="212" t="s">
        <v>65</v>
      </c>
      <c r="H252" s="212" t="s">
        <v>65</v>
      </c>
      <c r="I252" s="212" t="s">
        <v>65</v>
      </c>
      <c r="J252" s="212" t="s">
        <v>65</v>
      </c>
      <c r="K252" s="212" t="s">
        <v>65</v>
      </c>
      <c r="L252" s="212" t="s">
        <v>65</v>
      </c>
      <c r="M252" s="212" t="s">
        <v>65</v>
      </c>
      <c r="N252" s="212" t="s">
        <v>65</v>
      </c>
      <c r="O252" s="212" t="s">
        <v>65</v>
      </c>
      <c r="P252" s="212" t="s">
        <v>65</v>
      </c>
      <c r="Q252" s="212" t="s">
        <v>65</v>
      </c>
      <c r="R252" s="212" t="s">
        <v>65</v>
      </c>
      <c r="S252" s="212" t="s">
        <v>65</v>
      </c>
      <c r="T252" s="212" t="s">
        <v>65</v>
      </c>
      <c r="U252" s="212" t="s">
        <v>65</v>
      </c>
      <c r="V252" s="212">
        <v>2</v>
      </c>
    </row>
    <row r="253" spans="1:43" ht="16.5" customHeight="1" x14ac:dyDescent="0.3">
      <c r="A253" s="323"/>
      <c r="B253" s="95" t="s">
        <v>732</v>
      </c>
      <c r="C253" s="212">
        <v>2</v>
      </c>
      <c r="D253" s="212">
        <v>7</v>
      </c>
      <c r="E253" s="212" t="s">
        <v>65</v>
      </c>
      <c r="F253" s="212" t="s">
        <v>65</v>
      </c>
      <c r="G253" s="212" t="s">
        <v>65</v>
      </c>
      <c r="H253" s="212" t="s">
        <v>65</v>
      </c>
      <c r="I253" s="212" t="s">
        <v>65</v>
      </c>
      <c r="J253" s="212" t="s">
        <v>65</v>
      </c>
      <c r="K253" s="212" t="s">
        <v>65</v>
      </c>
      <c r="L253" s="212" t="s">
        <v>65</v>
      </c>
      <c r="M253" s="212" t="s">
        <v>65</v>
      </c>
      <c r="N253" s="212" t="s">
        <v>65</v>
      </c>
      <c r="O253" s="212">
        <v>1</v>
      </c>
      <c r="P253" s="212" t="s">
        <v>65</v>
      </c>
      <c r="Q253" s="212" t="s">
        <v>65</v>
      </c>
      <c r="R253" s="212" t="s">
        <v>65</v>
      </c>
      <c r="S253" s="212" t="s">
        <v>65</v>
      </c>
      <c r="T253" s="212" t="s">
        <v>65</v>
      </c>
      <c r="U253" s="212" t="s">
        <v>65</v>
      </c>
      <c r="V253" s="212">
        <v>9</v>
      </c>
    </row>
    <row r="254" spans="1:43" ht="16.5" customHeight="1" x14ac:dyDescent="0.3">
      <c r="A254" s="323"/>
      <c r="B254" s="95" t="s">
        <v>733</v>
      </c>
      <c r="C254" s="212">
        <v>1</v>
      </c>
      <c r="D254" s="212">
        <v>1</v>
      </c>
      <c r="E254" s="212" t="s">
        <v>65</v>
      </c>
      <c r="F254" s="212" t="s">
        <v>65</v>
      </c>
      <c r="G254" s="212" t="s">
        <v>65</v>
      </c>
      <c r="H254" s="212" t="s">
        <v>65</v>
      </c>
      <c r="I254" s="212" t="s">
        <v>65</v>
      </c>
      <c r="J254" s="212" t="s">
        <v>65</v>
      </c>
      <c r="K254" s="212" t="s">
        <v>65</v>
      </c>
      <c r="L254" s="212" t="s">
        <v>65</v>
      </c>
      <c r="M254" s="212" t="s">
        <v>65</v>
      </c>
      <c r="N254" s="212" t="s">
        <v>65</v>
      </c>
      <c r="O254" s="212" t="s">
        <v>65</v>
      </c>
      <c r="P254" s="212" t="s">
        <v>65</v>
      </c>
      <c r="Q254" s="212" t="s">
        <v>65</v>
      </c>
      <c r="R254" s="212">
        <v>0</v>
      </c>
      <c r="S254" s="212" t="s">
        <v>65</v>
      </c>
      <c r="T254" s="212" t="s">
        <v>65</v>
      </c>
      <c r="U254" s="212" t="s">
        <v>65</v>
      </c>
      <c r="V254" s="212">
        <v>2</v>
      </c>
    </row>
    <row r="255" spans="1:43" ht="16.5" customHeight="1" x14ac:dyDescent="0.3">
      <c r="A255" s="323"/>
      <c r="B255" s="95" t="s">
        <v>734</v>
      </c>
      <c r="C255" s="212">
        <v>0</v>
      </c>
      <c r="D255" s="212">
        <v>19</v>
      </c>
      <c r="E255" s="212" t="s">
        <v>65</v>
      </c>
      <c r="F255" s="212" t="s">
        <v>65</v>
      </c>
      <c r="G255" s="212" t="s">
        <v>65</v>
      </c>
      <c r="H255" s="212" t="s">
        <v>65</v>
      </c>
      <c r="I255" s="212" t="s">
        <v>65</v>
      </c>
      <c r="J255" s="212" t="s">
        <v>65</v>
      </c>
      <c r="K255" s="212" t="s">
        <v>65</v>
      </c>
      <c r="L255" s="212" t="s">
        <v>65</v>
      </c>
      <c r="M255" s="212" t="s">
        <v>65</v>
      </c>
      <c r="N255" s="212" t="s">
        <v>65</v>
      </c>
      <c r="O255" s="212" t="s">
        <v>65</v>
      </c>
      <c r="P255" s="212" t="s">
        <v>65</v>
      </c>
      <c r="Q255" s="212" t="s">
        <v>65</v>
      </c>
      <c r="R255" s="212">
        <v>0</v>
      </c>
      <c r="S255" s="212" t="s">
        <v>65</v>
      </c>
      <c r="T255" s="212" t="s">
        <v>65</v>
      </c>
      <c r="U255" s="212" t="s">
        <v>65</v>
      </c>
      <c r="V255" s="212">
        <v>20</v>
      </c>
    </row>
    <row r="256" spans="1:43" ht="16.5" customHeight="1" x14ac:dyDescent="0.3">
      <c r="A256" s="323"/>
      <c r="B256" s="95" t="s">
        <v>722</v>
      </c>
      <c r="C256" s="212">
        <v>2</v>
      </c>
      <c r="D256" s="212">
        <v>1</v>
      </c>
      <c r="E256" s="212" t="s">
        <v>65</v>
      </c>
      <c r="F256" s="212" t="s">
        <v>65</v>
      </c>
      <c r="G256" s="212" t="s">
        <v>65</v>
      </c>
      <c r="H256" s="212" t="s">
        <v>65</v>
      </c>
      <c r="I256" s="212" t="s">
        <v>65</v>
      </c>
      <c r="J256" s="212" t="s">
        <v>65</v>
      </c>
      <c r="K256" s="212" t="s">
        <v>65</v>
      </c>
      <c r="L256" s="212" t="s">
        <v>65</v>
      </c>
      <c r="M256" s="212" t="s">
        <v>65</v>
      </c>
      <c r="N256" s="212" t="s">
        <v>65</v>
      </c>
      <c r="O256" s="212">
        <v>5</v>
      </c>
      <c r="P256" s="212" t="s">
        <v>65</v>
      </c>
      <c r="Q256" s="212" t="s">
        <v>65</v>
      </c>
      <c r="R256" s="212" t="s">
        <v>65</v>
      </c>
      <c r="S256" s="212" t="s">
        <v>65</v>
      </c>
      <c r="T256" s="212" t="s">
        <v>65</v>
      </c>
      <c r="U256" s="212" t="s">
        <v>65</v>
      </c>
      <c r="V256" s="212">
        <v>7</v>
      </c>
    </row>
    <row r="257" spans="1:22" x14ac:dyDescent="0.3">
      <c r="A257" s="308"/>
      <c r="B257" s="97" t="s">
        <v>86</v>
      </c>
      <c r="C257" s="214">
        <v>12</v>
      </c>
      <c r="D257" s="214">
        <v>67</v>
      </c>
      <c r="E257" s="214">
        <v>0</v>
      </c>
      <c r="F257" s="214">
        <v>0</v>
      </c>
      <c r="G257" s="214">
        <v>0</v>
      </c>
      <c r="H257" s="214">
        <v>0</v>
      </c>
      <c r="I257" s="214">
        <v>0</v>
      </c>
      <c r="J257" s="214">
        <v>0</v>
      </c>
      <c r="K257" s="214">
        <v>0</v>
      </c>
      <c r="L257" s="214">
        <v>0</v>
      </c>
      <c r="M257" s="214">
        <v>0</v>
      </c>
      <c r="N257" s="214">
        <v>1</v>
      </c>
      <c r="O257" s="214">
        <v>5</v>
      </c>
      <c r="P257" s="214">
        <v>0</v>
      </c>
      <c r="Q257" s="214">
        <v>0</v>
      </c>
      <c r="R257" s="214">
        <v>1</v>
      </c>
      <c r="S257" s="214">
        <v>0</v>
      </c>
      <c r="T257" s="214">
        <v>0</v>
      </c>
      <c r="U257" s="214">
        <v>87</v>
      </c>
      <c r="V257" s="214">
        <v>172</v>
      </c>
    </row>
    <row r="258" spans="1:22" ht="16.5" customHeight="1" x14ac:dyDescent="0.3">
      <c r="A258" s="307" t="s">
        <v>774</v>
      </c>
      <c r="B258" s="95" t="s">
        <v>735</v>
      </c>
      <c r="C258" s="212">
        <v>774</v>
      </c>
      <c r="D258" s="212">
        <v>42</v>
      </c>
      <c r="E258" s="212" t="s">
        <v>65</v>
      </c>
      <c r="F258" s="212">
        <v>11</v>
      </c>
      <c r="G258" s="212" t="s">
        <v>65</v>
      </c>
      <c r="H258" s="212">
        <v>1</v>
      </c>
      <c r="I258" s="212" t="s">
        <v>65</v>
      </c>
      <c r="J258" s="212">
        <v>0</v>
      </c>
      <c r="K258" s="212" t="s">
        <v>65</v>
      </c>
      <c r="L258" s="212">
        <v>6530</v>
      </c>
      <c r="M258" s="212">
        <v>1</v>
      </c>
      <c r="N258" s="212">
        <v>1</v>
      </c>
      <c r="O258" s="212">
        <v>122</v>
      </c>
      <c r="P258" s="212" t="s">
        <v>65</v>
      </c>
      <c r="Q258" s="212" t="s">
        <v>65</v>
      </c>
      <c r="R258" s="212">
        <v>58</v>
      </c>
      <c r="S258" s="212" t="s">
        <v>65</v>
      </c>
      <c r="T258" s="212" t="s">
        <v>65</v>
      </c>
      <c r="U258" s="212" t="s">
        <v>65</v>
      </c>
      <c r="V258" s="212">
        <v>7538</v>
      </c>
    </row>
    <row r="259" spans="1:22" ht="16.5" customHeight="1" x14ac:dyDescent="0.3">
      <c r="A259" s="323"/>
      <c r="B259" s="95" t="s">
        <v>736</v>
      </c>
      <c r="C259" s="212">
        <v>183</v>
      </c>
      <c r="D259" s="212">
        <v>29</v>
      </c>
      <c r="E259" s="212" t="s">
        <v>65</v>
      </c>
      <c r="F259" s="212" t="s">
        <v>65</v>
      </c>
      <c r="G259" s="212" t="s">
        <v>65</v>
      </c>
      <c r="H259" s="212" t="s">
        <v>65</v>
      </c>
      <c r="I259" s="212" t="s">
        <v>65</v>
      </c>
      <c r="J259" s="212">
        <v>4</v>
      </c>
      <c r="K259" s="212" t="s">
        <v>65</v>
      </c>
      <c r="L259" s="212" t="s">
        <v>65</v>
      </c>
      <c r="M259" s="212">
        <v>1</v>
      </c>
      <c r="N259" s="212">
        <v>1</v>
      </c>
      <c r="O259" s="212">
        <v>74</v>
      </c>
      <c r="P259" s="212" t="s">
        <v>65</v>
      </c>
      <c r="Q259" s="212" t="s">
        <v>65</v>
      </c>
      <c r="R259" s="212">
        <v>5</v>
      </c>
      <c r="S259" s="212" t="s">
        <v>65</v>
      </c>
      <c r="T259" s="212">
        <v>1</v>
      </c>
      <c r="U259" s="212" t="s">
        <v>65</v>
      </c>
      <c r="V259" s="212">
        <v>296</v>
      </c>
    </row>
    <row r="260" spans="1:22" ht="16.5" customHeight="1" x14ac:dyDescent="0.3">
      <c r="A260" s="323"/>
      <c r="B260" s="95" t="s">
        <v>737</v>
      </c>
      <c r="C260" s="212">
        <v>1</v>
      </c>
      <c r="D260" s="212">
        <v>6</v>
      </c>
      <c r="E260" s="212" t="s">
        <v>65</v>
      </c>
      <c r="F260" s="212" t="s">
        <v>65</v>
      </c>
      <c r="G260" s="212" t="s">
        <v>65</v>
      </c>
      <c r="H260" s="212" t="s">
        <v>65</v>
      </c>
      <c r="I260" s="212">
        <v>0</v>
      </c>
      <c r="J260" s="212" t="s">
        <v>65</v>
      </c>
      <c r="K260" s="212">
        <v>32</v>
      </c>
      <c r="L260" s="212" t="s">
        <v>65</v>
      </c>
      <c r="M260" s="212" t="s">
        <v>65</v>
      </c>
      <c r="N260" s="212" t="s">
        <v>65</v>
      </c>
      <c r="O260" s="212" t="s">
        <v>65</v>
      </c>
      <c r="P260" s="212" t="s">
        <v>65</v>
      </c>
      <c r="Q260" s="212" t="s">
        <v>65</v>
      </c>
      <c r="R260" s="212">
        <v>9</v>
      </c>
      <c r="S260" s="212" t="s">
        <v>65</v>
      </c>
      <c r="T260" s="212" t="s">
        <v>65</v>
      </c>
      <c r="U260" s="212" t="s">
        <v>65</v>
      </c>
      <c r="V260" s="212">
        <v>48</v>
      </c>
    </row>
    <row r="261" spans="1:22" ht="16.5" customHeight="1" x14ac:dyDescent="0.3">
      <c r="A261" s="323"/>
      <c r="B261" s="95" t="s">
        <v>738</v>
      </c>
      <c r="C261" s="212">
        <v>274</v>
      </c>
      <c r="D261" s="212">
        <v>446</v>
      </c>
      <c r="E261" s="212" t="s">
        <v>65</v>
      </c>
      <c r="F261" s="212">
        <v>9</v>
      </c>
      <c r="G261" s="212" t="s">
        <v>65</v>
      </c>
      <c r="H261" s="212" t="s">
        <v>65</v>
      </c>
      <c r="I261" s="212" t="s">
        <v>65</v>
      </c>
      <c r="J261" s="212" t="s">
        <v>65</v>
      </c>
      <c r="K261" s="212" t="s">
        <v>65</v>
      </c>
      <c r="L261" s="212" t="s">
        <v>65</v>
      </c>
      <c r="M261" s="212">
        <v>11</v>
      </c>
      <c r="N261" s="212" t="s">
        <v>65</v>
      </c>
      <c r="O261" s="212">
        <v>112</v>
      </c>
      <c r="P261" s="212" t="s">
        <v>65</v>
      </c>
      <c r="Q261" s="212" t="s">
        <v>65</v>
      </c>
      <c r="R261" s="212">
        <v>39</v>
      </c>
      <c r="S261" s="212">
        <v>1</v>
      </c>
      <c r="T261" s="212" t="s">
        <v>65</v>
      </c>
      <c r="U261" s="212">
        <v>2</v>
      </c>
      <c r="V261" s="212">
        <v>894</v>
      </c>
    </row>
    <row r="262" spans="1:22" ht="16.5" customHeight="1" x14ac:dyDescent="0.3">
      <c r="A262" s="323"/>
      <c r="B262" s="95" t="s">
        <v>739</v>
      </c>
      <c r="C262" s="212">
        <v>11</v>
      </c>
      <c r="D262" s="212">
        <v>13</v>
      </c>
      <c r="E262" s="212" t="s">
        <v>65</v>
      </c>
      <c r="F262" s="212">
        <v>8</v>
      </c>
      <c r="G262" s="212" t="s">
        <v>65</v>
      </c>
      <c r="H262" s="212" t="s">
        <v>65</v>
      </c>
      <c r="I262" s="212" t="s">
        <v>65</v>
      </c>
      <c r="J262" s="212" t="s">
        <v>65</v>
      </c>
      <c r="K262" s="212" t="s">
        <v>65</v>
      </c>
      <c r="L262" s="212" t="s">
        <v>65</v>
      </c>
      <c r="M262" s="212" t="s">
        <v>65</v>
      </c>
      <c r="N262" s="212" t="s">
        <v>65</v>
      </c>
      <c r="O262" s="212">
        <v>5</v>
      </c>
      <c r="P262" s="212" t="s">
        <v>65</v>
      </c>
      <c r="Q262" s="212" t="s">
        <v>65</v>
      </c>
      <c r="R262" s="212">
        <v>0</v>
      </c>
      <c r="S262" s="212" t="s">
        <v>65</v>
      </c>
      <c r="T262" s="212">
        <v>8</v>
      </c>
      <c r="U262" s="212" t="s">
        <v>65</v>
      </c>
      <c r="V262" s="212">
        <v>44</v>
      </c>
    </row>
    <row r="263" spans="1:22" ht="16.5" customHeight="1" x14ac:dyDescent="0.3">
      <c r="A263" s="323"/>
      <c r="B263" s="95" t="s">
        <v>740</v>
      </c>
      <c r="C263" s="212">
        <v>1</v>
      </c>
      <c r="D263" s="212" t="s">
        <v>65</v>
      </c>
      <c r="E263" s="212">
        <v>571</v>
      </c>
      <c r="F263" s="212" t="s">
        <v>65</v>
      </c>
      <c r="G263" s="212" t="s">
        <v>65</v>
      </c>
      <c r="H263" s="212" t="s">
        <v>65</v>
      </c>
      <c r="I263" s="212" t="s">
        <v>65</v>
      </c>
      <c r="J263" s="212" t="s">
        <v>65</v>
      </c>
      <c r="K263" s="212" t="s">
        <v>65</v>
      </c>
      <c r="L263" s="212">
        <v>1</v>
      </c>
      <c r="M263" s="212" t="s">
        <v>65</v>
      </c>
      <c r="N263" s="212" t="s">
        <v>65</v>
      </c>
      <c r="O263" s="212" t="s">
        <v>65</v>
      </c>
      <c r="P263" s="212" t="s">
        <v>65</v>
      </c>
      <c r="Q263" s="212" t="s">
        <v>65</v>
      </c>
      <c r="R263" s="212" t="s">
        <v>65</v>
      </c>
      <c r="S263" s="212" t="s">
        <v>65</v>
      </c>
      <c r="T263" s="212" t="s">
        <v>65</v>
      </c>
      <c r="U263" s="212" t="s">
        <v>65</v>
      </c>
      <c r="V263" s="212">
        <v>573</v>
      </c>
    </row>
    <row r="264" spans="1:22" ht="16.5" customHeight="1" x14ac:dyDescent="0.3">
      <c r="A264" s="323"/>
      <c r="B264" s="95" t="s">
        <v>742</v>
      </c>
      <c r="C264" s="212" t="s">
        <v>65</v>
      </c>
      <c r="D264" s="212" t="s">
        <v>65</v>
      </c>
      <c r="E264" s="212" t="s">
        <v>65</v>
      </c>
      <c r="F264" s="212" t="s">
        <v>65</v>
      </c>
      <c r="G264" s="212" t="s">
        <v>65</v>
      </c>
      <c r="H264" s="212" t="s">
        <v>65</v>
      </c>
      <c r="I264" s="212">
        <v>2</v>
      </c>
      <c r="J264" s="212" t="s">
        <v>65</v>
      </c>
      <c r="K264" s="212" t="s">
        <v>65</v>
      </c>
      <c r="L264" s="212" t="s">
        <v>65</v>
      </c>
      <c r="M264" s="212" t="s">
        <v>65</v>
      </c>
      <c r="N264" s="212" t="s">
        <v>65</v>
      </c>
      <c r="O264" s="212" t="s">
        <v>65</v>
      </c>
      <c r="P264" s="212" t="s">
        <v>65</v>
      </c>
      <c r="Q264" s="212" t="s">
        <v>65</v>
      </c>
      <c r="R264" s="212" t="s">
        <v>65</v>
      </c>
      <c r="S264" s="212" t="s">
        <v>65</v>
      </c>
      <c r="T264" s="212" t="s">
        <v>65</v>
      </c>
      <c r="U264" s="212" t="s">
        <v>65</v>
      </c>
      <c r="V264" s="212">
        <v>2</v>
      </c>
    </row>
    <row r="265" spans="1:22" ht="16.5" customHeight="1" x14ac:dyDescent="0.3">
      <c r="A265" s="323"/>
      <c r="B265" s="95" t="s">
        <v>743</v>
      </c>
      <c r="C265" s="212" t="s">
        <v>65</v>
      </c>
      <c r="D265" s="212">
        <v>5</v>
      </c>
      <c r="E265" s="212" t="s">
        <v>65</v>
      </c>
      <c r="F265" s="212" t="s">
        <v>65</v>
      </c>
      <c r="G265" s="212" t="s">
        <v>65</v>
      </c>
      <c r="H265" s="212" t="s">
        <v>65</v>
      </c>
      <c r="I265" s="212" t="s">
        <v>65</v>
      </c>
      <c r="J265" s="212" t="s">
        <v>65</v>
      </c>
      <c r="K265" s="212" t="s">
        <v>65</v>
      </c>
      <c r="L265" s="212" t="s">
        <v>65</v>
      </c>
      <c r="M265" s="212" t="s">
        <v>65</v>
      </c>
      <c r="N265" s="212" t="s">
        <v>65</v>
      </c>
      <c r="O265" s="212">
        <v>2</v>
      </c>
      <c r="P265" s="212" t="s">
        <v>65</v>
      </c>
      <c r="Q265" s="212" t="s">
        <v>65</v>
      </c>
      <c r="R265" s="212">
        <v>0</v>
      </c>
      <c r="S265" s="212" t="s">
        <v>65</v>
      </c>
      <c r="T265" s="212" t="s">
        <v>65</v>
      </c>
      <c r="U265" s="212" t="s">
        <v>65</v>
      </c>
      <c r="V265" s="212">
        <v>6</v>
      </c>
    </row>
    <row r="266" spans="1:22" ht="16.5" customHeight="1" x14ac:dyDescent="0.3">
      <c r="A266" s="323"/>
      <c r="B266" s="95" t="s">
        <v>744</v>
      </c>
      <c r="C266" s="212">
        <v>81</v>
      </c>
      <c r="D266" s="212">
        <v>6</v>
      </c>
      <c r="E266" s="212" t="s">
        <v>65</v>
      </c>
      <c r="F266" s="212">
        <v>4</v>
      </c>
      <c r="G266" s="212" t="s">
        <v>65</v>
      </c>
      <c r="H266" s="212" t="s">
        <v>65</v>
      </c>
      <c r="I266" s="212" t="s">
        <v>65</v>
      </c>
      <c r="J266" s="212" t="s">
        <v>65</v>
      </c>
      <c r="K266" s="212" t="s">
        <v>65</v>
      </c>
      <c r="L266" s="212" t="s">
        <v>65</v>
      </c>
      <c r="M266" s="212" t="s">
        <v>65</v>
      </c>
      <c r="N266" s="212" t="s">
        <v>65</v>
      </c>
      <c r="O266" s="212">
        <v>4</v>
      </c>
      <c r="P266" s="212" t="s">
        <v>65</v>
      </c>
      <c r="Q266" s="212" t="s">
        <v>65</v>
      </c>
      <c r="R266" s="212">
        <v>13</v>
      </c>
      <c r="S266" s="212" t="s">
        <v>65</v>
      </c>
      <c r="T266" s="212">
        <v>1</v>
      </c>
      <c r="U266" s="212">
        <v>6</v>
      </c>
      <c r="V266" s="212">
        <v>115</v>
      </c>
    </row>
    <row r="267" spans="1:22" ht="16.5" customHeight="1" x14ac:dyDescent="0.3">
      <c r="A267" s="323"/>
      <c r="B267" s="95" t="s">
        <v>745</v>
      </c>
      <c r="C267" s="212">
        <v>20</v>
      </c>
      <c r="D267" s="212">
        <v>3</v>
      </c>
      <c r="E267" s="212" t="s">
        <v>65</v>
      </c>
      <c r="F267" s="212">
        <v>0</v>
      </c>
      <c r="G267" s="212" t="s">
        <v>65</v>
      </c>
      <c r="H267" s="212" t="s">
        <v>65</v>
      </c>
      <c r="I267" s="212">
        <v>1</v>
      </c>
      <c r="J267" s="212">
        <v>8</v>
      </c>
      <c r="K267" s="212" t="s">
        <v>65</v>
      </c>
      <c r="L267" s="212" t="s">
        <v>65</v>
      </c>
      <c r="M267" s="212">
        <v>1</v>
      </c>
      <c r="N267" s="212" t="s">
        <v>65</v>
      </c>
      <c r="O267" s="212">
        <v>6</v>
      </c>
      <c r="P267" s="212">
        <v>0</v>
      </c>
      <c r="Q267" s="212" t="s">
        <v>65</v>
      </c>
      <c r="R267" s="212">
        <v>0</v>
      </c>
      <c r="S267" s="212">
        <v>4</v>
      </c>
      <c r="T267" s="212">
        <v>1</v>
      </c>
      <c r="U267" s="212">
        <v>9</v>
      </c>
      <c r="V267" s="212">
        <v>53</v>
      </c>
    </row>
    <row r="268" spans="1:22" ht="16.5" customHeight="1" x14ac:dyDescent="0.3">
      <c r="A268" s="323"/>
      <c r="B268" s="95" t="s">
        <v>746</v>
      </c>
      <c r="C268" s="212">
        <v>18</v>
      </c>
      <c r="D268" s="212">
        <v>18</v>
      </c>
      <c r="E268" s="212" t="s">
        <v>65</v>
      </c>
      <c r="F268" s="212">
        <v>8</v>
      </c>
      <c r="G268" s="212" t="s">
        <v>65</v>
      </c>
      <c r="H268" s="212" t="s">
        <v>65</v>
      </c>
      <c r="I268" s="212">
        <v>6</v>
      </c>
      <c r="J268" s="212">
        <v>2</v>
      </c>
      <c r="K268" s="212">
        <v>8</v>
      </c>
      <c r="L268" s="212" t="s">
        <v>65</v>
      </c>
      <c r="M268" s="212">
        <v>2</v>
      </c>
      <c r="N268" s="212" t="s">
        <v>65</v>
      </c>
      <c r="O268" s="212" t="s">
        <v>65</v>
      </c>
      <c r="P268" s="212">
        <v>0</v>
      </c>
      <c r="Q268" s="212" t="s">
        <v>65</v>
      </c>
      <c r="R268" s="212">
        <v>8</v>
      </c>
      <c r="S268" s="212" t="s">
        <v>65</v>
      </c>
      <c r="T268" s="212" t="s">
        <v>65</v>
      </c>
      <c r="U268" s="212">
        <v>3</v>
      </c>
      <c r="V268" s="212">
        <v>73</v>
      </c>
    </row>
    <row r="269" spans="1:22" ht="16.5" customHeight="1" x14ac:dyDescent="0.3">
      <c r="A269" s="323"/>
      <c r="B269" s="95" t="s">
        <v>747</v>
      </c>
      <c r="C269" s="212">
        <v>22</v>
      </c>
      <c r="D269" s="212">
        <v>11</v>
      </c>
      <c r="E269" s="212" t="s">
        <v>65</v>
      </c>
      <c r="F269" s="212" t="s">
        <v>65</v>
      </c>
      <c r="G269" s="212" t="s">
        <v>65</v>
      </c>
      <c r="H269" s="212" t="s">
        <v>65</v>
      </c>
      <c r="I269" s="212" t="s">
        <v>65</v>
      </c>
      <c r="J269" s="212">
        <v>2</v>
      </c>
      <c r="K269" s="212" t="s">
        <v>65</v>
      </c>
      <c r="L269" s="212" t="s">
        <v>65</v>
      </c>
      <c r="M269" s="212">
        <v>7</v>
      </c>
      <c r="N269" s="212" t="s">
        <v>65</v>
      </c>
      <c r="O269" s="212">
        <v>15</v>
      </c>
      <c r="P269" s="212" t="s">
        <v>65</v>
      </c>
      <c r="Q269" s="212" t="s">
        <v>65</v>
      </c>
      <c r="R269" s="212">
        <v>7</v>
      </c>
      <c r="S269" s="212" t="s">
        <v>65</v>
      </c>
      <c r="T269" s="212" t="s">
        <v>65</v>
      </c>
      <c r="U269" s="212">
        <v>0</v>
      </c>
      <c r="V269" s="212">
        <v>64</v>
      </c>
    </row>
    <row r="270" spans="1:22" ht="16.5" customHeight="1" x14ac:dyDescent="0.3">
      <c r="A270" s="323"/>
      <c r="B270" s="95" t="s">
        <v>748</v>
      </c>
      <c r="C270" s="212">
        <v>18</v>
      </c>
      <c r="D270" s="212">
        <v>12</v>
      </c>
      <c r="E270" s="212" t="s">
        <v>65</v>
      </c>
      <c r="F270" s="212">
        <v>5</v>
      </c>
      <c r="G270" s="212" t="s">
        <v>65</v>
      </c>
      <c r="H270" s="212" t="s">
        <v>65</v>
      </c>
      <c r="I270" s="212" t="s">
        <v>65</v>
      </c>
      <c r="J270" s="212">
        <v>3</v>
      </c>
      <c r="K270" s="212" t="s">
        <v>65</v>
      </c>
      <c r="L270" s="212" t="s">
        <v>65</v>
      </c>
      <c r="M270" s="212">
        <v>0</v>
      </c>
      <c r="N270" s="212" t="s">
        <v>65</v>
      </c>
      <c r="O270" s="212">
        <v>2</v>
      </c>
      <c r="P270" s="212" t="s">
        <v>65</v>
      </c>
      <c r="Q270" s="212" t="s">
        <v>65</v>
      </c>
      <c r="R270" s="212">
        <v>10</v>
      </c>
      <c r="S270" s="212" t="s">
        <v>65</v>
      </c>
      <c r="T270" s="212">
        <v>1</v>
      </c>
      <c r="U270" s="212" t="s">
        <v>65</v>
      </c>
      <c r="V270" s="212">
        <v>51</v>
      </c>
    </row>
    <row r="271" spans="1:22" ht="16.5" customHeight="1" x14ac:dyDescent="0.3">
      <c r="A271" s="323"/>
      <c r="B271" s="95" t="s">
        <v>749</v>
      </c>
      <c r="C271" s="212">
        <v>11</v>
      </c>
      <c r="D271" s="212">
        <v>10</v>
      </c>
      <c r="E271" s="212" t="s">
        <v>65</v>
      </c>
      <c r="F271" s="212" t="s">
        <v>65</v>
      </c>
      <c r="G271" s="212" t="s">
        <v>65</v>
      </c>
      <c r="H271" s="212" t="s">
        <v>65</v>
      </c>
      <c r="I271" s="212" t="s">
        <v>65</v>
      </c>
      <c r="J271" s="212" t="s">
        <v>65</v>
      </c>
      <c r="K271" s="212" t="s">
        <v>65</v>
      </c>
      <c r="L271" s="212" t="s">
        <v>65</v>
      </c>
      <c r="M271" s="212">
        <v>1</v>
      </c>
      <c r="N271" s="212" t="s">
        <v>65</v>
      </c>
      <c r="O271" s="212">
        <v>3</v>
      </c>
      <c r="P271" s="212" t="s">
        <v>65</v>
      </c>
      <c r="Q271" s="212" t="s">
        <v>65</v>
      </c>
      <c r="R271" s="212">
        <v>11</v>
      </c>
      <c r="S271" s="212" t="s">
        <v>65</v>
      </c>
      <c r="T271" s="212">
        <v>0</v>
      </c>
      <c r="U271" s="212" t="s">
        <v>65</v>
      </c>
      <c r="V271" s="212">
        <v>34</v>
      </c>
    </row>
    <row r="272" spans="1:22" ht="16.5" customHeight="1" x14ac:dyDescent="0.3">
      <c r="A272" s="323"/>
      <c r="B272" s="95" t="s">
        <v>750</v>
      </c>
      <c r="C272" s="212">
        <v>25</v>
      </c>
      <c r="D272" s="212">
        <v>18</v>
      </c>
      <c r="E272" s="212" t="s">
        <v>65</v>
      </c>
      <c r="F272" s="212" t="s">
        <v>65</v>
      </c>
      <c r="G272" s="212" t="s">
        <v>65</v>
      </c>
      <c r="H272" s="212" t="s">
        <v>65</v>
      </c>
      <c r="I272" s="212" t="s">
        <v>65</v>
      </c>
      <c r="J272" s="212">
        <v>2</v>
      </c>
      <c r="K272" s="212" t="s">
        <v>65</v>
      </c>
      <c r="L272" s="212" t="s">
        <v>65</v>
      </c>
      <c r="M272" s="212">
        <v>8</v>
      </c>
      <c r="N272" s="212" t="s">
        <v>65</v>
      </c>
      <c r="O272" s="212" t="s">
        <v>65</v>
      </c>
      <c r="P272" s="212" t="s">
        <v>65</v>
      </c>
      <c r="Q272" s="212" t="s">
        <v>65</v>
      </c>
      <c r="R272" s="212">
        <v>17</v>
      </c>
      <c r="S272" s="212" t="s">
        <v>65</v>
      </c>
      <c r="T272" s="212" t="s">
        <v>65</v>
      </c>
      <c r="U272" s="212">
        <v>1</v>
      </c>
      <c r="V272" s="212">
        <v>72</v>
      </c>
    </row>
    <row r="273" spans="1:22" ht="16.5" customHeight="1" x14ac:dyDescent="0.3">
      <c r="A273" s="323"/>
      <c r="B273" s="95" t="s">
        <v>751</v>
      </c>
      <c r="C273" s="212">
        <v>0</v>
      </c>
      <c r="D273" s="212" t="s">
        <v>65</v>
      </c>
      <c r="E273" s="212" t="s">
        <v>65</v>
      </c>
      <c r="F273" s="212" t="s">
        <v>65</v>
      </c>
      <c r="G273" s="212" t="s">
        <v>65</v>
      </c>
      <c r="H273" s="212" t="s">
        <v>65</v>
      </c>
      <c r="I273" s="212" t="s">
        <v>65</v>
      </c>
      <c r="J273" s="212" t="s">
        <v>65</v>
      </c>
      <c r="K273" s="212" t="s">
        <v>65</v>
      </c>
      <c r="L273" s="212" t="s">
        <v>65</v>
      </c>
      <c r="M273" s="212" t="s">
        <v>65</v>
      </c>
      <c r="N273" s="212" t="s">
        <v>65</v>
      </c>
      <c r="O273" s="212" t="s">
        <v>65</v>
      </c>
      <c r="P273" s="212" t="s">
        <v>65</v>
      </c>
      <c r="Q273" s="212" t="s">
        <v>65</v>
      </c>
      <c r="R273" s="212" t="s">
        <v>65</v>
      </c>
      <c r="S273" s="212" t="s">
        <v>65</v>
      </c>
      <c r="T273" s="212" t="s">
        <v>65</v>
      </c>
      <c r="U273" s="212" t="s">
        <v>65</v>
      </c>
      <c r="V273" s="212">
        <v>0</v>
      </c>
    </row>
    <row r="274" spans="1:22" ht="16.5" customHeight="1" x14ac:dyDescent="0.3">
      <c r="A274" s="323"/>
      <c r="B274" s="95" t="s">
        <v>752</v>
      </c>
      <c r="C274" s="212">
        <v>0</v>
      </c>
      <c r="D274" s="212">
        <v>7</v>
      </c>
      <c r="E274" s="212" t="s">
        <v>65</v>
      </c>
      <c r="F274" s="212" t="s">
        <v>65</v>
      </c>
      <c r="G274" s="212" t="s">
        <v>65</v>
      </c>
      <c r="H274" s="212" t="s">
        <v>65</v>
      </c>
      <c r="I274" s="212" t="s">
        <v>65</v>
      </c>
      <c r="J274" s="212" t="s">
        <v>65</v>
      </c>
      <c r="K274" s="212" t="s">
        <v>65</v>
      </c>
      <c r="L274" s="212" t="s">
        <v>65</v>
      </c>
      <c r="M274" s="212" t="s">
        <v>65</v>
      </c>
      <c r="N274" s="212" t="s">
        <v>65</v>
      </c>
      <c r="O274" s="212" t="s">
        <v>65</v>
      </c>
      <c r="P274" s="212" t="s">
        <v>65</v>
      </c>
      <c r="Q274" s="212" t="s">
        <v>65</v>
      </c>
      <c r="R274" s="212" t="s">
        <v>65</v>
      </c>
      <c r="S274" s="212" t="s">
        <v>65</v>
      </c>
      <c r="T274" s="212" t="s">
        <v>65</v>
      </c>
      <c r="U274" s="212">
        <v>6</v>
      </c>
      <c r="V274" s="212">
        <v>14</v>
      </c>
    </row>
    <row r="275" spans="1:22" ht="16.5" customHeight="1" x14ac:dyDescent="0.3">
      <c r="A275" s="323"/>
      <c r="B275" s="95" t="s">
        <v>753</v>
      </c>
      <c r="C275" s="212">
        <v>30</v>
      </c>
      <c r="D275" s="212">
        <v>11</v>
      </c>
      <c r="E275" s="212" t="s">
        <v>65</v>
      </c>
      <c r="F275" s="212" t="s">
        <v>65</v>
      </c>
      <c r="G275" s="212" t="s">
        <v>65</v>
      </c>
      <c r="H275" s="212" t="s">
        <v>65</v>
      </c>
      <c r="I275" s="212" t="s">
        <v>65</v>
      </c>
      <c r="J275" s="212" t="s">
        <v>65</v>
      </c>
      <c r="K275" s="212" t="s">
        <v>65</v>
      </c>
      <c r="L275" s="212" t="s">
        <v>65</v>
      </c>
      <c r="M275" s="212" t="s">
        <v>65</v>
      </c>
      <c r="N275" s="212" t="s">
        <v>65</v>
      </c>
      <c r="O275" s="212" t="s">
        <v>65</v>
      </c>
      <c r="P275" s="212" t="s">
        <v>65</v>
      </c>
      <c r="Q275" s="212" t="s">
        <v>65</v>
      </c>
      <c r="R275" s="212" t="s">
        <v>65</v>
      </c>
      <c r="S275" s="212">
        <v>6</v>
      </c>
      <c r="T275" s="212">
        <v>0</v>
      </c>
      <c r="U275" s="212" t="s">
        <v>65</v>
      </c>
      <c r="V275" s="212">
        <v>48</v>
      </c>
    </row>
    <row r="276" spans="1:22" ht="16.5" customHeight="1" x14ac:dyDescent="0.3">
      <c r="A276" s="323"/>
      <c r="B276" s="95" t="s">
        <v>754</v>
      </c>
      <c r="C276" s="212">
        <v>7</v>
      </c>
      <c r="D276" s="212">
        <v>3</v>
      </c>
      <c r="E276" s="212" t="s">
        <v>65</v>
      </c>
      <c r="F276" s="212">
        <v>5</v>
      </c>
      <c r="G276" s="212" t="s">
        <v>65</v>
      </c>
      <c r="H276" s="212" t="s">
        <v>65</v>
      </c>
      <c r="I276" s="212" t="s">
        <v>65</v>
      </c>
      <c r="J276" s="212" t="s">
        <v>65</v>
      </c>
      <c r="K276" s="212" t="s">
        <v>65</v>
      </c>
      <c r="L276" s="212" t="s">
        <v>65</v>
      </c>
      <c r="M276" s="212" t="s">
        <v>65</v>
      </c>
      <c r="N276" s="212" t="s">
        <v>65</v>
      </c>
      <c r="O276" s="212" t="s">
        <v>65</v>
      </c>
      <c r="P276" s="212" t="s">
        <v>65</v>
      </c>
      <c r="Q276" s="212" t="s">
        <v>65</v>
      </c>
      <c r="R276" s="212">
        <v>5</v>
      </c>
      <c r="S276" s="212">
        <v>1</v>
      </c>
      <c r="T276" s="212" t="s">
        <v>65</v>
      </c>
      <c r="U276" s="212">
        <v>3</v>
      </c>
      <c r="V276" s="212">
        <v>25</v>
      </c>
    </row>
    <row r="277" spans="1:22" ht="16.5" customHeight="1" x14ac:dyDescent="0.3">
      <c r="A277" s="323"/>
      <c r="B277" s="95" t="s">
        <v>755</v>
      </c>
      <c r="C277" s="212">
        <v>0</v>
      </c>
      <c r="D277" s="212">
        <v>3</v>
      </c>
      <c r="E277" s="212" t="s">
        <v>65</v>
      </c>
      <c r="F277" s="212" t="s">
        <v>65</v>
      </c>
      <c r="G277" s="212" t="s">
        <v>65</v>
      </c>
      <c r="H277" s="212" t="s">
        <v>65</v>
      </c>
      <c r="I277" s="212" t="s">
        <v>65</v>
      </c>
      <c r="J277" s="212" t="s">
        <v>65</v>
      </c>
      <c r="K277" s="212" t="s">
        <v>65</v>
      </c>
      <c r="L277" s="212" t="s">
        <v>65</v>
      </c>
      <c r="M277" s="212" t="s">
        <v>65</v>
      </c>
      <c r="N277" s="212" t="s">
        <v>65</v>
      </c>
      <c r="O277" s="212">
        <v>15</v>
      </c>
      <c r="P277" s="212" t="s">
        <v>65</v>
      </c>
      <c r="Q277" s="212" t="s">
        <v>65</v>
      </c>
      <c r="R277" s="212" t="s">
        <v>65</v>
      </c>
      <c r="S277" s="212" t="s">
        <v>65</v>
      </c>
      <c r="T277" s="212" t="s">
        <v>65</v>
      </c>
      <c r="U277" s="212" t="s">
        <v>65</v>
      </c>
      <c r="V277" s="212">
        <v>19</v>
      </c>
    </row>
    <row r="278" spans="1:22" ht="16.5" customHeight="1" x14ac:dyDescent="0.3">
      <c r="A278" s="323"/>
      <c r="B278" s="95" t="s">
        <v>756</v>
      </c>
      <c r="C278" s="212">
        <v>117</v>
      </c>
      <c r="D278" s="212">
        <v>17</v>
      </c>
      <c r="E278" s="212" t="s">
        <v>65</v>
      </c>
      <c r="F278" s="212" t="s">
        <v>65</v>
      </c>
      <c r="G278" s="212" t="s">
        <v>65</v>
      </c>
      <c r="H278" s="212" t="s">
        <v>65</v>
      </c>
      <c r="I278" s="212" t="s">
        <v>65</v>
      </c>
      <c r="J278" s="212">
        <v>6</v>
      </c>
      <c r="K278" s="212" t="s">
        <v>65</v>
      </c>
      <c r="L278" s="212" t="s">
        <v>65</v>
      </c>
      <c r="M278" s="212">
        <v>2</v>
      </c>
      <c r="N278" s="212">
        <v>0</v>
      </c>
      <c r="O278" s="212">
        <v>62</v>
      </c>
      <c r="P278" s="212">
        <v>0</v>
      </c>
      <c r="Q278" s="212" t="s">
        <v>65</v>
      </c>
      <c r="R278" s="212">
        <v>636</v>
      </c>
      <c r="S278" s="212" t="s">
        <v>65</v>
      </c>
      <c r="T278" s="212">
        <v>3</v>
      </c>
      <c r="U278" s="212">
        <v>41</v>
      </c>
      <c r="V278" s="212">
        <v>884</v>
      </c>
    </row>
    <row r="279" spans="1:22" ht="16.5" customHeight="1" x14ac:dyDescent="0.3">
      <c r="A279" s="323"/>
      <c r="B279" s="95" t="s">
        <v>757</v>
      </c>
      <c r="C279" s="212" t="s">
        <v>65</v>
      </c>
      <c r="D279" s="212">
        <v>2</v>
      </c>
      <c r="E279" s="212" t="s">
        <v>65</v>
      </c>
      <c r="F279" s="212" t="s">
        <v>65</v>
      </c>
      <c r="G279" s="212" t="s">
        <v>65</v>
      </c>
      <c r="H279" s="212" t="s">
        <v>65</v>
      </c>
      <c r="I279" s="212" t="s">
        <v>65</v>
      </c>
      <c r="J279" s="212" t="s">
        <v>65</v>
      </c>
      <c r="K279" s="212" t="s">
        <v>65</v>
      </c>
      <c r="L279" s="212" t="s">
        <v>65</v>
      </c>
      <c r="M279" s="212">
        <v>1</v>
      </c>
      <c r="N279" s="212" t="s">
        <v>65</v>
      </c>
      <c r="O279" s="212" t="s">
        <v>65</v>
      </c>
      <c r="P279" s="212" t="s">
        <v>65</v>
      </c>
      <c r="Q279" s="212" t="s">
        <v>65</v>
      </c>
      <c r="R279" s="212">
        <v>1</v>
      </c>
      <c r="S279" s="212" t="s">
        <v>65</v>
      </c>
      <c r="T279" s="212" t="s">
        <v>65</v>
      </c>
      <c r="U279" s="212" t="s">
        <v>65</v>
      </c>
      <c r="V279" s="212">
        <v>3</v>
      </c>
    </row>
    <row r="280" spans="1:22" ht="16.5" customHeight="1" x14ac:dyDescent="0.3">
      <c r="A280" s="323"/>
      <c r="B280" s="95" t="s">
        <v>741</v>
      </c>
      <c r="C280" s="212">
        <v>12</v>
      </c>
      <c r="D280" s="212">
        <v>6</v>
      </c>
      <c r="E280" s="212" t="s">
        <v>65</v>
      </c>
      <c r="F280" s="212" t="s">
        <v>65</v>
      </c>
      <c r="G280" s="212" t="s">
        <v>65</v>
      </c>
      <c r="H280" s="212" t="s">
        <v>65</v>
      </c>
      <c r="I280" s="212" t="s">
        <v>65</v>
      </c>
      <c r="J280" s="212">
        <v>1</v>
      </c>
      <c r="K280" s="212" t="s">
        <v>65</v>
      </c>
      <c r="L280" s="212" t="s">
        <v>65</v>
      </c>
      <c r="M280" s="212">
        <v>3</v>
      </c>
      <c r="N280" s="212" t="s">
        <v>65</v>
      </c>
      <c r="O280" s="212" t="s">
        <v>65</v>
      </c>
      <c r="P280" s="212" t="s">
        <v>65</v>
      </c>
      <c r="Q280" s="212" t="s">
        <v>65</v>
      </c>
      <c r="R280" s="212" t="s">
        <v>65</v>
      </c>
      <c r="S280" s="212" t="s">
        <v>65</v>
      </c>
      <c r="T280" s="212">
        <v>0</v>
      </c>
      <c r="U280" s="212" t="s">
        <v>65</v>
      </c>
      <c r="V280" s="212">
        <v>22</v>
      </c>
    </row>
    <row r="281" spans="1:22" x14ac:dyDescent="0.3">
      <c r="A281" s="308"/>
      <c r="B281" s="97" t="s">
        <v>86</v>
      </c>
      <c r="C281" s="214">
        <v>1605</v>
      </c>
      <c r="D281" s="214">
        <v>667</v>
      </c>
      <c r="E281" s="214">
        <v>571</v>
      </c>
      <c r="F281" s="214">
        <v>49</v>
      </c>
      <c r="G281" s="214">
        <v>0</v>
      </c>
      <c r="H281" s="214">
        <v>1</v>
      </c>
      <c r="I281" s="214">
        <v>9</v>
      </c>
      <c r="J281" s="214">
        <v>27</v>
      </c>
      <c r="K281" s="214">
        <v>39</v>
      </c>
      <c r="L281" s="214">
        <v>6531</v>
      </c>
      <c r="M281" s="214">
        <v>37</v>
      </c>
      <c r="N281" s="214">
        <v>2</v>
      </c>
      <c r="O281" s="214">
        <v>422</v>
      </c>
      <c r="P281" s="214">
        <v>1</v>
      </c>
      <c r="Q281" s="214">
        <v>0</v>
      </c>
      <c r="R281" s="214">
        <v>819</v>
      </c>
      <c r="S281" s="214">
        <v>12</v>
      </c>
      <c r="T281" s="214">
        <v>15</v>
      </c>
      <c r="U281" s="214">
        <v>71</v>
      </c>
      <c r="V281" s="214">
        <v>10879</v>
      </c>
    </row>
    <row r="282" spans="1:22" ht="16.5" customHeight="1" x14ac:dyDescent="0.3">
      <c r="A282" s="304" t="s">
        <v>775</v>
      </c>
      <c r="B282" s="95" t="s">
        <v>758</v>
      </c>
      <c r="C282" s="212">
        <v>3</v>
      </c>
      <c r="D282" s="212">
        <v>0</v>
      </c>
      <c r="E282" s="212" t="s">
        <v>65</v>
      </c>
      <c r="F282" s="212" t="s">
        <v>65</v>
      </c>
      <c r="G282" s="212" t="s">
        <v>65</v>
      </c>
      <c r="H282" s="212" t="s">
        <v>65</v>
      </c>
      <c r="I282" s="212" t="s">
        <v>65</v>
      </c>
      <c r="J282" s="212" t="s">
        <v>65</v>
      </c>
      <c r="K282" s="212">
        <v>29</v>
      </c>
      <c r="L282" s="212" t="s">
        <v>65</v>
      </c>
      <c r="M282" s="212">
        <v>3</v>
      </c>
      <c r="N282" s="212" t="s">
        <v>65</v>
      </c>
      <c r="O282" s="212" t="s">
        <v>65</v>
      </c>
      <c r="P282" s="212" t="s">
        <v>65</v>
      </c>
      <c r="Q282" s="212" t="s">
        <v>65</v>
      </c>
      <c r="R282" s="212">
        <v>4</v>
      </c>
      <c r="S282" s="212" t="s">
        <v>65</v>
      </c>
      <c r="T282" s="212" t="s">
        <v>65</v>
      </c>
      <c r="U282" s="212" t="s">
        <v>65</v>
      </c>
      <c r="V282" s="212">
        <v>39</v>
      </c>
    </row>
    <row r="283" spans="1:22" ht="16.5" customHeight="1" x14ac:dyDescent="0.3">
      <c r="A283" s="305"/>
      <c r="B283" s="95" t="s">
        <v>760</v>
      </c>
      <c r="C283" s="212">
        <v>14</v>
      </c>
      <c r="D283" s="212">
        <v>27</v>
      </c>
      <c r="E283" s="212" t="s">
        <v>65</v>
      </c>
      <c r="F283" s="212">
        <v>2</v>
      </c>
      <c r="G283" s="212" t="s">
        <v>65</v>
      </c>
      <c r="H283" s="212" t="s">
        <v>65</v>
      </c>
      <c r="I283" s="212" t="s">
        <v>65</v>
      </c>
      <c r="J283" s="212">
        <v>4</v>
      </c>
      <c r="K283" s="212" t="s">
        <v>65</v>
      </c>
      <c r="L283" s="212" t="s">
        <v>65</v>
      </c>
      <c r="M283" s="212">
        <v>1</v>
      </c>
      <c r="N283" s="212" t="s">
        <v>65</v>
      </c>
      <c r="O283" s="212">
        <v>112</v>
      </c>
      <c r="P283" s="212" t="s">
        <v>65</v>
      </c>
      <c r="Q283" s="212" t="s">
        <v>65</v>
      </c>
      <c r="R283" s="212">
        <v>10</v>
      </c>
      <c r="S283" s="212" t="s">
        <v>65</v>
      </c>
      <c r="T283" s="212" t="s">
        <v>65</v>
      </c>
      <c r="U283" s="212">
        <v>4</v>
      </c>
      <c r="V283" s="212">
        <v>174</v>
      </c>
    </row>
    <row r="284" spans="1:22" ht="16.5" customHeight="1" x14ac:dyDescent="0.3">
      <c r="A284" s="305"/>
      <c r="B284" s="95" t="s">
        <v>761</v>
      </c>
      <c r="C284" s="212">
        <v>14</v>
      </c>
      <c r="D284" s="212">
        <v>0</v>
      </c>
      <c r="E284" s="212" t="s">
        <v>65</v>
      </c>
      <c r="F284" s="212" t="s">
        <v>65</v>
      </c>
      <c r="G284" s="212" t="s">
        <v>65</v>
      </c>
      <c r="H284" s="212" t="s">
        <v>65</v>
      </c>
      <c r="I284" s="212" t="s">
        <v>65</v>
      </c>
      <c r="J284" s="212" t="s">
        <v>65</v>
      </c>
      <c r="K284" s="212">
        <v>4</v>
      </c>
      <c r="L284" s="212" t="s">
        <v>65</v>
      </c>
      <c r="M284" s="212" t="s">
        <v>65</v>
      </c>
      <c r="N284" s="212" t="s">
        <v>65</v>
      </c>
      <c r="O284" s="212" t="s">
        <v>65</v>
      </c>
      <c r="P284" s="212" t="s">
        <v>65</v>
      </c>
      <c r="Q284" s="212" t="s">
        <v>65</v>
      </c>
      <c r="R284" s="212">
        <v>0</v>
      </c>
      <c r="S284" s="212" t="s">
        <v>65</v>
      </c>
      <c r="T284" s="212" t="s">
        <v>65</v>
      </c>
      <c r="U284" s="212" t="s">
        <v>65</v>
      </c>
      <c r="V284" s="212">
        <v>18</v>
      </c>
    </row>
    <row r="285" spans="1:22" ht="16.5" customHeight="1" x14ac:dyDescent="0.3">
      <c r="A285" s="305"/>
      <c r="B285" s="95" t="s">
        <v>762</v>
      </c>
      <c r="C285" s="212">
        <v>3</v>
      </c>
      <c r="D285" s="212">
        <v>2</v>
      </c>
      <c r="E285" s="212" t="s">
        <v>65</v>
      </c>
      <c r="F285" s="212" t="s">
        <v>65</v>
      </c>
      <c r="G285" s="212" t="s">
        <v>65</v>
      </c>
      <c r="H285" s="212" t="s">
        <v>65</v>
      </c>
      <c r="I285" s="212" t="s">
        <v>65</v>
      </c>
      <c r="J285" s="212" t="s">
        <v>65</v>
      </c>
      <c r="K285" s="212">
        <v>1</v>
      </c>
      <c r="L285" s="212" t="s">
        <v>65</v>
      </c>
      <c r="M285" s="212" t="s">
        <v>65</v>
      </c>
      <c r="N285" s="212">
        <v>3</v>
      </c>
      <c r="O285" s="212" t="s">
        <v>65</v>
      </c>
      <c r="P285" s="212" t="s">
        <v>65</v>
      </c>
      <c r="Q285" s="212" t="s">
        <v>65</v>
      </c>
      <c r="R285" s="212">
        <v>0</v>
      </c>
      <c r="S285" s="212" t="s">
        <v>65</v>
      </c>
      <c r="T285" s="212" t="s">
        <v>65</v>
      </c>
      <c r="U285" s="212">
        <v>442</v>
      </c>
      <c r="V285" s="212">
        <v>449</v>
      </c>
    </row>
    <row r="286" spans="1:22" ht="16.5" customHeight="1" x14ac:dyDescent="0.3">
      <c r="A286" s="305"/>
      <c r="B286" s="95" t="s">
        <v>763</v>
      </c>
      <c r="C286" s="212">
        <v>1</v>
      </c>
      <c r="D286" s="212">
        <v>2</v>
      </c>
      <c r="E286" s="212" t="s">
        <v>65</v>
      </c>
      <c r="F286" s="212" t="s">
        <v>65</v>
      </c>
      <c r="G286" s="212" t="s">
        <v>65</v>
      </c>
      <c r="H286" s="212" t="s">
        <v>65</v>
      </c>
      <c r="I286" s="212" t="s">
        <v>65</v>
      </c>
      <c r="J286" s="212">
        <v>2</v>
      </c>
      <c r="K286" s="212" t="s">
        <v>65</v>
      </c>
      <c r="L286" s="212" t="s">
        <v>65</v>
      </c>
      <c r="M286" s="212" t="s">
        <v>65</v>
      </c>
      <c r="N286" s="212" t="s">
        <v>65</v>
      </c>
      <c r="O286" s="212" t="s">
        <v>65</v>
      </c>
      <c r="P286" s="212" t="s">
        <v>65</v>
      </c>
      <c r="Q286" s="212" t="s">
        <v>65</v>
      </c>
      <c r="R286" s="212">
        <v>3</v>
      </c>
      <c r="S286" s="212" t="s">
        <v>65</v>
      </c>
      <c r="T286" s="212" t="s">
        <v>65</v>
      </c>
      <c r="U286" s="212">
        <v>3</v>
      </c>
      <c r="V286" s="212">
        <v>10</v>
      </c>
    </row>
    <row r="287" spans="1:22" ht="16.5" customHeight="1" x14ac:dyDescent="0.3">
      <c r="A287" s="305"/>
      <c r="B287" s="95" t="s">
        <v>764</v>
      </c>
      <c r="C287" s="212" t="s">
        <v>65</v>
      </c>
      <c r="D287" s="212" t="s">
        <v>65</v>
      </c>
      <c r="E287" s="212" t="s">
        <v>65</v>
      </c>
      <c r="F287" s="212" t="s">
        <v>65</v>
      </c>
      <c r="G287" s="212" t="s">
        <v>65</v>
      </c>
      <c r="H287" s="212" t="s">
        <v>65</v>
      </c>
      <c r="I287" s="212" t="s">
        <v>65</v>
      </c>
      <c r="J287" s="212" t="s">
        <v>65</v>
      </c>
      <c r="K287" s="212" t="s">
        <v>65</v>
      </c>
      <c r="L287" s="212" t="s">
        <v>65</v>
      </c>
      <c r="M287" s="212" t="s">
        <v>65</v>
      </c>
      <c r="N287" s="212" t="s">
        <v>65</v>
      </c>
      <c r="O287" s="212" t="s">
        <v>65</v>
      </c>
      <c r="P287" s="212" t="s">
        <v>65</v>
      </c>
      <c r="Q287" s="212" t="s">
        <v>65</v>
      </c>
      <c r="R287" s="212">
        <v>0</v>
      </c>
      <c r="S287" s="212" t="s">
        <v>65</v>
      </c>
      <c r="T287" s="212" t="s">
        <v>65</v>
      </c>
      <c r="U287" s="212" t="s">
        <v>65</v>
      </c>
      <c r="V287" s="212">
        <v>0</v>
      </c>
    </row>
    <row r="288" spans="1:22" ht="16.5" customHeight="1" x14ac:dyDescent="0.3">
      <c r="A288" s="305"/>
      <c r="B288" s="95" t="s">
        <v>765</v>
      </c>
      <c r="C288" s="212">
        <v>1</v>
      </c>
      <c r="D288" s="212" t="s">
        <v>65</v>
      </c>
      <c r="E288" s="212" t="s">
        <v>65</v>
      </c>
      <c r="F288" s="212" t="s">
        <v>65</v>
      </c>
      <c r="G288" s="212" t="s">
        <v>65</v>
      </c>
      <c r="H288" s="212" t="s">
        <v>65</v>
      </c>
      <c r="I288" s="212" t="s">
        <v>65</v>
      </c>
      <c r="J288" s="212" t="s">
        <v>65</v>
      </c>
      <c r="K288" s="212" t="s">
        <v>65</v>
      </c>
      <c r="L288" s="212" t="s">
        <v>65</v>
      </c>
      <c r="M288" s="212" t="s">
        <v>65</v>
      </c>
      <c r="N288" s="212" t="s">
        <v>65</v>
      </c>
      <c r="O288" s="212" t="s">
        <v>65</v>
      </c>
      <c r="P288" s="212" t="s">
        <v>65</v>
      </c>
      <c r="Q288" s="212" t="s">
        <v>65</v>
      </c>
      <c r="R288" s="212">
        <v>0</v>
      </c>
      <c r="S288" s="212" t="s">
        <v>65</v>
      </c>
      <c r="T288" s="212" t="s">
        <v>65</v>
      </c>
      <c r="U288" s="212" t="s">
        <v>65</v>
      </c>
      <c r="V288" s="212">
        <v>1</v>
      </c>
    </row>
    <row r="289" spans="1:22" ht="16.5" customHeight="1" x14ac:dyDescent="0.3">
      <c r="A289" s="305"/>
      <c r="B289" s="95" t="s">
        <v>766</v>
      </c>
      <c r="C289" s="212">
        <v>0</v>
      </c>
      <c r="D289" s="212">
        <v>3</v>
      </c>
      <c r="E289" s="212" t="s">
        <v>65</v>
      </c>
      <c r="F289" s="212" t="s">
        <v>65</v>
      </c>
      <c r="G289" s="212" t="s">
        <v>65</v>
      </c>
      <c r="H289" s="212" t="s">
        <v>65</v>
      </c>
      <c r="I289" s="212" t="s">
        <v>65</v>
      </c>
      <c r="J289" s="212" t="s">
        <v>65</v>
      </c>
      <c r="K289" s="212" t="s">
        <v>65</v>
      </c>
      <c r="L289" s="212" t="s">
        <v>65</v>
      </c>
      <c r="M289" s="212" t="s">
        <v>65</v>
      </c>
      <c r="N289" s="212" t="s">
        <v>65</v>
      </c>
      <c r="O289" s="212" t="s">
        <v>65</v>
      </c>
      <c r="P289" s="212" t="s">
        <v>65</v>
      </c>
      <c r="Q289" s="212" t="s">
        <v>65</v>
      </c>
      <c r="R289" s="212">
        <v>2</v>
      </c>
      <c r="S289" s="212" t="s">
        <v>65</v>
      </c>
      <c r="T289" s="212" t="s">
        <v>65</v>
      </c>
      <c r="U289" s="212" t="s">
        <v>65</v>
      </c>
      <c r="V289" s="212">
        <v>5</v>
      </c>
    </row>
    <row r="290" spans="1:22" ht="16.5" customHeight="1" x14ac:dyDescent="0.3">
      <c r="A290" s="305"/>
      <c r="B290" s="95" t="s">
        <v>767</v>
      </c>
      <c r="C290" s="212">
        <v>1</v>
      </c>
      <c r="D290" s="212" t="s">
        <v>65</v>
      </c>
      <c r="E290" s="212" t="s">
        <v>65</v>
      </c>
      <c r="F290" s="212" t="s">
        <v>65</v>
      </c>
      <c r="G290" s="212" t="s">
        <v>65</v>
      </c>
      <c r="H290" s="212" t="s">
        <v>65</v>
      </c>
      <c r="I290" s="212" t="s">
        <v>65</v>
      </c>
      <c r="J290" s="212" t="s">
        <v>65</v>
      </c>
      <c r="K290" s="212" t="s">
        <v>65</v>
      </c>
      <c r="L290" s="212" t="s">
        <v>65</v>
      </c>
      <c r="M290" s="212" t="s">
        <v>65</v>
      </c>
      <c r="N290" s="212" t="s">
        <v>65</v>
      </c>
      <c r="O290" s="212" t="s">
        <v>65</v>
      </c>
      <c r="P290" s="212" t="s">
        <v>65</v>
      </c>
      <c r="Q290" s="212" t="s">
        <v>65</v>
      </c>
      <c r="R290" s="212">
        <v>1</v>
      </c>
      <c r="S290" s="212" t="s">
        <v>65</v>
      </c>
      <c r="T290" s="212" t="s">
        <v>65</v>
      </c>
      <c r="U290" s="212" t="s">
        <v>65</v>
      </c>
      <c r="V290" s="212">
        <v>1</v>
      </c>
    </row>
    <row r="291" spans="1:22" ht="16.5" customHeight="1" x14ac:dyDescent="0.3">
      <c r="A291" s="305"/>
      <c r="B291" s="95" t="s">
        <v>768</v>
      </c>
      <c r="C291" s="212">
        <v>9</v>
      </c>
      <c r="D291" s="212">
        <v>3</v>
      </c>
      <c r="E291" s="212" t="s">
        <v>65</v>
      </c>
      <c r="F291" s="212" t="s">
        <v>65</v>
      </c>
      <c r="G291" s="212" t="s">
        <v>65</v>
      </c>
      <c r="H291" s="212" t="s">
        <v>65</v>
      </c>
      <c r="I291" s="212" t="s">
        <v>65</v>
      </c>
      <c r="J291" s="212">
        <v>5</v>
      </c>
      <c r="K291" s="212" t="s">
        <v>65</v>
      </c>
      <c r="L291" s="212" t="s">
        <v>65</v>
      </c>
      <c r="M291" s="212">
        <v>0</v>
      </c>
      <c r="N291" s="212" t="s">
        <v>65</v>
      </c>
      <c r="O291" s="212" t="s">
        <v>65</v>
      </c>
      <c r="P291" s="212" t="s">
        <v>65</v>
      </c>
      <c r="Q291" s="212" t="s">
        <v>65</v>
      </c>
      <c r="R291" s="212">
        <v>11</v>
      </c>
      <c r="S291" s="212" t="s">
        <v>65</v>
      </c>
      <c r="T291" s="212" t="s">
        <v>65</v>
      </c>
      <c r="U291" s="212" t="s">
        <v>65</v>
      </c>
      <c r="V291" s="212">
        <v>29</v>
      </c>
    </row>
    <row r="292" spans="1:22" ht="16.5" customHeight="1" x14ac:dyDescent="0.3">
      <c r="A292" s="305"/>
      <c r="B292" s="95" t="s">
        <v>769</v>
      </c>
      <c r="C292" s="212">
        <v>24</v>
      </c>
      <c r="D292" s="212">
        <v>26</v>
      </c>
      <c r="E292" s="212" t="s">
        <v>65</v>
      </c>
      <c r="F292" s="212" t="s">
        <v>65</v>
      </c>
      <c r="G292" s="212" t="s">
        <v>65</v>
      </c>
      <c r="H292" s="212" t="s">
        <v>65</v>
      </c>
      <c r="I292" s="212" t="s">
        <v>65</v>
      </c>
      <c r="J292" s="212">
        <v>3</v>
      </c>
      <c r="K292" s="212">
        <v>98</v>
      </c>
      <c r="L292" s="212" t="s">
        <v>65</v>
      </c>
      <c r="M292" s="212">
        <v>4</v>
      </c>
      <c r="N292" s="212" t="s">
        <v>65</v>
      </c>
      <c r="O292" s="212" t="s">
        <v>65</v>
      </c>
      <c r="P292" s="212" t="s">
        <v>65</v>
      </c>
      <c r="Q292" s="212" t="s">
        <v>65</v>
      </c>
      <c r="R292" s="212">
        <v>14</v>
      </c>
      <c r="S292" s="212" t="s">
        <v>65</v>
      </c>
      <c r="T292" s="212" t="s">
        <v>65</v>
      </c>
      <c r="U292" s="212" t="s">
        <v>65</v>
      </c>
      <c r="V292" s="212">
        <v>169</v>
      </c>
    </row>
    <row r="293" spans="1:22" ht="16.5" customHeight="1" x14ac:dyDescent="0.3">
      <c r="A293" s="305"/>
      <c r="B293" s="95" t="s">
        <v>770</v>
      </c>
      <c r="C293" s="212">
        <v>393</v>
      </c>
      <c r="D293" s="212">
        <v>21</v>
      </c>
      <c r="E293" s="212" t="s">
        <v>65</v>
      </c>
      <c r="F293" s="212" t="s">
        <v>65</v>
      </c>
      <c r="G293" s="212" t="s">
        <v>65</v>
      </c>
      <c r="H293" s="212" t="s">
        <v>65</v>
      </c>
      <c r="I293" s="212" t="s">
        <v>65</v>
      </c>
      <c r="J293" s="212">
        <v>16</v>
      </c>
      <c r="K293" s="212">
        <v>946</v>
      </c>
      <c r="L293" s="212" t="s">
        <v>65</v>
      </c>
      <c r="M293" s="212">
        <v>4</v>
      </c>
      <c r="N293" s="212" t="s">
        <v>65</v>
      </c>
      <c r="O293" s="212">
        <v>27</v>
      </c>
      <c r="P293" s="212" t="s">
        <v>65</v>
      </c>
      <c r="Q293" s="212" t="s">
        <v>65</v>
      </c>
      <c r="R293" s="212">
        <v>174</v>
      </c>
      <c r="S293" s="212">
        <v>3</v>
      </c>
      <c r="T293" s="212">
        <v>0</v>
      </c>
      <c r="U293" s="212">
        <v>52</v>
      </c>
      <c r="V293" s="212">
        <v>1638</v>
      </c>
    </row>
    <row r="294" spans="1:22" ht="16.5" customHeight="1" x14ac:dyDescent="0.3">
      <c r="A294" s="305"/>
      <c r="B294" s="95" t="s">
        <v>759</v>
      </c>
      <c r="C294" s="212">
        <v>0</v>
      </c>
      <c r="D294" s="212">
        <v>3</v>
      </c>
      <c r="E294" s="212" t="s">
        <v>65</v>
      </c>
      <c r="F294" s="212" t="s">
        <v>65</v>
      </c>
      <c r="G294" s="212" t="s">
        <v>65</v>
      </c>
      <c r="H294" s="212" t="s">
        <v>65</v>
      </c>
      <c r="I294" s="212" t="s">
        <v>65</v>
      </c>
      <c r="J294" s="212" t="s">
        <v>65</v>
      </c>
      <c r="K294" s="212" t="s">
        <v>65</v>
      </c>
      <c r="L294" s="212" t="s">
        <v>65</v>
      </c>
      <c r="M294" s="212" t="s">
        <v>65</v>
      </c>
      <c r="N294" s="212" t="s">
        <v>65</v>
      </c>
      <c r="O294" s="212" t="s">
        <v>65</v>
      </c>
      <c r="P294" s="212" t="s">
        <v>65</v>
      </c>
      <c r="Q294" s="212" t="s">
        <v>65</v>
      </c>
      <c r="R294" s="212">
        <v>4</v>
      </c>
      <c r="S294" s="212" t="s">
        <v>65</v>
      </c>
      <c r="T294" s="212" t="s">
        <v>65</v>
      </c>
      <c r="U294" s="212">
        <v>1</v>
      </c>
      <c r="V294" s="212">
        <v>8</v>
      </c>
    </row>
    <row r="295" spans="1:22" x14ac:dyDescent="0.3">
      <c r="A295" s="305"/>
      <c r="B295" s="294" t="s">
        <v>86</v>
      </c>
      <c r="C295" s="214">
        <v>462</v>
      </c>
      <c r="D295" s="214">
        <v>88</v>
      </c>
      <c r="E295" s="214">
        <v>0</v>
      </c>
      <c r="F295" s="214">
        <v>2</v>
      </c>
      <c r="G295" s="214">
        <v>0</v>
      </c>
      <c r="H295" s="214">
        <v>0</v>
      </c>
      <c r="I295" s="214">
        <v>0</v>
      </c>
      <c r="J295" s="214">
        <v>31</v>
      </c>
      <c r="K295" s="214">
        <v>1078</v>
      </c>
      <c r="L295" s="214">
        <v>0</v>
      </c>
      <c r="M295" s="214">
        <v>13</v>
      </c>
      <c r="N295" s="214">
        <v>3</v>
      </c>
      <c r="O295" s="214">
        <v>139</v>
      </c>
      <c r="P295" s="214">
        <v>0</v>
      </c>
      <c r="Q295" s="214">
        <v>0</v>
      </c>
      <c r="R295" s="214">
        <v>222</v>
      </c>
      <c r="S295" s="214">
        <v>3</v>
      </c>
      <c r="T295" s="214">
        <v>0</v>
      </c>
      <c r="U295" s="214">
        <v>501</v>
      </c>
      <c r="V295" s="214">
        <v>2541</v>
      </c>
    </row>
    <row r="297" spans="1:22" x14ac:dyDescent="0.3">
      <c r="A297" s="90" t="s">
        <v>1203</v>
      </c>
    </row>
    <row r="298" spans="1:22" ht="18.75" x14ac:dyDescent="0.4">
      <c r="A298" s="292" t="s">
        <v>1354</v>
      </c>
    </row>
  </sheetData>
  <mergeCells count="44">
    <mergeCell ref="A161:A174"/>
    <mergeCell ref="A175:A183"/>
    <mergeCell ref="A237:A243"/>
    <mergeCell ref="M4:M7"/>
    <mergeCell ref="A4:A7"/>
    <mergeCell ref="B4:B7"/>
    <mergeCell ref="C4:C7"/>
    <mergeCell ref="D4:D7"/>
    <mergeCell ref="E4:E7"/>
    <mergeCell ref="L4:L7"/>
    <mergeCell ref="A93:A108"/>
    <mergeCell ref="A109:A124"/>
    <mergeCell ref="A125:A134"/>
    <mergeCell ref="A135:A147"/>
    <mergeCell ref="A148:A160"/>
    <mergeCell ref="A20:A30"/>
    <mergeCell ref="A31:A42"/>
    <mergeCell ref="A43:A58"/>
    <mergeCell ref="A59:A70"/>
    <mergeCell ref="A71:A92"/>
    <mergeCell ref="S4:S7"/>
    <mergeCell ref="T4:T7"/>
    <mergeCell ref="U4:U7"/>
    <mergeCell ref="V4:V7"/>
    <mergeCell ref="A8:A19"/>
    <mergeCell ref="Q4:Q7"/>
    <mergeCell ref="R4:R7"/>
    <mergeCell ref="F4:F7"/>
    <mergeCell ref="N4:N7"/>
    <mergeCell ref="O4:O7"/>
    <mergeCell ref="P4:P7"/>
    <mergeCell ref="G4:G7"/>
    <mergeCell ref="H4:H7"/>
    <mergeCell ref="I4:I7"/>
    <mergeCell ref="J4:J7"/>
    <mergeCell ref="K4:K7"/>
    <mergeCell ref="A282:A295"/>
    <mergeCell ref="A244:A257"/>
    <mergeCell ref="A184:A195"/>
    <mergeCell ref="A196:A212"/>
    <mergeCell ref="A213:A226"/>
    <mergeCell ref="A227:A232"/>
    <mergeCell ref="A233:A236"/>
    <mergeCell ref="A258:A281"/>
  </mergeCells>
  <phoneticPr fontId="1" type="noConversion"/>
  <hyperlinks>
    <hyperlink ref="J1" location="목차!A1" display="목차" xr:uid="{506D1292-8156-414B-86D4-709270B5C988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D641-CC8B-403F-97E3-08509D2FB6A0}">
  <sheetPr>
    <tabColor theme="1" tint="0.499984740745262"/>
  </sheetPr>
  <dimension ref="A1:AU82"/>
  <sheetViews>
    <sheetView zoomScale="55" zoomScaleNormal="55" workbookViewId="0">
      <selection activeCell="A45" sqref="A45"/>
    </sheetView>
  </sheetViews>
  <sheetFormatPr defaultRowHeight="16.5" x14ac:dyDescent="0.3"/>
  <cols>
    <col min="1" max="1" width="11.625" customWidth="1"/>
    <col min="2" max="2" width="51.875" customWidth="1"/>
  </cols>
  <sheetData>
    <row r="1" spans="1:47" ht="17.25" x14ac:dyDescent="0.3">
      <c r="A1" s="7" t="s">
        <v>1205</v>
      </c>
      <c r="B1" s="2"/>
      <c r="C1" s="2"/>
      <c r="D1" s="2"/>
      <c r="E1" s="2"/>
      <c r="F1" s="2"/>
      <c r="G1" s="2"/>
      <c r="I1" s="72" t="s">
        <v>367</v>
      </c>
    </row>
    <row r="3" spans="1:47" x14ac:dyDescent="0.3">
      <c r="X3" s="5" t="s">
        <v>87</v>
      </c>
    </row>
    <row r="4" spans="1:47" ht="49.5" customHeight="1" x14ac:dyDescent="0.3">
      <c r="A4" s="313" t="s">
        <v>139</v>
      </c>
      <c r="B4" s="311" t="s">
        <v>844</v>
      </c>
      <c r="C4" s="311" t="s">
        <v>40</v>
      </c>
      <c r="D4" s="311" t="s">
        <v>41</v>
      </c>
      <c r="E4" s="311" t="s">
        <v>42</v>
      </c>
      <c r="F4" s="311" t="s">
        <v>43</v>
      </c>
      <c r="G4" s="311" t="s">
        <v>44</v>
      </c>
      <c r="H4" s="311" t="s">
        <v>45</v>
      </c>
      <c r="I4" s="311" t="s">
        <v>47</v>
      </c>
      <c r="J4" s="311" t="s">
        <v>48</v>
      </c>
      <c r="K4" s="311" t="s">
        <v>49</v>
      </c>
      <c r="L4" s="311" t="s">
        <v>50</v>
      </c>
      <c r="M4" s="311" t="s">
        <v>51</v>
      </c>
      <c r="N4" s="311" t="s">
        <v>52</v>
      </c>
      <c r="O4" s="311" t="s">
        <v>55</v>
      </c>
      <c r="P4" s="311" t="s">
        <v>56</v>
      </c>
      <c r="Q4" s="311" t="s">
        <v>57</v>
      </c>
      <c r="R4" s="311" t="s">
        <v>59</v>
      </c>
      <c r="S4" s="311" t="s">
        <v>62</v>
      </c>
      <c r="T4" s="311" t="s">
        <v>63</v>
      </c>
      <c r="U4" s="311" t="s">
        <v>68</v>
      </c>
      <c r="V4" s="311" t="s">
        <v>71</v>
      </c>
      <c r="W4" s="311" t="s">
        <v>253</v>
      </c>
      <c r="X4" s="332" t="s">
        <v>86</v>
      </c>
    </row>
    <row r="5" spans="1:47" ht="16.5" customHeight="1" x14ac:dyDescent="0.3">
      <c r="A5" s="313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32"/>
    </row>
    <row r="6" spans="1:47" ht="16.5" customHeight="1" x14ac:dyDescent="0.3">
      <c r="A6" s="313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32"/>
    </row>
    <row r="7" spans="1:47" x14ac:dyDescent="0.3">
      <c r="A7" s="305" t="s">
        <v>203</v>
      </c>
      <c r="B7" s="176" t="s">
        <v>845</v>
      </c>
      <c r="C7" s="224">
        <v>12206</v>
      </c>
      <c r="D7" s="224">
        <v>9728</v>
      </c>
      <c r="E7" s="224">
        <v>269</v>
      </c>
      <c r="F7" s="224">
        <v>0</v>
      </c>
      <c r="G7" s="224">
        <v>44</v>
      </c>
      <c r="H7" s="224">
        <v>18</v>
      </c>
      <c r="I7" s="224">
        <v>0</v>
      </c>
      <c r="J7" s="224">
        <v>51</v>
      </c>
      <c r="K7" s="224">
        <v>61</v>
      </c>
      <c r="L7" s="224">
        <v>25</v>
      </c>
      <c r="M7" s="224">
        <v>4</v>
      </c>
      <c r="N7" s="224">
        <v>9</v>
      </c>
      <c r="O7" s="224">
        <v>94</v>
      </c>
      <c r="P7" s="224">
        <v>32</v>
      </c>
      <c r="Q7" s="224">
        <v>233</v>
      </c>
      <c r="R7" s="224">
        <v>92</v>
      </c>
      <c r="S7" s="224">
        <v>18</v>
      </c>
      <c r="T7" s="224">
        <v>334</v>
      </c>
      <c r="U7" s="224">
        <v>91</v>
      </c>
      <c r="V7" s="224">
        <v>12</v>
      </c>
      <c r="W7" s="224">
        <v>176</v>
      </c>
      <c r="X7" s="225">
        <v>23496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</row>
    <row r="8" spans="1:47" x14ac:dyDescent="0.3">
      <c r="A8" s="305"/>
      <c r="B8" s="95" t="s">
        <v>170</v>
      </c>
      <c r="C8" s="212">
        <v>12751</v>
      </c>
      <c r="D8" s="212">
        <v>1683</v>
      </c>
      <c r="E8" s="212">
        <v>38</v>
      </c>
      <c r="F8" s="212">
        <v>0</v>
      </c>
      <c r="G8" s="212">
        <v>0</v>
      </c>
      <c r="H8" s="212">
        <v>15</v>
      </c>
      <c r="I8" s="212">
        <v>3</v>
      </c>
      <c r="J8" s="212">
        <v>239</v>
      </c>
      <c r="K8" s="212">
        <v>1127</v>
      </c>
      <c r="L8" s="212">
        <v>0</v>
      </c>
      <c r="M8" s="212">
        <v>32</v>
      </c>
      <c r="N8" s="212">
        <v>36</v>
      </c>
      <c r="O8" s="212">
        <v>2783</v>
      </c>
      <c r="P8" s="212">
        <v>57</v>
      </c>
      <c r="Q8" s="212">
        <v>904</v>
      </c>
      <c r="R8" s="212">
        <v>483</v>
      </c>
      <c r="S8" s="212">
        <v>19</v>
      </c>
      <c r="T8" s="212">
        <v>660</v>
      </c>
      <c r="U8" s="212">
        <v>185</v>
      </c>
      <c r="V8" s="212">
        <v>65</v>
      </c>
      <c r="W8" s="212">
        <v>1559</v>
      </c>
      <c r="X8" s="213">
        <v>22637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</row>
    <row r="9" spans="1:47" x14ac:dyDescent="0.3">
      <c r="A9" s="305"/>
      <c r="B9" s="95" t="s">
        <v>166</v>
      </c>
      <c r="C9" s="212">
        <v>1386</v>
      </c>
      <c r="D9" s="212">
        <v>29</v>
      </c>
      <c r="E9" s="212">
        <v>0</v>
      </c>
      <c r="F9" s="212">
        <v>679</v>
      </c>
      <c r="G9" s="212">
        <v>15</v>
      </c>
      <c r="H9" s="212">
        <v>0</v>
      </c>
      <c r="I9" s="212">
        <v>0</v>
      </c>
      <c r="J9" s="212">
        <v>0</v>
      </c>
      <c r="K9" s="212">
        <v>1000</v>
      </c>
      <c r="L9" s="212">
        <v>0</v>
      </c>
      <c r="M9" s="212">
        <v>0</v>
      </c>
      <c r="N9" s="212">
        <v>44970</v>
      </c>
      <c r="O9" s="212">
        <v>0</v>
      </c>
      <c r="P9" s="212">
        <v>0</v>
      </c>
      <c r="Q9" s="212">
        <v>228</v>
      </c>
      <c r="R9" s="212">
        <v>0</v>
      </c>
      <c r="S9" s="212">
        <v>1</v>
      </c>
      <c r="T9" s="212">
        <v>132</v>
      </c>
      <c r="U9" s="212">
        <v>5</v>
      </c>
      <c r="V9" s="212">
        <v>1</v>
      </c>
      <c r="W9" s="212">
        <v>31</v>
      </c>
      <c r="X9" s="213">
        <v>48476</v>
      </c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</row>
    <row r="10" spans="1:47" x14ac:dyDescent="0.3">
      <c r="A10" s="305"/>
      <c r="B10" s="95" t="s">
        <v>171</v>
      </c>
      <c r="C10" s="212">
        <v>191</v>
      </c>
      <c r="D10" s="212">
        <v>778</v>
      </c>
      <c r="E10" s="212">
        <v>288</v>
      </c>
      <c r="F10" s="212">
        <v>0</v>
      </c>
      <c r="G10" s="212">
        <v>2</v>
      </c>
      <c r="H10" s="212">
        <v>1</v>
      </c>
      <c r="I10" s="212">
        <v>0</v>
      </c>
      <c r="J10" s="212">
        <v>2</v>
      </c>
      <c r="K10" s="212">
        <v>4</v>
      </c>
      <c r="L10" s="212">
        <v>0</v>
      </c>
      <c r="M10" s="212">
        <v>5</v>
      </c>
      <c r="N10" s="212">
        <v>1</v>
      </c>
      <c r="O10" s="212">
        <v>0</v>
      </c>
      <c r="P10" s="212">
        <v>1</v>
      </c>
      <c r="Q10" s="212">
        <v>47</v>
      </c>
      <c r="R10" s="212">
        <v>1</v>
      </c>
      <c r="S10" s="212">
        <v>0</v>
      </c>
      <c r="T10" s="212">
        <v>29</v>
      </c>
      <c r="U10" s="212">
        <v>4</v>
      </c>
      <c r="V10" s="212">
        <v>2</v>
      </c>
      <c r="W10" s="212">
        <v>14</v>
      </c>
      <c r="X10" s="213">
        <v>1370</v>
      </c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</row>
    <row r="11" spans="1:47" x14ac:dyDescent="0.3">
      <c r="A11" s="305"/>
      <c r="B11" s="95" t="s">
        <v>172</v>
      </c>
      <c r="C11" s="212">
        <v>7935</v>
      </c>
      <c r="D11" s="212">
        <v>256</v>
      </c>
      <c r="E11" s="212">
        <v>119</v>
      </c>
      <c r="F11" s="212">
        <v>0</v>
      </c>
      <c r="G11" s="212">
        <v>449</v>
      </c>
      <c r="H11" s="212">
        <v>4</v>
      </c>
      <c r="I11" s="212">
        <v>2</v>
      </c>
      <c r="J11" s="212">
        <v>42</v>
      </c>
      <c r="K11" s="212">
        <v>1246</v>
      </c>
      <c r="L11" s="212">
        <v>0</v>
      </c>
      <c r="M11" s="212">
        <v>0</v>
      </c>
      <c r="N11" s="212">
        <v>126</v>
      </c>
      <c r="O11" s="212">
        <v>0</v>
      </c>
      <c r="P11" s="212">
        <v>9</v>
      </c>
      <c r="Q11" s="212">
        <v>5103</v>
      </c>
      <c r="R11" s="212">
        <v>0</v>
      </c>
      <c r="S11" s="212">
        <v>422</v>
      </c>
      <c r="T11" s="212">
        <v>840</v>
      </c>
      <c r="U11" s="212">
        <v>264</v>
      </c>
      <c r="V11" s="212">
        <v>24</v>
      </c>
      <c r="W11" s="212">
        <v>18</v>
      </c>
      <c r="X11" s="213">
        <v>16860</v>
      </c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</row>
    <row r="12" spans="1:47" x14ac:dyDescent="0.3">
      <c r="A12" s="305"/>
      <c r="B12" s="95" t="s">
        <v>173</v>
      </c>
      <c r="C12" s="212">
        <v>4710</v>
      </c>
      <c r="D12" s="212">
        <v>20</v>
      </c>
      <c r="E12" s="212">
        <v>0</v>
      </c>
      <c r="F12" s="212">
        <v>0</v>
      </c>
      <c r="G12" s="212">
        <v>249</v>
      </c>
      <c r="H12" s="212">
        <v>99</v>
      </c>
      <c r="I12" s="212">
        <v>0</v>
      </c>
      <c r="J12" s="212">
        <v>13</v>
      </c>
      <c r="K12" s="212">
        <v>937</v>
      </c>
      <c r="L12" s="212">
        <v>0</v>
      </c>
      <c r="M12" s="212">
        <v>0</v>
      </c>
      <c r="N12" s="212">
        <v>558</v>
      </c>
      <c r="O12" s="212">
        <v>1</v>
      </c>
      <c r="P12" s="212">
        <v>0</v>
      </c>
      <c r="Q12" s="212">
        <v>64</v>
      </c>
      <c r="R12" s="212">
        <v>0</v>
      </c>
      <c r="S12" s="212">
        <v>0</v>
      </c>
      <c r="T12" s="212">
        <v>27</v>
      </c>
      <c r="U12" s="212">
        <v>341</v>
      </c>
      <c r="V12" s="212">
        <v>11</v>
      </c>
      <c r="W12" s="212">
        <v>36</v>
      </c>
      <c r="X12" s="213">
        <v>7066</v>
      </c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</row>
    <row r="13" spans="1:47" x14ac:dyDescent="0.3">
      <c r="A13" s="305"/>
      <c r="B13" s="95" t="s">
        <v>174</v>
      </c>
      <c r="C13" s="212">
        <v>765</v>
      </c>
      <c r="D13" s="212">
        <v>45</v>
      </c>
      <c r="E13" s="212">
        <v>0</v>
      </c>
      <c r="F13" s="212">
        <v>0</v>
      </c>
      <c r="G13" s="212">
        <v>11</v>
      </c>
      <c r="H13" s="212">
        <v>204</v>
      </c>
      <c r="I13" s="212">
        <v>0</v>
      </c>
      <c r="J13" s="212">
        <v>2</v>
      </c>
      <c r="K13" s="212">
        <v>12</v>
      </c>
      <c r="L13" s="212">
        <v>0</v>
      </c>
      <c r="M13" s="212">
        <v>0</v>
      </c>
      <c r="N13" s="212">
        <v>5</v>
      </c>
      <c r="O13" s="212">
        <v>0</v>
      </c>
      <c r="P13" s="212">
        <v>2</v>
      </c>
      <c r="Q13" s="212">
        <v>450</v>
      </c>
      <c r="R13" s="212">
        <v>0</v>
      </c>
      <c r="S13" s="212">
        <v>3</v>
      </c>
      <c r="T13" s="212">
        <v>3</v>
      </c>
      <c r="U13" s="212">
        <v>1532</v>
      </c>
      <c r="V13" s="212">
        <v>9</v>
      </c>
      <c r="W13" s="212">
        <v>0</v>
      </c>
      <c r="X13" s="213">
        <v>3042</v>
      </c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</row>
    <row r="14" spans="1:47" x14ac:dyDescent="0.3">
      <c r="A14" s="305"/>
      <c r="B14" s="168" t="s">
        <v>214</v>
      </c>
      <c r="C14" s="226">
        <v>6208</v>
      </c>
      <c r="D14" s="226">
        <v>163</v>
      </c>
      <c r="E14" s="226">
        <v>179</v>
      </c>
      <c r="F14" s="226">
        <v>8</v>
      </c>
      <c r="G14" s="226">
        <v>2049</v>
      </c>
      <c r="H14" s="226">
        <v>0</v>
      </c>
      <c r="I14" s="226">
        <v>0</v>
      </c>
      <c r="J14" s="226">
        <v>45</v>
      </c>
      <c r="K14" s="226">
        <v>379</v>
      </c>
      <c r="L14" s="226">
        <v>0</v>
      </c>
      <c r="M14" s="226">
        <v>59</v>
      </c>
      <c r="N14" s="226">
        <v>58</v>
      </c>
      <c r="O14" s="226">
        <v>11</v>
      </c>
      <c r="P14" s="226">
        <v>1</v>
      </c>
      <c r="Q14" s="226">
        <v>794</v>
      </c>
      <c r="R14" s="226">
        <v>2</v>
      </c>
      <c r="S14" s="226">
        <v>9</v>
      </c>
      <c r="T14" s="226">
        <v>1038</v>
      </c>
      <c r="U14" s="226">
        <v>112</v>
      </c>
      <c r="V14" s="226">
        <v>11</v>
      </c>
      <c r="W14" s="226">
        <v>419</v>
      </c>
      <c r="X14" s="227">
        <v>11545</v>
      </c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</row>
    <row r="15" spans="1:47" x14ac:dyDescent="0.3">
      <c r="A15" s="305"/>
      <c r="B15" s="95" t="s">
        <v>150</v>
      </c>
      <c r="C15" s="212">
        <v>2041</v>
      </c>
      <c r="D15" s="212">
        <v>367</v>
      </c>
      <c r="E15" s="212">
        <v>41</v>
      </c>
      <c r="F15" s="212">
        <v>0</v>
      </c>
      <c r="G15" s="212">
        <v>285</v>
      </c>
      <c r="H15" s="212">
        <v>53</v>
      </c>
      <c r="I15" s="212">
        <v>1</v>
      </c>
      <c r="J15" s="212">
        <v>249</v>
      </c>
      <c r="K15" s="212">
        <v>118</v>
      </c>
      <c r="L15" s="212">
        <v>0</v>
      </c>
      <c r="M15" s="212">
        <v>5</v>
      </c>
      <c r="N15" s="212">
        <v>30</v>
      </c>
      <c r="O15" s="212">
        <v>0</v>
      </c>
      <c r="P15" s="212">
        <v>111</v>
      </c>
      <c r="Q15" s="212">
        <v>959</v>
      </c>
      <c r="R15" s="212">
        <v>38</v>
      </c>
      <c r="S15" s="212">
        <v>89</v>
      </c>
      <c r="T15" s="212">
        <v>675</v>
      </c>
      <c r="U15" s="212">
        <v>1009</v>
      </c>
      <c r="V15" s="212">
        <v>3665</v>
      </c>
      <c r="W15" s="212">
        <v>164</v>
      </c>
      <c r="X15" s="213">
        <v>9897</v>
      </c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</row>
    <row r="16" spans="1:47" x14ac:dyDescent="0.3">
      <c r="A16" s="305"/>
      <c r="B16" s="95" t="s">
        <v>175</v>
      </c>
      <c r="C16" s="212">
        <v>1133</v>
      </c>
      <c r="D16" s="212">
        <v>124</v>
      </c>
      <c r="E16" s="212">
        <v>1</v>
      </c>
      <c r="F16" s="212">
        <v>13</v>
      </c>
      <c r="G16" s="212">
        <v>89</v>
      </c>
      <c r="H16" s="212">
        <v>300</v>
      </c>
      <c r="I16" s="212">
        <v>0</v>
      </c>
      <c r="J16" s="212">
        <v>25</v>
      </c>
      <c r="K16" s="212">
        <v>527</v>
      </c>
      <c r="L16" s="212">
        <v>2</v>
      </c>
      <c r="M16" s="212">
        <v>2</v>
      </c>
      <c r="N16" s="212">
        <v>8</v>
      </c>
      <c r="O16" s="212">
        <v>5</v>
      </c>
      <c r="P16" s="212">
        <v>12</v>
      </c>
      <c r="Q16" s="212">
        <v>281</v>
      </c>
      <c r="R16" s="212">
        <v>84</v>
      </c>
      <c r="S16" s="212">
        <v>42</v>
      </c>
      <c r="T16" s="212">
        <v>214</v>
      </c>
      <c r="U16" s="212">
        <v>118</v>
      </c>
      <c r="V16" s="212">
        <v>28</v>
      </c>
      <c r="W16" s="212">
        <v>843</v>
      </c>
      <c r="X16" s="213">
        <v>3849</v>
      </c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</row>
    <row r="17" spans="1:47" x14ac:dyDescent="0.3">
      <c r="A17" s="305"/>
      <c r="B17" s="95" t="s">
        <v>188</v>
      </c>
      <c r="C17" s="212">
        <v>100</v>
      </c>
      <c r="D17" s="212">
        <v>154</v>
      </c>
      <c r="E17" s="212">
        <v>0</v>
      </c>
      <c r="F17" s="212">
        <v>0</v>
      </c>
      <c r="G17" s="212">
        <v>0</v>
      </c>
      <c r="H17" s="212">
        <v>0</v>
      </c>
      <c r="I17" s="212">
        <v>0</v>
      </c>
      <c r="J17" s="212">
        <v>2</v>
      </c>
      <c r="K17" s="212">
        <v>12</v>
      </c>
      <c r="L17" s="212">
        <v>375</v>
      </c>
      <c r="M17" s="212">
        <v>278</v>
      </c>
      <c r="N17" s="212">
        <v>0</v>
      </c>
      <c r="O17" s="212">
        <v>0</v>
      </c>
      <c r="P17" s="212">
        <v>14</v>
      </c>
      <c r="Q17" s="212">
        <v>27</v>
      </c>
      <c r="R17" s="212">
        <v>0</v>
      </c>
      <c r="S17" s="212">
        <v>0</v>
      </c>
      <c r="T17" s="212">
        <v>102</v>
      </c>
      <c r="U17" s="212">
        <v>33</v>
      </c>
      <c r="V17" s="212">
        <v>0</v>
      </c>
      <c r="W17" s="212">
        <v>0</v>
      </c>
      <c r="X17" s="213">
        <v>1098</v>
      </c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</row>
    <row r="18" spans="1:47" x14ac:dyDescent="0.3">
      <c r="A18" s="305"/>
      <c r="B18" s="95" t="s">
        <v>176</v>
      </c>
      <c r="C18" s="212">
        <v>2652</v>
      </c>
      <c r="D18" s="212">
        <v>11062</v>
      </c>
      <c r="E18" s="212">
        <v>458</v>
      </c>
      <c r="F18" s="212">
        <v>8</v>
      </c>
      <c r="G18" s="212">
        <v>18</v>
      </c>
      <c r="H18" s="212">
        <v>0</v>
      </c>
      <c r="I18" s="212">
        <v>0</v>
      </c>
      <c r="J18" s="212">
        <v>202</v>
      </c>
      <c r="K18" s="212">
        <v>14</v>
      </c>
      <c r="L18" s="212">
        <v>10</v>
      </c>
      <c r="M18" s="212">
        <v>44</v>
      </c>
      <c r="N18" s="212">
        <v>0</v>
      </c>
      <c r="O18" s="212">
        <v>33</v>
      </c>
      <c r="P18" s="212">
        <v>1</v>
      </c>
      <c r="Q18" s="212">
        <v>123</v>
      </c>
      <c r="R18" s="212">
        <v>54</v>
      </c>
      <c r="S18" s="212">
        <v>1</v>
      </c>
      <c r="T18" s="212">
        <v>96</v>
      </c>
      <c r="U18" s="212">
        <v>0</v>
      </c>
      <c r="V18" s="212">
        <v>7</v>
      </c>
      <c r="W18" s="212">
        <v>47</v>
      </c>
      <c r="X18" s="213">
        <v>14830</v>
      </c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</row>
    <row r="19" spans="1:47" x14ac:dyDescent="0.3">
      <c r="A19" s="305"/>
      <c r="B19" s="95" t="s">
        <v>177</v>
      </c>
      <c r="C19" s="212">
        <v>16281</v>
      </c>
      <c r="D19" s="212">
        <v>787</v>
      </c>
      <c r="E19" s="212">
        <v>3556</v>
      </c>
      <c r="F19" s="212">
        <v>25</v>
      </c>
      <c r="G19" s="212">
        <v>779</v>
      </c>
      <c r="H19" s="212">
        <v>490</v>
      </c>
      <c r="I19" s="212">
        <v>65</v>
      </c>
      <c r="J19" s="212">
        <v>1446</v>
      </c>
      <c r="K19" s="212">
        <v>340</v>
      </c>
      <c r="L19" s="212">
        <v>233</v>
      </c>
      <c r="M19" s="212">
        <v>114</v>
      </c>
      <c r="N19" s="212">
        <v>1</v>
      </c>
      <c r="O19" s="212">
        <v>1131</v>
      </c>
      <c r="P19" s="212">
        <v>108</v>
      </c>
      <c r="Q19" s="212">
        <v>7466</v>
      </c>
      <c r="R19" s="212">
        <v>290</v>
      </c>
      <c r="S19" s="212">
        <v>364</v>
      </c>
      <c r="T19" s="212">
        <v>1272</v>
      </c>
      <c r="U19" s="212">
        <v>1688</v>
      </c>
      <c r="V19" s="212">
        <v>126</v>
      </c>
      <c r="W19" s="212">
        <v>1253</v>
      </c>
      <c r="X19" s="213">
        <v>37814</v>
      </c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</row>
    <row r="20" spans="1:47" x14ac:dyDescent="0.3">
      <c r="A20" s="306"/>
      <c r="B20" s="95" t="s">
        <v>110</v>
      </c>
      <c r="C20" s="212">
        <v>68359</v>
      </c>
      <c r="D20" s="212">
        <v>25195</v>
      </c>
      <c r="E20" s="212">
        <v>4949</v>
      </c>
      <c r="F20" s="212">
        <v>731</v>
      </c>
      <c r="G20" s="212">
        <v>3989</v>
      </c>
      <c r="H20" s="212">
        <v>1182</v>
      </c>
      <c r="I20" s="212">
        <v>71</v>
      </c>
      <c r="J20" s="212">
        <v>2319</v>
      </c>
      <c r="K20" s="212">
        <v>5778</v>
      </c>
      <c r="L20" s="212">
        <v>645</v>
      </c>
      <c r="M20" s="212">
        <v>542</v>
      </c>
      <c r="N20" s="212">
        <v>45801</v>
      </c>
      <c r="O20" s="212">
        <v>4058</v>
      </c>
      <c r="P20" s="212">
        <v>349</v>
      </c>
      <c r="Q20" s="212">
        <v>16679</v>
      </c>
      <c r="R20" s="212">
        <v>1043</v>
      </c>
      <c r="S20" s="212">
        <v>965</v>
      </c>
      <c r="T20" s="212">
        <v>5422</v>
      </c>
      <c r="U20" s="212">
        <v>5383</v>
      </c>
      <c r="V20" s="212">
        <v>3960</v>
      </c>
      <c r="W20" s="212">
        <v>4559</v>
      </c>
      <c r="X20" s="213">
        <v>201981</v>
      </c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</row>
    <row r="21" spans="1:47" x14ac:dyDescent="0.3">
      <c r="A21" s="304" t="s">
        <v>202</v>
      </c>
      <c r="B21" s="95" t="s">
        <v>189</v>
      </c>
      <c r="C21" s="212">
        <v>700</v>
      </c>
      <c r="D21" s="212">
        <v>231</v>
      </c>
      <c r="E21" s="212">
        <v>179</v>
      </c>
      <c r="F21" s="212">
        <v>0</v>
      </c>
      <c r="G21" s="212">
        <v>1</v>
      </c>
      <c r="H21" s="212">
        <v>0</v>
      </c>
      <c r="I21" s="212">
        <v>2417</v>
      </c>
      <c r="J21" s="212">
        <v>6159</v>
      </c>
      <c r="K21" s="212">
        <v>515</v>
      </c>
      <c r="L21" s="212">
        <v>0</v>
      </c>
      <c r="M21" s="212">
        <v>0</v>
      </c>
      <c r="N21" s="212">
        <v>0</v>
      </c>
      <c r="O21" s="212">
        <v>2</v>
      </c>
      <c r="P21" s="212">
        <v>1110</v>
      </c>
      <c r="Q21" s="212">
        <v>265</v>
      </c>
      <c r="R21" s="212">
        <v>25</v>
      </c>
      <c r="S21" s="212">
        <v>0</v>
      </c>
      <c r="T21" s="212">
        <v>252</v>
      </c>
      <c r="U21" s="212">
        <v>1900</v>
      </c>
      <c r="V21" s="212">
        <v>22</v>
      </c>
      <c r="W21" s="212">
        <v>6</v>
      </c>
      <c r="X21" s="213">
        <v>13783</v>
      </c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</row>
    <row r="22" spans="1:47" x14ac:dyDescent="0.3">
      <c r="A22" s="305"/>
      <c r="B22" s="168" t="s">
        <v>846</v>
      </c>
      <c r="C22" s="226">
        <v>206</v>
      </c>
      <c r="D22" s="226">
        <v>36</v>
      </c>
      <c r="E22" s="226">
        <v>0</v>
      </c>
      <c r="F22" s="226">
        <v>0</v>
      </c>
      <c r="G22" s="226">
        <v>0</v>
      </c>
      <c r="H22" s="226">
        <v>0</v>
      </c>
      <c r="I22" s="226">
        <v>7</v>
      </c>
      <c r="J22" s="226">
        <v>59</v>
      </c>
      <c r="K22" s="226">
        <v>4</v>
      </c>
      <c r="L22" s="226">
        <v>0</v>
      </c>
      <c r="M22" s="226">
        <v>0</v>
      </c>
      <c r="N22" s="226">
        <v>0</v>
      </c>
      <c r="O22" s="226">
        <v>0</v>
      </c>
      <c r="P22" s="226">
        <v>5</v>
      </c>
      <c r="Q22" s="226">
        <v>120</v>
      </c>
      <c r="R22" s="226">
        <v>27</v>
      </c>
      <c r="S22" s="226">
        <v>0</v>
      </c>
      <c r="T22" s="226">
        <v>327</v>
      </c>
      <c r="U22" s="226">
        <v>63</v>
      </c>
      <c r="V22" s="226">
        <v>0</v>
      </c>
      <c r="W22" s="226">
        <v>0</v>
      </c>
      <c r="X22" s="227">
        <v>855</v>
      </c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</row>
    <row r="23" spans="1:47" x14ac:dyDescent="0.3">
      <c r="A23" s="305"/>
      <c r="B23" s="95" t="s">
        <v>191</v>
      </c>
      <c r="C23" s="212">
        <v>114</v>
      </c>
      <c r="D23" s="212">
        <v>27</v>
      </c>
      <c r="E23" s="212">
        <v>0</v>
      </c>
      <c r="F23" s="212">
        <v>0</v>
      </c>
      <c r="G23" s="212">
        <v>0</v>
      </c>
      <c r="H23" s="212">
        <v>0</v>
      </c>
      <c r="I23" s="212">
        <v>0</v>
      </c>
      <c r="J23" s="212">
        <v>1</v>
      </c>
      <c r="K23" s="212">
        <v>39</v>
      </c>
      <c r="L23" s="212">
        <v>0</v>
      </c>
      <c r="M23" s="212">
        <v>0</v>
      </c>
      <c r="N23" s="212">
        <v>10</v>
      </c>
      <c r="O23" s="212">
        <v>0</v>
      </c>
      <c r="P23" s="212">
        <v>2</v>
      </c>
      <c r="Q23" s="212">
        <v>651</v>
      </c>
      <c r="R23" s="212">
        <v>3</v>
      </c>
      <c r="S23" s="212">
        <v>0</v>
      </c>
      <c r="T23" s="212">
        <v>412</v>
      </c>
      <c r="U23" s="212">
        <v>2</v>
      </c>
      <c r="V23" s="212">
        <v>0</v>
      </c>
      <c r="W23" s="212">
        <v>1</v>
      </c>
      <c r="X23" s="213">
        <v>1263</v>
      </c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</row>
    <row r="24" spans="1:47" x14ac:dyDescent="0.3">
      <c r="A24" s="305"/>
      <c r="B24" s="95" t="s">
        <v>192</v>
      </c>
      <c r="C24" s="212">
        <v>25</v>
      </c>
      <c r="D24" s="212">
        <v>7</v>
      </c>
      <c r="E24" s="212">
        <v>0</v>
      </c>
      <c r="F24" s="212">
        <v>0</v>
      </c>
      <c r="G24" s="212">
        <v>2</v>
      </c>
      <c r="H24" s="212">
        <v>0</v>
      </c>
      <c r="I24" s="212">
        <v>0</v>
      </c>
      <c r="J24" s="212">
        <v>1</v>
      </c>
      <c r="K24" s="212">
        <v>13</v>
      </c>
      <c r="L24" s="212">
        <v>2</v>
      </c>
      <c r="M24" s="212">
        <v>0</v>
      </c>
      <c r="N24" s="212">
        <v>0</v>
      </c>
      <c r="O24" s="212">
        <v>0</v>
      </c>
      <c r="P24" s="212">
        <v>73</v>
      </c>
      <c r="Q24" s="212">
        <v>24</v>
      </c>
      <c r="R24" s="212">
        <v>1</v>
      </c>
      <c r="S24" s="212">
        <v>0</v>
      </c>
      <c r="T24" s="212">
        <v>76</v>
      </c>
      <c r="U24" s="212">
        <v>0</v>
      </c>
      <c r="V24" s="212">
        <v>0</v>
      </c>
      <c r="W24" s="212">
        <v>3</v>
      </c>
      <c r="X24" s="213">
        <v>225</v>
      </c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</row>
    <row r="25" spans="1:47" x14ac:dyDescent="0.3">
      <c r="A25" s="305"/>
      <c r="B25" s="95" t="s">
        <v>193</v>
      </c>
      <c r="C25" s="212">
        <v>1970</v>
      </c>
      <c r="D25" s="212">
        <v>221</v>
      </c>
      <c r="E25" s="212">
        <v>0</v>
      </c>
      <c r="F25" s="212">
        <v>0</v>
      </c>
      <c r="G25" s="212">
        <v>38</v>
      </c>
      <c r="H25" s="212">
        <v>0</v>
      </c>
      <c r="I25" s="212">
        <v>0</v>
      </c>
      <c r="J25" s="212">
        <v>25</v>
      </c>
      <c r="K25" s="212">
        <v>62</v>
      </c>
      <c r="L25" s="212">
        <v>0</v>
      </c>
      <c r="M25" s="212">
        <v>0</v>
      </c>
      <c r="N25" s="212">
        <v>0</v>
      </c>
      <c r="O25" s="212">
        <v>23</v>
      </c>
      <c r="P25" s="212">
        <v>10</v>
      </c>
      <c r="Q25" s="212">
        <v>3472</v>
      </c>
      <c r="R25" s="212">
        <v>7</v>
      </c>
      <c r="S25" s="212">
        <v>0</v>
      </c>
      <c r="T25" s="212">
        <v>1124</v>
      </c>
      <c r="U25" s="212">
        <v>77</v>
      </c>
      <c r="V25" s="212">
        <v>38</v>
      </c>
      <c r="W25" s="212">
        <v>10</v>
      </c>
      <c r="X25" s="213">
        <v>7079</v>
      </c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</row>
    <row r="26" spans="1:47" x14ac:dyDescent="0.3">
      <c r="A26" s="305"/>
      <c r="B26" s="95" t="s">
        <v>194</v>
      </c>
      <c r="C26" s="212">
        <v>1193</v>
      </c>
      <c r="D26" s="212">
        <v>189</v>
      </c>
      <c r="E26" s="212">
        <v>0</v>
      </c>
      <c r="F26" s="212">
        <v>0</v>
      </c>
      <c r="G26" s="212">
        <v>0</v>
      </c>
      <c r="H26" s="212">
        <v>0</v>
      </c>
      <c r="I26" s="212">
        <v>4</v>
      </c>
      <c r="J26" s="212">
        <v>11</v>
      </c>
      <c r="K26" s="212">
        <v>752</v>
      </c>
      <c r="L26" s="212">
        <v>0</v>
      </c>
      <c r="M26" s="212">
        <v>0</v>
      </c>
      <c r="N26" s="212">
        <v>20</v>
      </c>
      <c r="O26" s="212">
        <v>497</v>
      </c>
      <c r="P26" s="212">
        <v>2</v>
      </c>
      <c r="Q26" s="212">
        <v>832</v>
      </c>
      <c r="R26" s="212">
        <v>64</v>
      </c>
      <c r="S26" s="212">
        <v>0</v>
      </c>
      <c r="T26" s="212">
        <v>400</v>
      </c>
      <c r="U26" s="212">
        <v>72</v>
      </c>
      <c r="V26" s="212">
        <v>1</v>
      </c>
      <c r="W26" s="212">
        <v>3</v>
      </c>
      <c r="X26" s="213">
        <v>4041</v>
      </c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</row>
    <row r="27" spans="1:47" x14ac:dyDescent="0.3">
      <c r="A27" s="305"/>
      <c r="B27" s="95" t="s">
        <v>195</v>
      </c>
      <c r="C27" s="212">
        <v>708</v>
      </c>
      <c r="D27" s="212">
        <v>61</v>
      </c>
      <c r="E27" s="212">
        <v>0</v>
      </c>
      <c r="F27" s="212">
        <v>25</v>
      </c>
      <c r="G27" s="212">
        <v>13</v>
      </c>
      <c r="H27" s="212">
        <v>0</v>
      </c>
      <c r="I27" s="212">
        <v>0</v>
      </c>
      <c r="J27" s="212">
        <v>1</v>
      </c>
      <c r="K27" s="212">
        <v>11</v>
      </c>
      <c r="L27" s="212">
        <v>2</v>
      </c>
      <c r="M27" s="212">
        <v>0</v>
      </c>
      <c r="N27" s="212">
        <v>0</v>
      </c>
      <c r="O27" s="212">
        <v>4</v>
      </c>
      <c r="P27" s="212">
        <v>0</v>
      </c>
      <c r="Q27" s="212">
        <v>2247</v>
      </c>
      <c r="R27" s="212">
        <v>0</v>
      </c>
      <c r="S27" s="212">
        <v>0</v>
      </c>
      <c r="T27" s="212">
        <v>652</v>
      </c>
      <c r="U27" s="212">
        <v>3</v>
      </c>
      <c r="V27" s="212">
        <v>3</v>
      </c>
      <c r="W27" s="212">
        <v>7</v>
      </c>
      <c r="X27" s="213">
        <v>3737</v>
      </c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</row>
    <row r="28" spans="1:47" x14ac:dyDescent="0.3">
      <c r="A28" s="305"/>
      <c r="B28" s="95" t="s">
        <v>196</v>
      </c>
      <c r="C28" s="212">
        <v>5668</v>
      </c>
      <c r="D28" s="212">
        <v>370</v>
      </c>
      <c r="E28" s="212">
        <v>0</v>
      </c>
      <c r="F28" s="212">
        <v>0</v>
      </c>
      <c r="G28" s="212">
        <v>43</v>
      </c>
      <c r="H28" s="212">
        <v>0</v>
      </c>
      <c r="I28" s="212">
        <v>7</v>
      </c>
      <c r="J28" s="212">
        <v>3</v>
      </c>
      <c r="K28" s="212">
        <v>118</v>
      </c>
      <c r="L28" s="212">
        <v>0</v>
      </c>
      <c r="M28" s="212">
        <v>10</v>
      </c>
      <c r="N28" s="212">
        <v>39</v>
      </c>
      <c r="O28" s="212">
        <v>8</v>
      </c>
      <c r="P28" s="212">
        <v>9</v>
      </c>
      <c r="Q28" s="212">
        <v>4917</v>
      </c>
      <c r="R28" s="212">
        <v>2</v>
      </c>
      <c r="S28" s="212">
        <v>1</v>
      </c>
      <c r="T28" s="212">
        <v>1313</v>
      </c>
      <c r="U28" s="212">
        <v>35</v>
      </c>
      <c r="V28" s="212">
        <v>0</v>
      </c>
      <c r="W28" s="212">
        <v>50</v>
      </c>
      <c r="X28" s="213">
        <v>12594</v>
      </c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</row>
    <row r="29" spans="1:47" x14ac:dyDescent="0.3">
      <c r="A29" s="305"/>
      <c r="B29" s="95" t="s">
        <v>847</v>
      </c>
      <c r="C29" s="212">
        <v>1611</v>
      </c>
      <c r="D29" s="212">
        <v>142</v>
      </c>
      <c r="E29" s="212">
        <v>0</v>
      </c>
      <c r="F29" s="212">
        <v>17</v>
      </c>
      <c r="G29" s="212">
        <v>2</v>
      </c>
      <c r="H29" s="212">
        <v>0</v>
      </c>
      <c r="I29" s="212">
        <v>0</v>
      </c>
      <c r="J29" s="212">
        <v>1</v>
      </c>
      <c r="K29" s="212">
        <v>1139</v>
      </c>
      <c r="L29" s="212">
        <v>0</v>
      </c>
      <c r="M29" s="212">
        <v>0</v>
      </c>
      <c r="N29" s="212">
        <v>3</v>
      </c>
      <c r="O29" s="212">
        <v>337</v>
      </c>
      <c r="P29" s="212">
        <v>1</v>
      </c>
      <c r="Q29" s="212">
        <v>1821</v>
      </c>
      <c r="R29" s="212">
        <v>63</v>
      </c>
      <c r="S29" s="212">
        <v>0</v>
      </c>
      <c r="T29" s="212">
        <v>1013</v>
      </c>
      <c r="U29" s="212">
        <v>5</v>
      </c>
      <c r="V29" s="212">
        <v>2</v>
      </c>
      <c r="W29" s="212">
        <v>14</v>
      </c>
      <c r="X29" s="213">
        <v>6172</v>
      </c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</row>
    <row r="30" spans="1:47" x14ac:dyDescent="0.3">
      <c r="A30" s="305"/>
      <c r="B30" s="168" t="s">
        <v>848</v>
      </c>
      <c r="C30" s="226">
        <v>1615</v>
      </c>
      <c r="D30" s="226">
        <v>180</v>
      </c>
      <c r="E30" s="226">
        <v>0</v>
      </c>
      <c r="F30" s="226">
        <v>0</v>
      </c>
      <c r="G30" s="226">
        <v>218</v>
      </c>
      <c r="H30" s="226">
        <v>3</v>
      </c>
      <c r="I30" s="226">
        <v>11</v>
      </c>
      <c r="J30" s="226">
        <v>25</v>
      </c>
      <c r="K30" s="226">
        <v>173</v>
      </c>
      <c r="L30" s="226">
        <v>2</v>
      </c>
      <c r="M30" s="226">
        <v>3</v>
      </c>
      <c r="N30" s="226">
        <v>25</v>
      </c>
      <c r="O30" s="226">
        <v>5</v>
      </c>
      <c r="P30" s="226">
        <v>9</v>
      </c>
      <c r="Q30" s="226">
        <v>6874</v>
      </c>
      <c r="R30" s="226">
        <v>1</v>
      </c>
      <c r="S30" s="226">
        <v>1</v>
      </c>
      <c r="T30" s="226">
        <v>2281</v>
      </c>
      <c r="U30" s="226">
        <v>117</v>
      </c>
      <c r="V30" s="226">
        <v>6</v>
      </c>
      <c r="W30" s="226">
        <v>28</v>
      </c>
      <c r="X30" s="227">
        <v>11575</v>
      </c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</row>
    <row r="31" spans="1:47" x14ac:dyDescent="0.3">
      <c r="A31" s="305"/>
      <c r="B31" s="168" t="s">
        <v>849</v>
      </c>
      <c r="C31" s="226">
        <v>1047</v>
      </c>
      <c r="D31" s="226">
        <v>134</v>
      </c>
      <c r="E31" s="226">
        <v>0</v>
      </c>
      <c r="F31" s="226">
        <v>6</v>
      </c>
      <c r="G31" s="226">
        <v>407</v>
      </c>
      <c r="H31" s="226">
        <v>0</v>
      </c>
      <c r="I31" s="226">
        <v>0</v>
      </c>
      <c r="J31" s="226">
        <v>1</v>
      </c>
      <c r="K31" s="226">
        <v>57</v>
      </c>
      <c r="L31" s="226">
        <v>0</v>
      </c>
      <c r="M31" s="226">
        <v>0</v>
      </c>
      <c r="N31" s="226">
        <v>83</v>
      </c>
      <c r="O31" s="226">
        <v>2</v>
      </c>
      <c r="P31" s="226">
        <v>2</v>
      </c>
      <c r="Q31" s="226">
        <v>6954</v>
      </c>
      <c r="R31" s="226">
        <v>0</v>
      </c>
      <c r="S31" s="226">
        <v>0</v>
      </c>
      <c r="T31" s="226">
        <v>1120</v>
      </c>
      <c r="U31" s="226">
        <v>320</v>
      </c>
      <c r="V31" s="226">
        <v>5</v>
      </c>
      <c r="W31" s="226">
        <v>12</v>
      </c>
      <c r="X31" s="227">
        <v>10151</v>
      </c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</row>
    <row r="32" spans="1:47" x14ac:dyDescent="0.3">
      <c r="A32" s="305"/>
      <c r="B32" s="95" t="s">
        <v>199</v>
      </c>
      <c r="C32" s="212">
        <v>137</v>
      </c>
      <c r="D32" s="212">
        <v>10</v>
      </c>
      <c r="E32" s="212">
        <v>0</v>
      </c>
      <c r="F32" s="212">
        <v>0</v>
      </c>
      <c r="G32" s="212">
        <v>80</v>
      </c>
      <c r="H32" s="212">
        <v>0</v>
      </c>
      <c r="I32" s="212">
        <v>0</v>
      </c>
      <c r="J32" s="212">
        <v>0</v>
      </c>
      <c r="K32" s="212">
        <v>6</v>
      </c>
      <c r="L32" s="212">
        <v>0</v>
      </c>
      <c r="M32" s="212">
        <v>0</v>
      </c>
      <c r="N32" s="212">
        <v>0</v>
      </c>
      <c r="O32" s="212">
        <v>0</v>
      </c>
      <c r="P32" s="212">
        <v>1</v>
      </c>
      <c r="Q32" s="212">
        <v>854</v>
      </c>
      <c r="R32" s="212">
        <v>0</v>
      </c>
      <c r="S32" s="212">
        <v>0</v>
      </c>
      <c r="T32" s="212">
        <v>37</v>
      </c>
      <c r="U32" s="212">
        <v>0</v>
      </c>
      <c r="V32" s="212">
        <v>22</v>
      </c>
      <c r="W32" s="212">
        <v>6</v>
      </c>
      <c r="X32" s="213">
        <v>1153</v>
      </c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</row>
    <row r="33" spans="1:47" x14ac:dyDescent="0.3">
      <c r="A33" s="305"/>
      <c r="B33" s="95" t="s">
        <v>850</v>
      </c>
      <c r="C33" s="212">
        <v>307</v>
      </c>
      <c r="D33" s="212">
        <v>48</v>
      </c>
      <c r="E33" s="212">
        <v>0</v>
      </c>
      <c r="F33" s="212">
        <v>0</v>
      </c>
      <c r="G33" s="212">
        <v>25</v>
      </c>
      <c r="H33" s="212">
        <v>0</v>
      </c>
      <c r="I33" s="212">
        <v>2</v>
      </c>
      <c r="J33" s="212">
        <v>14</v>
      </c>
      <c r="K33" s="212">
        <v>1</v>
      </c>
      <c r="L33" s="212">
        <v>0</v>
      </c>
      <c r="M33" s="212">
        <v>0</v>
      </c>
      <c r="N33" s="212">
        <v>0</v>
      </c>
      <c r="O33" s="212">
        <v>0</v>
      </c>
      <c r="P33" s="212">
        <v>5</v>
      </c>
      <c r="Q33" s="212">
        <v>322</v>
      </c>
      <c r="R33" s="212">
        <v>0</v>
      </c>
      <c r="S33" s="212">
        <v>0</v>
      </c>
      <c r="T33" s="212">
        <v>95</v>
      </c>
      <c r="U33" s="212">
        <v>9</v>
      </c>
      <c r="V33" s="212">
        <v>44</v>
      </c>
      <c r="W33" s="212">
        <v>3</v>
      </c>
      <c r="X33" s="213">
        <v>874</v>
      </c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</row>
    <row r="34" spans="1:47" x14ac:dyDescent="0.3">
      <c r="A34" s="305"/>
      <c r="B34" s="95" t="s">
        <v>178</v>
      </c>
      <c r="C34" s="212">
        <v>741</v>
      </c>
      <c r="D34" s="212">
        <v>161</v>
      </c>
      <c r="E34" s="212">
        <v>0</v>
      </c>
      <c r="F34" s="212">
        <v>0</v>
      </c>
      <c r="G34" s="212">
        <v>977</v>
      </c>
      <c r="H34" s="212">
        <v>0</v>
      </c>
      <c r="I34" s="212">
        <v>0</v>
      </c>
      <c r="J34" s="212">
        <v>0</v>
      </c>
      <c r="K34" s="212">
        <v>10</v>
      </c>
      <c r="L34" s="212">
        <v>0</v>
      </c>
      <c r="M34" s="212">
        <v>0</v>
      </c>
      <c r="N34" s="212">
        <v>0</v>
      </c>
      <c r="O34" s="212">
        <v>3</v>
      </c>
      <c r="P34" s="212">
        <v>8</v>
      </c>
      <c r="Q34" s="212">
        <v>559</v>
      </c>
      <c r="R34" s="212">
        <v>0</v>
      </c>
      <c r="S34" s="212">
        <v>0</v>
      </c>
      <c r="T34" s="212">
        <v>245</v>
      </c>
      <c r="U34" s="212">
        <v>125</v>
      </c>
      <c r="V34" s="212">
        <v>26</v>
      </c>
      <c r="W34" s="212">
        <v>22</v>
      </c>
      <c r="X34" s="213">
        <v>2878</v>
      </c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</row>
    <row r="35" spans="1:47" x14ac:dyDescent="0.3">
      <c r="A35" s="305"/>
      <c r="B35" s="95" t="s">
        <v>200</v>
      </c>
      <c r="C35" s="212">
        <v>1696</v>
      </c>
      <c r="D35" s="212">
        <v>70</v>
      </c>
      <c r="E35" s="212">
        <v>4</v>
      </c>
      <c r="F35" s="212">
        <v>0</v>
      </c>
      <c r="G35" s="212">
        <v>10</v>
      </c>
      <c r="H35" s="212">
        <v>0</v>
      </c>
      <c r="I35" s="212">
        <v>0</v>
      </c>
      <c r="J35" s="212">
        <v>5</v>
      </c>
      <c r="K35" s="212">
        <v>16</v>
      </c>
      <c r="L35" s="212">
        <v>0</v>
      </c>
      <c r="M35" s="212">
        <v>266</v>
      </c>
      <c r="N35" s="212">
        <v>0</v>
      </c>
      <c r="O35" s="212">
        <v>12</v>
      </c>
      <c r="P35" s="212">
        <v>1</v>
      </c>
      <c r="Q35" s="212">
        <v>225</v>
      </c>
      <c r="R35" s="212">
        <v>4</v>
      </c>
      <c r="S35" s="212">
        <v>0</v>
      </c>
      <c r="T35" s="212">
        <v>868</v>
      </c>
      <c r="U35" s="212">
        <v>47</v>
      </c>
      <c r="V35" s="212">
        <v>1</v>
      </c>
      <c r="W35" s="212">
        <v>16</v>
      </c>
      <c r="X35" s="213">
        <v>3241</v>
      </c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</row>
    <row r="36" spans="1:47" x14ac:dyDescent="0.3">
      <c r="A36" s="305"/>
      <c r="B36" s="95" t="s">
        <v>201</v>
      </c>
      <c r="C36" s="212">
        <v>4560</v>
      </c>
      <c r="D36" s="212">
        <v>558</v>
      </c>
      <c r="E36" s="212">
        <v>3</v>
      </c>
      <c r="F36" s="212">
        <v>24</v>
      </c>
      <c r="G36" s="212">
        <v>131</v>
      </c>
      <c r="H36" s="212">
        <v>37</v>
      </c>
      <c r="I36" s="212">
        <v>1</v>
      </c>
      <c r="J36" s="212">
        <v>74</v>
      </c>
      <c r="K36" s="212">
        <v>303</v>
      </c>
      <c r="L36" s="212">
        <v>16</v>
      </c>
      <c r="M36" s="212">
        <v>143</v>
      </c>
      <c r="N36" s="212">
        <v>11</v>
      </c>
      <c r="O36" s="212">
        <v>218</v>
      </c>
      <c r="P36" s="212">
        <v>25</v>
      </c>
      <c r="Q36" s="212">
        <v>1260</v>
      </c>
      <c r="R36" s="212">
        <v>31</v>
      </c>
      <c r="S36" s="212">
        <v>5</v>
      </c>
      <c r="T36" s="212">
        <v>1129</v>
      </c>
      <c r="U36" s="212">
        <v>709</v>
      </c>
      <c r="V36" s="212">
        <v>66</v>
      </c>
      <c r="W36" s="212">
        <v>130</v>
      </c>
      <c r="X36" s="213">
        <v>9435</v>
      </c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</row>
    <row r="37" spans="1:47" x14ac:dyDescent="0.3">
      <c r="A37" s="305"/>
      <c r="B37" s="95" t="s">
        <v>179</v>
      </c>
      <c r="C37" s="212">
        <v>190</v>
      </c>
      <c r="D37" s="212">
        <v>107</v>
      </c>
      <c r="E37" s="212">
        <v>19</v>
      </c>
      <c r="F37" s="212">
        <v>0</v>
      </c>
      <c r="G37" s="212">
        <v>7</v>
      </c>
      <c r="H37" s="212">
        <v>0</v>
      </c>
      <c r="I37" s="212">
        <v>0</v>
      </c>
      <c r="J37" s="212">
        <v>1</v>
      </c>
      <c r="K37" s="212">
        <v>6</v>
      </c>
      <c r="L37" s="212">
        <v>1</v>
      </c>
      <c r="M37" s="212">
        <v>31</v>
      </c>
      <c r="N37" s="212">
        <v>0</v>
      </c>
      <c r="O37" s="212">
        <v>7</v>
      </c>
      <c r="P37" s="212">
        <v>2</v>
      </c>
      <c r="Q37" s="212">
        <v>206</v>
      </c>
      <c r="R37" s="212">
        <v>0</v>
      </c>
      <c r="S37" s="212">
        <v>0</v>
      </c>
      <c r="T37" s="212">
        <v>147</v>
      </c>
      <c r="U37" s="212">
        <v>4</v>
      </c>
      <c r="V37" s="212">
        <v>0</v>
      </c>
      <c r="W37" s="212">
        <v>1</v>
      </c>
      <c r="X37" s="213">
        <v>729</v>
      </c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</row>
    <row r="38" spans="1:47" x14ac:dyDescent="0.3">
      <c r="A38" s="305"/>
      <c r="B38" s="95" t="s">
        <v>180</v>
      </c>
      <c r="C38" s="212">
        <v>762</v>
      </c>
      <c r="D38" s="212">
        <v>116</v>
      </c>
      <c r="E38" s="212">
        <v>286</v>
      </c>
      <c r="F38" s="212">
        <v>0</v>
      </c>
      <c r="G38" s="212">
        <v>0</v>
      </c>
      <c r="H38" s="212">
        <v>0</v>
      </c>
      <c r="I38" s="212">
        <v>0</v>
      </c>
      <c r="J38" s="212">
        <v>8</v>
      </c>
      <c r="K38" s="212">
        <v>275</v>
      </c>
      <c r="L38" s="212">
        <v>0</v>
      </c>
      <c r="M38" s="212">
        <v>17</v>
      </c>
      <c r="N38" s="212">
        <v>0</v>
      </c>
      <c r="O38" s="212">
        <v>921</v>
      </c>
      <c r="P38" s="212">
        <v>4</v>
      </c>
      <c r="Q38" s="212">
        <v>347</v>
      </c>
      <c r="R38" s="212">
        <v>51</v>
      </c>
      <c r="S38" s="212">
        <v>0</v>
      </c>
      <c r="T38" s="212">
        <v>216</v>
      </c>
      <c r="U38" s="212">
        <v>30</v>
      </c>
      <c r="V38" s="212">
        <v>11</v>
      </c>
      <c r="W38" s="212">
        <v>23</v>
      </c>
      <c r="X38" s="213">
        <v>3066</v>
      </c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</row>
    <row r="39" spans="1:47" x14ac:dyDescent="0.3">
      <c r="A39" s="305"/>
      <c r="B39" s="95" t="s">
        <v>851</v>
      </c>
      <c r="C39" s="212">
        <v>82</v>
      </c>
      <c r="D39" s="212">
        <v>79</v>
      </c>
      <c r="E39" s="212">
        <v>0</v>
      </c>
      <c r="F39" s="212">
        <v>0</v>
      </c>
      <c r="G39" s="212">
        <v>21</v>
      </c>
      <c r="H39" s="212">
        <v>0</v>
      </c>
      <c r="I39" s="212">
        <v>0</v>
      </c>
      <c r="J39" s="212">
        <v>0</v>
      </c>
      <c r="K39" s="212">
        <v>5</v>
      </c>
      <c r="L39" s="212">
        <v>5</v>
      </c>
      <c r="M39" s="212">
        <v>248</v>
      </c>
      <c r="N39" s="212">
        <v>0</v>
      </c>
      <c r="O39" s="212">
        <v>2</v>
      </c>
      <c r="P39" s="212">
        <v>0</v>
      </c>
      <c r="Q39" s="212">
        <v>45</v>
      </c>
      <c r="R39" s="212">
        <v>0</v>
      </c>
      <c r="S39" s="212">
        <v>0</v>
      </c>
      <c r="T39" s="212">
        <v>100</v>
      </c>
      <c r="U39" s="212">
        <v>6</v>
      </c>
      <c r="V39" s="212">
        <v>0</v>
      </c>
      <c r="W39" s="212">
        <v>0</v>
      </c>
      <c r="X39" s="213">
        <v>592</v>
      </c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</row>
    <row r="40" spans="1:47" x14ac:dyDescent="0.3">
      <c r="A40" s="305"/>
      <c r="B40" s="95" t="s">
        <v>181</v>
      </c>
      <c r="C40" s="212">
        <v>2453</v>
      </c>
      <c r="D40" s="212">
        <v>257</v>
      </c>
      <c r="E40" s="212">
        <v>0</v>
      </c>
      <c r="F40" s="212">
        <v>3</v>
      </c>
      <c r="G40" s="212">
        <v>67</v>
      </c>
      <c r="H40" s="212">
        <v>2</v>
      </c>
      <c r="I40" s="212">
        <v>15</v>
      </c>
      <c r="J40" s="212">
        <v>70</v>
      </c>
      <c r="K40" s="212">
        <v>78</v>
      </c>
      <c r="L40" s="212">
        <v>5</v>
      </c>
      <c r="M40" s="212">
        <v>31</v>
      </c>
      <c r="N40" s="212">
        <v>0</v>
      </c>
      <c r="O40" s="212">
        <v>41</v>
      </c>
      <c r="P40" s="212">
        <v>5</v>
      </c>
      <c r="Q40" s="212">
        <v>5904</v>
      </c>
      <c r="R40" s="212">
        <v>19</v>
      </c>
      <c r="S40" s="212">
        <v>6</v>
      </c>
      <c r="T40" s="212">
        <v>994</v>
      </c>
      <c r="U40" s="212">
        <v>304</v>
      </c>
      <c r="V40" s="212">
        <v>26</v>
      </c>
      <c r="W40" s="212">
        <v>30</v>
      </c>
      <c r="X40" s="213">
        <v>10308</v>
      </c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</row>
    <row r="41" spans="1:47" x14ac:dyDescent="0.3">
      <c r="A41" s="306"/>
      <c r="B41" s="95" t="s">
        <v>110</v>
      </c>
      <c r="C41" s="212">
        <v>25786</v>
      </c>
      <c r="D41" s="212">
        <v>3004</v>
      </c>
      <c r="E41" s="212">
        <v>490</v>
      </c>
      <c r="F41" s="212">
        <v>75</v>
      </c>
      <c r="G41" s="212">
        <v>2044</v>
      </c>
      <c r="H41" s="212">
        <v>41</v>
      </c>
      <c r="I41" s="212">
        <v>2465</v>
      </c>
      <c r="J41" s="212">
        <v>6458</v>
      </c>
      <c r="K41" s="212">
        <v>3582</v>
      </c>
      <c r="L41" s="212">
        <v>32</v>
      </c>
      <c r="M41" s="212">
        <v>749</v>
      </c>
      <c r="N41" s="212">
        <v>190</v>
      </c>
      <c r="O41" s="212">
        <v>2082</v>
      </c>
      <c r="P41" s="212">
        <v>1276</v>
      </c>
      <c r="Q41" s="212">
        <v>37897</v>
      </c>
      <c r="R41" s="212">
        <v>298</v>
      </c>
      <c r="S41" s="212">
        <v>14</v>
      </c>
      <c r="T41" s="212">
        <v>12801</v>
      </c>
      <c r="U41" s="212">
        <v>3829</v>
      </c>
      <c r="V41" s="212">
        <v>272</v>
      </c>
      <c r="W41" s="212">
        <v>364</v>
      </c>
      <c r="X41" s="213">
        <v>103751</v>
      </c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</row>
    <row r="42" spans="1:47" x14ac:dyDescent="0.3">
      <c r="A42" s="321" t="s">
        <v>86</v>
      </c>
      <c r="B42" s="322"/>
      <c r="C42" s="214">
        <v>94145</v>
      </c>
      <c r="D42" s="214">
        <v>28199</v>
      </c>
      <c r="E42" s="214">
        <v>5439</v>
      </c>
      <c r="F42" s="214">
        <v>806</v>
      </c>
      <c r="G42" s="214">
        <v>6032</v>
      </c>
      <c r="H42" s="214">
        <v>1224</v>
      </c>
      <c r="I42" s="214">
        <v>2535</v>
      </c>
      <c r="J42" s="214">
        <v>8777</v>
      </c>
      <c r="K42" s="214">
        <v>9360</v>
      </c>
      <c r="L42" s="214">
        <v>678</v>
      </c>
      <c r="M42" s="214">
        <v>1291</v>
      </c>
      <c r="N42" s="214">
        <v>45992</v>
      </c>
      <c r="O42" s="214">
        <v>6140</v>
      </c>
      <c r="P42" s="214">
        <v>1625</v>
      </c>
      <c r="Q42" s="214">
        <v>54576</v>
      </c>
      <c r="R42" s="214">
        <v>1341</v>
      </c>
      <c r="S42" s="214">
        <v>979</v>
      </c>
      <c r="T42" s="214">
        <v>18224</v>
      </c>
      <c r="U42" s="214">
        <v>9212</v>
      </c>
      <c r="V42" s="214">
        <v>4232</v>
      </c>
      <c r="W42" s="214">
        <v>4923</v>
      </c>
      <c r="X42" s="215">
        <v>305731</v>
      </c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</row>
    <row r="44" spans="1:47" x14ac:dyDescent="0.3">
      <c r="A44" t="s">
        <v>852</v>
      </c>
    </row>
    <row r="45" spans="1:47" ht="18.75" x14ac:dyDescent="0.4">
      <c r="A45" s="292" t="s">
        <v>1350</v>
      </c>
    </row>
    <row r="47" spans="1:47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</row>
    <row r="48" spans="1:47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</row>
    <row r="49" spans="3:24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</row>
    <row r="50" spans="3:24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</row>
    <row r="51" spans="3:24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</row>
    <row r="52" spans="3:24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</row>
    <row r="53" spans="3:24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</row>
    <row r="54" spans="3:24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</row>
    <row r="55" spans="3:24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</row>
    <row r="56" spans="3:24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</row>
    <row r="57" spans="3:24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</row>
    <row r="58" spans="3:24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</row>
    <row r="59" spans="3:24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</row>
    <row r="60" spans="3:24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</row>
    <row r="61" spans="3:24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</row>
    <row r="62" spans="3:24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</row>
    <row r="63" spans="3:24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</row>
    <row r="64" spans="3:24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</row>
    <row r="65" spans="3:24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</row>
    <row r="66" spans="3:24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</row>
    <row r="67" spans="3:24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</row>
    <row r="68" spans="3:24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</row>
    <row r="69" spans="3:24" x14ac:dyDescent="0.3"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</row>
    <row r="70" spans="3:24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</row>
    <row r="71" spans="3:24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</row>
    <row r="72" spans="3:24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</row>
    <row r="73" spans="3:24" x14ac:dyDescent="0.3"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</row>
    <row r="74" spans="3:24" x14ac:dyDescent="0.3"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</row>
    <row r="75" spans="3:24" x14ac:dyDescent="0.3"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</row>
    <row r="76" spans="3:24" x14ac:dyDescent="0.3"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</row>
    <row r="77" spans="3:24" x14ac:dyDescent="0.3"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</row>
    <row r="78" spans="3:24" x14ac:dyDescent="0.3"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</row>
    <row r="79" spans="3:24" x14ac:dyDescent="0.3"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</row>
    <row r="80" spans="3:24" x14ac:dyDescent="0.3"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</row>
    <row r="81" spans="3:24" x14ac:dyDescent="0.3"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</row>
    <row r="82" spans="3:24" x14ac:dyDescent="0.3"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</row>
  </sheetData>
  <mergeCells count="27">
    <mergeCell ref="F4:F6"/>
    <mergeCell ref="U4:U6"/>
    <mergeCell ref="V4:V6"/>
    <mergeCell ref="W4:W6"/>
    <mergeCell ref="X4:X6"/>
    <mergeCell ref="M4:M6"/>
    <mergeCell ref="N4:N6"/>
    <mergeCell ref="O4:O6"/>
    <mergeCell ref="P4:P6"/>
    <mergeCell ref="Q4:Q6"/>
    <mergeCell ref="R4:R6"/>
    <mergeCell ref="A7:A20"/>
    <mergeCell ref="A21:A41"/>
    <mergeCell ref="A42:B42"/>
    <mergeCell ref="S4:S6"/>
    <mergeCell ref="T4:T6"/>
    <mergeCell ref="G4:G6"/>
    <mergeCell ref="H4:H6"/>
    <mergeCell ref="I4:I6"/>
    <mergeCell ref="J4:J6"/>
    <mergeCell ref="K4:K6"/>
    <mergeCell ref="L4:L6"/>
    <mergeCell ref="A4:A6"/>
    <mergeCell ref="B4:B6"/>
    <mergeCell ref="C4:C6"/>
    <mergeCell ref="D4:D6"/>
    <mergeCell ref="E4:E6"/>
  </mergeCells>
  <phoneticPr fontId="1" type="noConversion"/>
  <hyperlinks>
    <hyperlink ref="I1" location="목차!A1" display="목차" xr:uid="{565F1C45-25B7-4671-90B5-C0A0A7109628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BE3D-4B1F-4F18-A5C0-01237D86EB20}">
  <sheetPr>
    <tabColor theme="1" tint="0.499984740745262"/>
  </sheetPr>
  <dimension ref="A1:AT120"/>
  <sheetViews>
    <sheetView topLeftCell="A94" zoomScale="55" zoomScaleNormal="55" workbookViewId="0">
      <selection activeCell="A120" sqref="A120"/>
    </sheetView>
  </sheetViews>
  <sheetFormatPr defaultRowHeight="16.5" x14ac:dyDescent="0.3"/>
  <cols>
    <col min="2" max="2" width="21.25" customWidth="1"/>
    <col min="3" max="3" width="44.375" customWidth="1"/>
  </cols>
  <sheetData>
    <row r="1" spans="1:46" ht="17.25" x14ac:dyDescent="0.3">
      <c r="A1" s="7" t="s">
        <v>1206</v>
      </c>
      <c r="B1" s="2"/>
      <c r="C1" s="2"/>
      <c r="D1" s="2"/>
      <c r="E1" s="2"/>
      <c r="F1" s="2"/>
      <c r="G1" s="2"/>
      <c r="I1" s="72" t="s">
        <v>367</v>
      </c>
    </row>
    <row r="3" spans="1:46" x14ac:dyDescent="0.3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33" t="s">
        <v>843</v>
      </c>
    </row>
    <row r="4" spans="1:46" ht="49.5" customHeight="1" x14ac:dyDescent="0.3">
      <c r="A4" s="342" t="s">
        <v>496</v>
      </c>
      <c r="B4" s="341" t="s">
        <v>497</v>
      </c>
      <c r="C4" s="341" t="s">
        <v>853</v>
      </c>
      <c r="D4" s="341" t="s">
        <v>40</v>
      </c>
      <c r="E4" s="341" t="s">
        <v>41</v>
      </c>
      <c r="F4" s="341" t="s">
        <v>43</v>
      </c>
      <c r="G4" s="341" t="s">
        <v>44</v>
      </c>
      <c r="H4" s="341" t="s">
        <v>45</v>
      </c>
      <c r="I4" s="341" t="s">
        <v>47</v>
      </c>
      <c r="J4" s="341" t="s">
        <v>48</v>
      </c>
      <c r="K4" s="341" t="s">
        <v>49</v>
      </c>
      <c r="L4" s="341" t="s">
        <v>50</v>
      </c>
      <c r="M4" s="341" t="s">
        <v>51</v>
      </c>
      <c r="N4" s="341" t="s">
        <v>52</v>
      </c>
      <c r="O4" s="341" t="s">
        <v>55</v>
      </c>
      <c r="P4" s="341" t="s">
        <v>56</v>
      </c>
      <c r="Q4" s="341" t="s">
        <v>57</v>
      </c>
      <c r="R4" s="341" t="s">
        <v>59</v>
      </c>
      <c r="S4" s="341" t="s">
        <v>62</v>
      </c>
      <c r="T4" s="341" t="s">
        <v>63</v>
      </c>
      <c r="U4" s="341" t="s">
        <v>68</v>
      </c>
      <c r="V4" s="341" t="s">
        <v>71</v>
      </c>
      <c r="W4" s="341" t="s">
        <v>253</v>
      </c>
      <c r="X4" s="340" t="s">
        <v>86</v>
      </c>
    </row>
    <row r="5" spans="1:46" ht="16.5" customHeight="1" x14ac:dyDescent="0.3">
      <c r="A5" s="342"/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0"/>
    </row>
    <row r="6" spans="1:46" ht="16.5" customHeight="1" x14ac:dyDescent="0.3">
      <c r="A6" s="342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0"/>
    </row>
    <row r="7" spans="1:46" x14ac:dyDescent="0.3">
      <c r="A7" s="305" t="s">
        <v>854</v>
      </c>
      <c r="B7" s="323" t="s">
        <v>855</v>
      </c>
      <c r="C7" s="169" t="s">
        <v>856</v>
      </c>
      <c r="D7" s="169">
        <v>261</v>
      </c>
      <c r="E7" s="169">
        <v>1</v>
      </c>
      <c r="F7" s="169" t="s">
        <v>65</v>
      </c>
      <c r="G7" s="169" t="s">
        <v>65</v>
      </c>
      <c r="H7" s="169" t="s">
        <v>65</v>
      </c>
      <c r="I7" s="169" t="s">
        <v>65</v>
      </c>
      <c r="J7" s="169">
        <v>2</v>
      </c>
      <c r="K7" s="169" t="s">
        <v>65</v>
      </c>
      <c r="L7" s="79" t="s">
        <v>65</v>
      </c>
      <c r="M7" s="169" t="s">
        <v>65</v>
      </c>
      <c r="N7" s="169" t="s">
        <v>65</v>
      </c>
      <c r="O7" s="169" t="s">
        <v>65</v>
      </c>
      <c r="P7" s="169" t="s">
        <v>65</v>
      </c>
      <c r="Q7" s="169">
        <v>168</v>
      </c>
      <c r="R7" s="169">
        <v>1</v>
      </c>
      <c r="S7" s="169" t="s">
        <v>65</v>
      </c>
      <c r="T7" s="169">
        <v>254</v>
      </c>
      <c r="U7" s="169" t="s">
        <v>65</v>
      </c>
      <c r="V7" s="169" t="s">
        <v>65</v>
      </c>
      <c r="W7" s="169" t="s">
        <v>65</v>
      </c>
      <c r="X7" s="117">
        <v>687</v>
      </c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</row>
    <row r="8" spans="1:46" x14ac:dyDescent="0.3">
      <c r="A8" s="305"/>
      <c r="B8" s="323"/>
      <c r="C8" s="95" t="s">
        <v>857</v>
      </c>
      <c r="D8" s="96">
        <v>2358</v>
      </c>
      <c r="E8" s="95">
        <v>67</v>
      </c>
      <c r="F8" s="95" t="s">
        <v>65</v>
      </c>
      <c r="G8" s="95">
        <v>53</v>
      </c>
      <c r="H8" s="95" t="s">
        <v>65</v>
      </c>
      <c r="I8" s="95">
        <v>9</v>
      </c>
      <c r="J8" s="95" t="s">
        <v>65</v>
      </c>
      <c r="K8" s="95">
        <v>95</v>
      </c>
      <c r="L8" s="79" t="s">
        <v>65</v>
      </c>
      <c r="M8" s="95" t="s">
        <v>65</v>
      </c>
      <c r="N8" s="95">
        <v>58</v>
      </c>
      <c r="O8" s="95" t="s">
        <v>65</v>
      </c>
      <c r="P8" s="95" t="s">
        <v>65</v>
      </c>
      <c r="Q8" s="96">
        <v>2352</v>
      </c>
      <c r="R8" s="95" t="s">
        <v>65</v>
      </c>
      <c r="S8" s="95" t="s">
        <v>65</v>
      </c>
      <c r="T8" s="95">
        <v>269</v>
      </c>
      <c r="U8" s="95">
        <v>20</v>
      </c>
      <c r="V8" s="95" t="s">
        <v>65</v>
      </c>
      <c r="W8" s="95">
        <v>12</v>
      </c>
      <c r="X8" s="30">
        <v>5293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</row>
    <row r="9" spans="1:46" x14ac:dyDescent="0.3">
      <c r="A9" s="305"/>
      <c r="B9" s="323"/>
      <c r="C9" s="95" t="s">
        <v>858</v>
      </c>
      <c r="D9" s="95">
        <v>542</v>
      </c>
      <c r="E9" s="95">
        <v>33</v>
      </c>
      <c r="F9" s="95" t="s">
        <v>65</v>
      </c>
      <c r="G9" s="95" t="s">
        <v>65</v>
      </c>
      <c r="H9" s="95" t="s">
        <v>65</v>
      </c>
      <c r="I9" s="95" t="s">
        <v>65</v>
      </c>
      <c r="J9" s="95" t="s">
        <v>65</v>
      </c>
      <c r="K9" s="95">
        <v>14</v>
      </c>
      <c r="L9" s="79" t="s">
        <v>65</v>
      </c>
      <c r="M9" s="95" t="s">
        <v>65</v>
      </c>
      <c r="N9" s="95">
        <v>5</v>
      </c>
      <c r="O9" s="95" t="s">
        <v>65</v>
      </c>
      <c r="P9" s="95" t="s">
        <v>65</v>
      </c>
      <c r="Q9" s="96">
        <v>2518</v>
      </c>
      <c r="R9" s="95" t="s">
        <v>65</v>
      </c>
      <c r="S9" s="95" t="s">
        <v>65</v>
      </c>
      <c r="T9" s="95">
        <v>239</v>
      </c>
      <c r="U9" s="95" t="s">
        <v>65</v>
      </c>
      <c r="V9" s="95" t="s">
        <v>65</v>
      </c>
      <c r="W9" s="95" t="s">
        <v>65</v>
      </c>
      <c r="X9" s="30">
        <v>3350</v>
      </c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</row>
    <row r="10" spans="1:46" x14ac:dyDescent="0.3">
      <c r="A10" s="305"/>
      <c r="B10" s="323"/>
      <c r="C10" s="95" t="s">
        <v>859</v>
      </c>
      <c r="D10" s="95">
        <v>256</v>
      </c>
      <c r="E10" s="95">
        <v>8</v>
      </c>
      <c r="F10" s="95" t="s">
        <v>65</v>
      </c>
      <c r="G10" s="95" t="s">
        <v>65</v>
      </c>
      <c r="H10" s="95" t="s">
        <v>65</v>
      </c>
      <c r="I10" s="95" t="s">
        <v>65</v>
      </c>
      <c r="J10" s="95" t="s">
        <v>65</v>
      </c>
      <c r="K10" s="95" t="s">
        <v>65</v>
      </c>
      <c r="L10" s="79" t="s">
        <v>65</v>
      </c>
      <c r="M10" s="95" t="s">
        <v>65</v>
      </c>
      <c r="N10" s="95">
        <v>20</v>
      </c>
      <c r="O10" s="95" t="s">
        <v>65</v>
      </c>
      <c r="P10" s="95" t="s">
        <v>65</v>
      </c>
      <c r="Q10" s="95">
        <v>162</v>
      </c>
      <c r="R10" s="95" t="s">
        <v>65</v>
      </c>
      <c r="S10" s="95" t="s">
        <v>65</v>
      </c>
      <c r="T10" s="95">
        <v>16</v>
      </c>
      <c r="U10" s="95" t="s">
        <v>65</v>
      </c>
      <c r="V10" s="95" t="s">
        <v>65</v>
      </c>
      <c r="W10" s="95" t="s">
        <v>65</v>
      </c>
      <c r="X10" s="123">
        <v>461</v>
      </c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</row>
    <row r="11" spans="1:46" x14ac:dyDescent="0.3">
      <c r="A11" s="305"/>
      <c r="B11" s="308"/>
      <c r="C11" s="95" t="s">
        <v>860</v>
      </c>
      <c r="D11" s="95">
        <v>1002</v>
      </c>
      <c r="E11" s="95">
        <v>126</v>
      </c>
      <c r="F11" s="95" t="s">
        <v>65</v>
      </c>
      <c r="G11" s="95">
        <v>53</v>
      </c>
      <c r="H11" s="95" t="s">
        <v>65</v>
      </c>
      <c r="I11" s="95">
        <v>12</v>
      </c>
      <c r="J11" s="95" t="s">
        <v>65</v>
      </c>
      <c r="K11" s="95">
        <v>150</v>
      </c>
      <c r="L11" s="79" t="s">
        <v>65</v>
      </c>
      <c r="M11" s="95" t="s">
        <v>65</v>
      </c>
      <c r="N11" s="95">
        <v>55</v>
      </c>
      <c r="O11" s="95" t="s">
        <v>65</v>
      </c>
      <c r="P11" s="95">
        <v>1</v>
      </c>
      <c r="Q11" s="96">
        <v>1387</v>
      </c>
      <c r="R11" s="95">
        <v>4</v>
      </c>
      <c r="S11" s="95" t="s">
        <v>65</v>
      </c>
      <c r="T11" s="95">
        <v>454</v>
      </c>
      <c r="U11" s="95" t="s">
        <v>65</v>
      </c>
      <c r="V11" s="95">
        <v>1</v>
      </c>
      <c r="W11" s="95">
        <v>24</v>
      </c>
      <c r="X11" s="30">
        <v>3267</v>
      </c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</row>
    <row r="12" spans="1:46" x14ac:dyDescent="0.3">
      <c r="A12" s="305"/>
      <c r="B12" s="307" t="s">
        <v>861</v>
      </c>
      <c r="C12" s="95" t="s">
        <v>862</v>
      </c>
      <c r="D12" s="95">
        <v>288</v>
      </c>
      <c r="E12" s="95">
        <v>16</v>
      </c>
      <c r="F12" s="95" t="s">
        <v>65</v>
      </c>
      <c r="G12" s="95">
        <v>55</v>
      </c>
      <c r="H12" s="95" t="s">
        <v>65</v>
      </c>
      <c r="I12" s="95" t="s">
        <v>65</v>
      </c>
      <c r="J12" s="95">
        <v>4</v>
      </c>
      <c r="K12" s="95">
        <v>101</v>
      </c>
      <c r="L12" s="79" t="s">
        <v>65</v>
      </c>
      <c r="M12" s="95" t="s">
        <v>65</v>
      </c>
      <c r="N12" s="95">
        <v>324</v>
      </c>
      <c r="O12" s="95">
        <v>5</v>
      </c>
      <c r="P12" s="95" t="s">
        <v>65</v>
      </c>
      <c r="Q12" s="95">
        <v>51</v>
      </c>
      <c r="R12" s="95" t="s">
        <v>65</v>
      </c>
      <c r="S12" s="95" t="s">
        <v>65</v>
      </c>
      <c r="T12" s="95">
        <v>56</v>
      </c>
      <c r="U12" s="95" t="s">
        <v>65</v>
      </c>
      <c r="V12" s="95" t="s">
        <v>65</v>
      </c>
      <c r="W12" s="95" t="s">
        <v>65</v>
      </c>
      <c r="X12" s="123">
        <v>899</v>
      </c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</row>
    <row r="13" spans="1:46" x14ac:dyDescent="0.3">
      <c r="A13" s="305"/>
      <c r="B13" s="323"/>
      <c r="C13" s="95" t="s">
        <v>863</v>
      </c>
      <c r="D13" s="95">
        <v>159</v>
      </c>
      <c r="E13" s="95">
        <v>2</v>
      </c>
      <c r="F13" s="95" t="s">
        <v>65</v>
      </c>
      <c r="G13" s="95" t="s">
        <v>65</v>
      </c>
      <c r="H13" s="95" t="s">
        <v>65</v>
      </c>
      <c r="I13" s="95" t="s">
        <v>65</v>
      </c>
      <c r="J13" s="95" t="s">
        <v>65</v>
      </c>
      <c r="K13" s="95" t="s">
        <v>65</v>
      </c>
      <c r="L13" s="79" t="s">
        <v>65</v>
      </c>
      <c r="M13" s="95" t="s">
        <v>65</v>
      </c>
      <c r="N13" s="95">
        <v>1</v>
      </c>
      <c r="O13" s="95" t="s">
        <v>65</v>
      </c>
      <c r="P13" s="95" t="s">
        <v>65</v>
      </c>
      <c r="Q13" s="95" t="s">
        <v>65</v>
      </c>
      <c r="R13" s="95" t="s">
        <v>65</v>
      </c>
      <c r="S13" s="95" t="s">
        <v>65</v>
      </c>
      <c r="T13" s="95">
        <v>15</v>
      </c>
      <c r="U13" s="95" t="s">
        <v>65</v>
      </c>
      <c r="V13" s="95" t="s">
        <v>65</v>
      </c>
      <c r="W13" s="95" t="s">
        <v>65</v>
      </c>
      <c r="X13" s="123">
        <v>177</v>
      </c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</row>
    <row r="14" spans="1:46" x14ac:dyDescent="0.3">
      <c r="A14" s="305"/>
      <c r="B14" s="323"/>
      <c r="C14" s="95" t="s">
        <v>864</v>
      </c>
      <c r="D14" s="95">
        <v>593</v>
      </c>
      <c r="E14" s="95">
        <v>17</v>
      </c>
      <c r="F14" s="95" t="s">
        <v>65</v>
      </c>
      <c r="G14" s="95" t="s">
        <v>65</v>
      </c>
      <c r="H14" s="95" t="s">
        <v>65</v>
      </c>
      <c r="I14" s="95" t="s">
        <v>65</v>
      </c>
      <c r="J14" s="95" t="s">
        <v>65</v>
      </c>
      <c r="K14" s="95" t="s">
        <v>65</v>
      </c>
      <c r="L14" s="79" t="s">
        <v>65</v>
      </c>
      <c r="M14" s="95" t="s">
        <v>65</v>
      </c>
      <c r="N14" s="95">
        <v>46</v>
      </c>
      <c r="O14" s="95">
        <v>2</v>
      </c>
      <c r="P14" s="95" t="s">
        <v>65</v>
      </c>
      <c r="Q14" s="95">
        <v>22</v>
      </c>
      <c r="R14" s="95" t="s">
        <v>65</v>
      </c>
      <c r="S14" s="95" t="s">
        <v>65</v>
      </c>
      <c r="T14" s="95">
        <v>32</v>
      </c>
      <c r="U14" s="95" t="s">
        <v>65</v>
      </c>
      <c r="V14" s="95" t="s">
        <v>65</v>
      </c>
      <c r="W14" s="95">
        <v>6</v>
      </c>
      <c r="X14" s="123">
        <v>718</v>
      </c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</row>
    <row r="15" spans="1:46" x14ac:dyDescent="0.3">
      <c r="A15" s="305"/>
      <c r="B15" s="308"/>
      <c r="C15" s="95" t="s">
        <v>865</v>
      </c>
      <c r="D15" s="96">
        <v>1185</v>
      </c>
      <c r="E15" s="95">
        <v>25</v>
      </c>
      <c r="F15" s="95" t="s">
        <v>65</v>
      </c>
      <c r="G15" s="95">
        <v>67</v>
      </c>
      <c r="H15" s="95" t="s">
        <v>65</v>
      </c>
      <c r="I15" s="95">
        <v>4</v>
      </c>
      <c r="J15" s="95">
        <v>9</v>
      </c>
      <c r="K15" s="95">
        <v>7</v>
      </c>
      <c r="L15" s="79" t="s">
        <v>65</v>
      </c>
      <c r="M15" s="95" t="s">
        <v>65</v>
      </c>
      <c r="N15" s="95">
        <v>226</v>
      </c>
      <c r="O15" s="95">
        <v>2</v>
      </c>
      <c r="P15" s="95">
        <v>5</v>
      </c>
      <c r="Q15" s="95">
        <v>205</v>
      </c>
      <c r="R15" s="95">
        <v>2</v>
      </c>
      <c r="S15" s="95" t="s">
        <v>65</v>
      </c>
      <c r="T15" s="95">
        <v>116</v>
      </c>
      <c r="U15" s="95">
        <v>89</v>
      </c>
      <c r="V15" s="95" t="s">
        <v>65</v>
      </c>
      <c r="W15" s="95">
        <v>52</v>
      </c>
      <c r="X15" s="30">
        <v>1994</v>
      </c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</row>
    <row r="16" spans="1:46" x14ac:dyDescent="0.3">
      <c r="A16" s="305"/>
      <c r="B16" s="307" t="s">
        <v>866</v>
      </c>
      <c r="C16" s="95" t="s">
        <v>867</v>
      </c>
      <c r="D16" s="95">
        <v>114</v>
      </c>
      <c r="E16" s="95">
        <v>23</v>
      </c>
      <c r="F16" s="95" t="s">
        <v>65</v>
      </c>
      <c r="G16" s="95">
        <v>16</v>
      </c>
      <c r="H16" s="95" t="s">
        <v>65</v>
      </c>
      <c r="I16" s="95" t="s">
        <v>65</v>
      </c>
      <c r="J16" s="95" t="s">
        <v>65</v>
      </c>
      <c r="K16" s="95">
        <v>42</v>
      </c>
      <c r="L16" s="79" t="s">
        <v>65</v>
      </c>
      <c r="M16" s="95">
        <v>9</v>
      </c>
      <c r="N16" s="95">
        <v>73</v>
      </c>
      <c r="O16" s="95">
        <v>5</v>
      </c>
      <c r="P16" s="95" t="s">
        <v>65</v>
      </c>
      <c r="Q16" s="95">
        <v>85</v>
      </c>
      <c r="R16" s="95" t="s">
        <v>65</v>
      </c>
      <c r="S16" s="95" t="s">
        <v>65</v>
      </c>
      <c r="T16" s="95">
        <v>160</v>
      </c>
      <c r="U16" s="95">
        <v>7</v>
      </c>
      <c r="V16" s="95" t="s">
        <v>65</v>
      </c>
      <c r="W16" s="95">
        <v>10</v>
      </c>
      <c r="X16" s="123">
        <v>542</v>
      </c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</row>
    <row r="17" spans="1:46" x14ac:dyDescent="0.3">
      <c r="A17" s="305"/>
      <c r="B17" s="323"/>
      <c r="C17" s="95" t="s">
        <v>868</v>
      </c>
      <c r="D17" s="96">
        <v>2142</v>
      </c>
      <c r="E17" s="95">
        <v>32</v>
      </c>
      <c r="F17" s="95">
        <v>38</v>
      </c>
      <c r="G17" s="95">
        <v>24</v>
      </c>
      <c r="H17" s="95" t="s">
        <v>65</v>
      </c>
      <c r="I17" s="95" t="s">
        <v>65</v>
      </c>
      <c r="J17" s="95" t="s">
        <v>65</v>
      </c>
      <c r="K17" s="95">
        <v>60</v>
      </c>
      <c r="L17" s="79" t="s">
        <v>65</v>
      </c>
      <c r="M17" s="95" t="s">
        <v>65</v>
      </c>
      <c r="N17" s="95">
        <v>357</v>
      </c>
      <c r="O17" s="95">
        <v>6</v>
      </c>
      <c r="P17" s="95" t="s">
        <v>65</v>
      </c>
      <c r="Q17" s="95">
        <v>81</v>
      </c>
      <c r="R17" s="95">
        <v>5</v>
      </c>
      <c r="S17" s="95">
        <v>9</v>
      </c>
      <c r="T17" s="95">
        <v>176</v>
      </c>
      <c r="U17" s="95">
        <v>20</v>
      </c>
      <c r="V17" s="95" t="s">
        <v>65</v>
      </c>
      <c r="W17" s="95">
        <v>64</v>
      </c>
      <c r="X17" s="30">
        <v>3015</v>
      </c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</row>
    <row r="18" spans="1:46" x14ac:dyDescent="0.3">
      <c r="A18" s="305"/>
      <c r="B18" s="323"/>
      <c r="C18" s="95" t="s">
        <v>869</v>
      </c>
      <c r="D18" s="95">
        <v>15</v>
      </c>
      <c r="E18" s="95">
        <v>7</v>
      </c>
      <c r="F18" s="95" t="s">
        <v>65</v>
      </c>
      <c r="G18" s="95">
        <v>1</v>
      </c>
      <c r="H18" s="95" t="s">
        <v>65</v>
      </c>
      <c r="I18" s="95" t="s">
        <v>65</v>
      </c>
      <c r="J18" s="95">
        <v>1</v>
      </c>
      <c r="K18" s="95" t="s">
        <v>65</v>
      </c>
      <c r="L18" s="79" t="s">
        <v>65</v>
      </c>
      <c r="M18" s="95">
        <v>3</v>
      </c>
      <c r="N18" s="95" t="s">
        <v>65</v>
      </c>
      <c r="O18" s="95" t="s">
        <v>65</v>
      </c>
      <c r="P18" s="95" t="s">
        <v>65</v>
      </c>
      <c r="Q18" s="95">
        <v>64</v>
      </c>
      <c r="R18" s="95" t="s">
        <v>65</v>
      </c>
      <c r="S18" s="95" t="s">
        <v>65</v>
      </c>
      <c r="T18" s="95">
        <v>222</v>
      </c>
      <c r="U18" s="95" t="s">
        <v>65</v>
      </c>
      <c r="V18" s="95" t="s">
        <v>65</v>
      </c>
      <c r="W18" s="95" t="s">
        <v>65</v>
      </c>
      <c r="X18" s="123">
        <v>312</v>
      </c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</row>
    <row r="19" spans="1:46" x14ac:dyDescent="0.3">
      <c r="A19" s="305"/>
      <c r="B19" s="323"/>
      <c r="C19" s="168" t="s">
        <v>870</v>
      </c>
      <c r="D19" s="177">
        <v>1240</v>
      </c>
      <c r="E19" s="168">
        <v>123</v>
      </c>
      <c r="F19" s="168">
        <v>24</v>
      </c>
      <c r="G19" s="168">
        <v>14</v>
      </c>
      <c r="H19" s="168" t="s">
        <v>65</v>
      </c>
      <c r="I19" s="168" t="s">
        <v>65</v>
      </c>
      <c r="J19" s="168">
        <v>6</v>
      </c>
      <c r="K19" s="168">
        <v>312</v>
      </c>
      <c r="L19" s="79" t="s">
        <v>65</v>
      </c>
      <c r="M19" s="168">
        <v>43</v>
      </c>
      <c r="N19" s="168">
        <v>1571</v>
      </c>
      <c r="O19" s="168">
        <v>60</v>
      </c>
      <c r="P19" s="168">
        <v>8</v>
      </c>
      <c r="Q19" s="168">
        <v>452</v>
      </c>
      <c r="R19" s="168" t="s">
        <v>65</v>
      </c>
      <c r="S19" s="168">
        <v>9</v>
      </c>
      <c r="T19" s="168">
        <v>439</v>
      </c>
      <c r="U19" s="168">
        <v>7</v>
      </c>
      <c r="V19" s="168" t="s">
        <v>65</v>
      </c>
      <c r="W19" s="168">
        <v>64</v>
      </c>
      <c r="X19" s="190">
        <v>4371</v>
      </c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</row>
    <row r="20" spans="1:46" x14ac:dyDescent="0.3">
      <c r="A20" s="305"/>
      <c r="B20" s="323"/>
      <c r="C20" s="95" t="s">
        <v>871</v>
      </c>
      <c r="D20" s="96">
        <v>862</v>
      </c>
      <c r="E20" s="95">
        <v>42</v>
      </c>
      <c r="F20" s="95" t="s">
        <v>65</v>
      </c>
      <c r="G20" s="95">
        <v>42</v>
      </c>
      <c r="H20" s="95">
        <v>25</v>
      </c>
      <c r="I20" s="95">
        <v>8</v>
      </c>
      <c r="J20" s="95">
        <v>35</v>
      </c>
      <c r="K20" s="95">
        <v>36</v>
      </c>
      <c r="L20" s="79" t="s">
        <v>65</v>
      </c>
      <c r="M20" s="95">
        <v>47</v>
      </c>
      <c r="N20" s="95">
        <v>95</v>
      </c>
      <c r="O20" s="95">
        <v>29</v>
      </c>
      <c r="P20" s="95">
        <v>9</v>
      </c>
      <c r="Q20" s="95">
        <v>219</v>
      </c>
      <c r="R20" s="95">
        <v>12</v>
      </c>
      <c r="S20" s="95">
        <v>5</v>
      </c>
      <c r="T20" s="95">
        <v>429</v>
      </c>
      <c r="U20" s="95">
        <v>28</v>
      </c>
      <c r="V20" s="95">
        <v>14</v>
      </c>
      <c r="W20" s="95">
        <v>57</v>
      </c>
      <c r="X20" s="30">
        <v>1992</v>
      </c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</row>
    <row r="21" spans="1:46" x14ac:dyDescent="0.3">
      <c r="A21" s="305"/>
      <c r="B21" s="308"/>
      <c r="C21" s="95" t="s">
        <v>872</v>
      </c>
      <c r="D21" s="96">
        <v>4792</v>
      </c>
      <c r="E21" s="95">
        <v>288</v>
      </c>
      <c r="F21" s="95" t="s">
        <v>65</v>
      </c>
      <c r="G21" s="95">
        <v>703</v>
      </c>
      <c r="H21" s="95">
        <v>16</v>
      </c>
      <c r="I21" s="95">
        <v>49</v>
      </c>
      <c r="J21" s="95">
        <v>55</v>
      </c>
      <c r="K21" s="95">
        <v>217</v>
      </c>
      <c r="L21" s="79" t="s">
        <v>65</v>
      </c>
      <c r="M21" s="95">
        <v>24</v>
      </c>
      <c r="N21" s="95">
        <v>1263</v>
      </c>
      <c r="O21" s="95">
        <v>57</v>
      </c>
      <c r="P21" s="95">
        <v>43</v>
      </c>
      <c r="Q21" s="96">
        <v>2268</v>
      </c>
      <c r="R21" s="95">
        <v>4</v>
      </c>
      <c r="S21" s="95">
        <v>7</v>
      </c>
      <c r="T21" s="96">
        <v>2713</v>
      </c>
      <c r="U21" s="95">
        <v>506</v>
      </c>
      <c r="V21" s="95">
        <v>84</v>
      </c>
      <c r="W21" s="95">
        <v>386</v>
      </c>
      <c r="X21" s="30">
        <v>13475</v>
      </c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</row>
    <row r="22" spans="1:46" x14ac:dyDescent="0.3">
      <c r="A22" s="305"/>
      <c r="B22" s="95" t="s">
        <v>873</v>
      </c>
      <c r="C22" s="95" t="s">
        <v>873</v>
      </c>
      <c r="D22" s="96">
        <v>5705</v>
      </c>
      <c r="E22" s="95">
        <v>566</v>
      </c>
      <c r="F22" s="95">
        <v>38</v>
      </c>
      <c r="G22" s="95">
        <v>717</v>
      </c>
      <c r="H22" s="95">
        <v>6</v>
      </c>
      <c r="I22" s="95">
        <v>70</v>
      </c>
      <c r="J22" s="95">
        <v>74</v>
      </c>
      <c r="K22" s="95">
        <v>271</v>
      </c>
      <c r="L22" s="79" t="s">
        <v>65</v>
      </c>
      <c r="M22" s="95">
        <v>127</v>
      </c>
      <c r="N22" s="96">
        <v>2482</v>
      </c>
      <c r="O22" s="95">
        <v>28</v>
      </c>
      <c r="P22" s="95">
        <v>35</v>
      </c>
      <c r="Q22" s="96">
        <v>1580</v>
      </c>
      <c r="R22" s="95">
        <v>4</v>
      </c>
      <c r="S22" s="95">
        <v>6</v>
      </c>
      <c r="T22" s="96">
        <v>1062</v>
      </c>
      <c r="U22" s="95">
        <v>220</v>
      </c>
      <c r="V22" s="95">
        <v>463</v>
      </c>
      <c r="W22" s="95">
        <v>279</v>
      </c>
      <c r="X22" s="30">
        <v>13732</v>
      </c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</row>
    <row r="23" spans="1:46" x14ac:dyDescent="0.3">
      <c r="A23" s="306"/>
      <c r="B23" s="339" t="s">
        <v>110</v>
      </c>
      <c r="C23" s="322"/>
      <c r="D23" s="98">
        <v>21514</v>
      </c>
      <c r="E23" s="98">
        <v>1375</v>
      </c>
      <c r="F23" s="97">
        <v>100</v>
      </c>
      <c r="G23" s="98">
        <v>1744</v>
      </c>
      <c r="H23" s="97">
        <v>47</v>
      </c>
      <c r="I23" s="97">
        <v>151</v>
      </c>
      <c r="J23" s="97">
        <v>185</v>
      </c>
      <c r="K23" s="97">
        <v>1305</v>
      </c>
      <c r="L23" s="193">
        <v>0</v>
      </c>
      <c r="M23" s="97">
        <v>251</v>
      </c>
      <c r="N23" s="98">
        <v>6575</v>
      </c>
      <c r="O23" s="97">
        <v>194</v>
      </c>
      <c r="P23" s="97">
        <v>100</v>
      </c>
      <c r="Q23" s="98">
        <v>11613</v>
      </c>
      <c r="R23" s="97">
        <v>32</v>
      </c>
      <c r="S23" s="97">
        <v>36</v>
      </c>
      <c r="T23" s="98">
        <v>6651</v>
      </c>
      <c r="U23" s="97">
        <v>897</v>
      </c>
      <c r="V23" s="97">
        <v>562</v>
      </c>
      <c r="W23" s="97">
        <v>953</v>
      </c>
      <c r="X23" s="32">
        <v>54285</v>
      </c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</row>
    <row r="24" spans="1:46" x14ac:dyDescent="0.3">
      <c r="A24" s="304" t="s">
        <v>874</v>
      </c>
      <c r="B24" s="307" t="s">
        <v>875</v>
      </c>
      <c r="C24" s="95" t="s">
        <v>876</v>
      </c>
      <c r="D24" s="96">
        <v>1480</v>
      </c>
      <c r="E24" s="95">
        <v>151</v>
      </c>
      <c r="F24" s="79" t="s">
        <v>65</v>
      </c>
      <c r="G24" s="95" t="s">
        <v>65</v>
      </c>
      <c r="H24" s="95" t="s">
        <v>65</v>
      </c>
      <c r="I24" s="95">
        <v>37</v>
      </c>
      <c r="J24" s="95">
        <v>104</v>
      </c>
      <c r="K24" s="95">
        <v>72</v>
      </c>
      <c r="L24" s="79" t="s">
        <v>65</v>
      </c>
      <c r="M24" s="95" t="s">
        <v>65</v>
      </c>
      <c r="N24" s="95">
        <v>10</v>
      </c>
      <c r="O24" s="95">
        <v>113</v>
      </c>
      <c r="P24" s="95" t="s">
        <v>65</v>
      </c>
      <c r="Q24" s="95">
        <v>29</v>
      </c>
      <c r="R24" s="95">
        <v>37</v>
      </c>
      <c r="S24" s="95" t="s">
        <v>65</v>
      </c>
      <c r="T24" s="95">
        <v>41</v>
      </c>
      <c r="U24" s="95">
        <v>36</v>
      </c>
      <c r="V24" s="95">
        <v>3</v>
      </c>
      <c r="W24" s="95">
        <v>110</v>
      </c>
      <c r="X24" s="30">
        <v>2221</v>
      </c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</row>
    <row r="25" spans="1:46" x14ac:dyDescent="0.3">
      <c r="A25" s="305"/>
      <c r="B25" s="323"/>
      <c r="C25" s="95" t="s">
        <v>877</v>
      </c>
      <c r="D25" s="95">
        <v>317</v>
      </c>
      <c r="E25" s="95">
        <v>45</v>
      </c>
      <c r="F25" s="79" t="s">
        <v>65</v>
      </c>
      <c r="G25" s="95" t="s">
        <v>65</v>
      </c>
      <c r="H25" s="95" t="s">
        <v>65</v>
      </c>
      <c r="I25" s="95">
        <v>1</v>
      </c>
      <c r="J25" s="95">
        <v>6</v>
      </c>
      <c r="K25" s="95">
        <v>16</v>
      </c>
      <c r="L25" s="79" t="s">
        <v>65</v>
      </c>
      <c r="M25" s="95" t="s">
        <v>65</v>
      </c>
      <c r="N25" s="95" t="s">
        <v>65</v>
      </c>
      <c r="O25" s="95">
        <v>26</v>
      </c>
      <c r="P25" s="95" t="s">
        <v>65</v>
      </c>
      <c r="Q25" s="95">
        <v>16</v>
      </c>
      <c r="R25" s="95" t="s">
        <v>65</v>
      </c>
      <c r="S25" s="95" t="s">
        <v>65</v>
      </c>
      <c r="T25" s="95">
        <v>30</v>
      </c>
      <c r="U25" s="95" t="s">
        <v>65</v>
      </c>
      <c r="V25" s="95" t="s">
        <v>65</v>
      </c>
      <c r="W25" s="95">
        <v>8</v>
      </c>
      <c r="X25" s="123">
        <v>465</v>
      </c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</row>
    <row r="26" spans="1:46" x14ac:dyDescent="0.3">
      <c r="A26" s="305"/>
      <c r="B26" s="323"/>
      <c r="C26" s="95" t="s">
        <v>878</v>
      </c>
      <c r="D26" s="95">
        <v>389</v>
      </c>
      <c r="E26" s="95">
        <v>96</v>
      </c>
      <c r="F26" s="79" t="s">
        <v>65</v>
      </c>
      <c r="G26" s="95" t="s">
        <v>65</v>
      </c>
      <c r="H26" s="95" t="s">
        <v>65</v>
      </c>
      <c r="I26" s="95">
        <v>5</v>
      </c>
      <c r="J26" s="95">
        <v>38</v>
      </c>
      <c r="K26" s="95">
        <v>7</v>
      </c>
      <c r="L26" s="79" t="s">
        <v>65</v>
      </c>
      <c r="M26" s="95" t="s">
        <v>65</v>
      </c>
      <c r="N26" s="95">
        <v>3</v>
      </c>
      <c r="O26" s="95">
        <v>51</v>
      </c>
      <c r="P26" s="95">
        <v>7</v>
      </c>
      <c r="Q26" s="95">
        <v>28</v>
      </c>
      <c r="R26" s="95">
        <v>19</v>
      </c>
      <c r="S26" s="95" t="s">
        <v>65</v>
      </c>
      <c r="T26" s="95">
        <v>14</v>
      </c>
      <c r="U26" s="95">
        <v>7</v>
      </c>
      <c r="V26" s="95">
        <v>12</v>
      </c>
      <c r="W26" s="95">
        <v>39</v>
      </c>
      <c r="X26" s="123">
        <v>715</v>
      </c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</row>
    <row r="27" spans="1:46" x14ac:dyDescent="0.3">
      <c r="A27" s="305"/>
      <c r="B27" s="323"/>
      <c r="C27" s="95" t="s">
        <v>879</v>
      </c>
      <c r="D27" s="96">
        <v>2941</v>
      </c>
      <c r="E27" s="95">
        <v>663</v>
      </c>
      <c r="F27" s="79" t="s">
        <v>65</v>
      </c>
      <c r="G27" s="95" t="s">
        <v>65</v>
      </c>
      <c r="H27" s="95" t="s">
        <v>65</v>
      </c>
      <c r="I27" s="95">
        <v>7</v>
      </c>
      <c r="J27" s="95">
        <v>71</v>
      </c>
      <c r="K27" s="95">
        <v>8</v>
      </c>
      <c r="L27" s="79" t="s">
        <v>65</v>
      </c>
      <c r="M27" s="95" t="s">
        <v>65</v>
      </c>
      <c r="N27" s="95" t="s">
        <v>65</v>
      </c>
      <c r="O27" s="95">
        <v>101</v>
      </c>
      <c r="P27" s="95" t="s">
        <v>65</v>
      </c>
      <c r="Q27" s="95">
        <v>39</v>
      </c>
      <c r="R27" s="95">
        <v>5</v>
      </c>
      <c r="S27" s="95" t="s">
        <v>65</v>
      </c>
      <c r="T27" s="95">
        <v>25</v>
      </c>
      <c r="U27" s="95" t="s">
        <v>65</v>
      </c>
      <c r="V27" s="95">
        <v>49</v>
      </c>
      <c r="W27" s="95">
        <v>82</v>
      </c>
      <c r="X27" s="30">
        <v>3990</v>
      </c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</row>
    <row r="28" spans="1:46" x14ac:dyDescent="0.3">
      <c r="A28" s="305"/>
      <c r="B28" s="323"/>
      <c r="C28" s="95" t="s">
        <v>880</v>
      </c>
      <c r="D28" s="96">
        <v>1405</v>
      </c>
      <c r="E28" s="95">
        <v>199</v>
      </c>
      <c r="F28" s="79" t="s">
        <v>65</v>
      </c>
      <c r="G28" s="95" t="s">
        <v>65</v>
      </c>
      <c r="H28" s="95" t="s">
        <v>65</v>
      </c>
      <c r="I28" s="95" t="s">
        <v>65</v>
      </c>
      <c r="J28" s="95" t="s">
        <v>65</v>
      </c>
      <c r="K28" s="95">
        <v>116</v>
      </c>
      <c r="L28" s="79" t="s">
        <v>65</v>
      </c>
      <c r="M28" s="95" t="s">
        <v>65</v>
      </c>
      <c r="N28" s="95" t="s">
        <v>65</v>
      </c>
      <c r="O28" s="95">
        <v>79</v>
      </c>
      <c r="P28" s="95">
        <v>3</v>
      </c>
      <c r="Q28" s="95">
        <v>63</v>
      </c>
      <c r="R28" s="95">
        <v>11</v>
      </c>
      <c r="S28" s="95" t="s">
        <v>65</v>
      </c>
      <c r="T28" s="95">
        <v>24</v>
      </c>
      <c r="U28" s="95" t="s">
        <v>65</v>
      </c>
      <c r="V28" s="95" t="s">
        <v>65</v>
      </c>
      <c r="W28" s="95">
        <v>58</v>
      </c>
      <c r="X28" s="30">
        <v>1957</v>
      </c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</row>
    <row r="29" spans="1:46" x14ac:dyDescent="0.3">
      <c r="A29" s="305"/>
      <c r="B29" s="323"/>
      <c r="C29" s="95" t="s">
        <v>881</v>
      </c>
      <c r="D29" s="95">
        <v>293</v>
      </c>
      <c r="E29" s="95">
        <v>32</v>
      </c>
      <c r="F29" s="79" t="s">
        <v>65</v>
      </c>
      <c r="G29" s="95" t="s">
        <v>65</v>
      </c>
      <c r="H29" s="95" t="s">
        <v>65</v>
      </c>
      <c r="I29" s="95">
        <v>12</v>
      </c>
      <c r="J29" s="95">
        <v>14</v>
      </c>
      <c r="K29" s="95">
        <v>12</v>
      </c>
      <c r="L29" s="79" t="s">
        <v>65</v>
      </c>
      <c r="M29" s="95" t="s">
        <v>65</v>
      </c>
      <c r="N29" s="95" t="s">
        <v>65</v>
      </c>
      <c r="O29" s="95">
        <v>54</v>
      </c>
      <c r="P29" s="95">
        <v>10</v>
      </c>
      <c r="Q29" s="95">
        <v>245</v>
      </c>
      <c r="R29" s="95" t="s">
        <v>65</v>
      </c>
      <c r="S29" s="95" t="s">
        <v>65</v>
      </c>
      <c r="T29" s="95">
        <v>78</v>
      </c>
      <c r="U29" s="95">
        <v>37</v>
      </c>
      <c r="V29" s="95" t="s">
        <v>65</v>
      </c>
      <c r="W29" s="95" t="s">
        <v>65</v>
      </c>
      <c r="X29" s="123">
        <v>786</v>
      </c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</row>
    <row r="30" spans="1:46" x14ac:dyDescent="0.3">
      <c r="A30" s="305"/>
      <c r="B30" s="323"/>
      <c r="C30" s="95" t="s">
        <v>882</v>
      </c>
      <c r="D30" s="95">
        <v>418</v>
      </c>
      <c r="E30" s="95">
        <v>15</v>
      </c>
      <c r="F30" s="79" t="s">
        <v>65</v>
      </c>
      <c r="G30" s="95" t="s">
        <v>65</v>
      </c>
      <c r="H30" s="95" t="s">
        <v>65</v>
      </c>
      <c r="I30" s="95">
        <v>18</v>
      </c>
      <c r="J30" s="95">
        <v>36</v>
      </c>
      <c r="K30" s="95">
        <v>59</v>
      </c>
      <c r="L30" s="79" t="s">
        <v>65</v>
      </c>
      <c r="M30" s="95" t="s">
        <v>65</v>
      </c>
      <c r="N30" s="95" t="s">
        <v>65</v>
      </c>
      <c r="O30" s="95">
        <v>202</v>
      </c>
      <c r="P30" s="95">
        <v>10</v>
      </c>
      <c r="Q30" s="95">
        <v>125</v>
      </c>
      <c r="R30" s="95">
        <v>91</v>
      </c>
      <c r="S30" s="95" t="s">
        <v>65</v>
      </c>
      <c r="T30" s="95">
        <v>48</v>
      </c>
      <c r="U30" s="95">
        <v>4</v>
      </c>
      <c r="V30" s="95" t="s">
        <v>65</v>
      </c>
      <c r="W30" s="95">
        <v>10</v>
      </c>
      <c r="X30" s="123">
        <v>1035</v>
      </c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</row>
    <row r="31" spans="1:46" x14ac:dyDescent="0.3">
      <c r="A31" s="305"/>
      <c r="B31" s="323"/>
      <c r="C31" s="95" t="s">
        <v>883</v>
      </c>
      <c r="D31" s="95">
        <v>359</v>
      </c>
      <c r="E31" s="95">
        <v>40</v>
      </c>
      <c r="F31" s="79" t="s">
        <v>65</v>
      </c>
      <c r="G31" s="95" t="s">
        <v>65</v>
      </c>
      <c r="H31" s="95" t="s">
        <v>65</v>
      </c>
      <c r="I31" s="95">
        <v>7</v>
      </c>
      <c r="J31" s="95" t="s">
        <v>65</v>
      </c>
      <c r="K31" s="95">
        <v>78</v>
      </c>
      <c r="L31" s="79" t="s">
        <v>65</v>
      </c>
      <c r="M31" s="95" t="s">
        <v>65</v>
      </c>
      <c r="N31" s="95" t="s">
        <v>65</v>
      </c>
      <c r="O31" s="95">
        <v>25</v>
      </c>
      <c r="P31" s="95" t="s">
        <v>65</v>
      </c>
      <c r="Q31" s="95">
        <v>197</v>
      </c>
      <c r="R31" s="95" t="s">
        <v>65</v>
      </c>
      <c r="S31" s="95" t="s">
        <v>65</v>
      </c>
      <c r="T31" s="95">
        <v>56</v>
      </c>
      <c r="U31" s="95" t="s">
        <v>65</v>
      </c>
      <c r="V31" s="95" t="s">
        <v>65</v>
      </c>
      <c r="W31" s="95">
        <v>7</v>
      </c>
      <c r="X31" s="123">
        <v>769</v>
      </c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</row>
    <row r="32" spans="1:46" x14ac:dyDescent="0.3">
      <c r="A32" s="305"/>
      <c r="B32" s="308"/>
      <c r="C32" s="95" t="s">
        <v>884</v>
      </c>
      <c r="D32" s="96">
        <v>1218</v>
      </c>
      <c r="E32" s="95">
        <v>152</v>
      </c>
      <c r="F32" s="79" t="s">
        <v>65</v>
      </c>
      <c r="G32" s="95">
        <v>29</v>
      </c>
      <c r="H32" s="95" t="s">
        <v>65</v>
      </c>
      <c r="I32" s="95">
        <v>26</v>
      </c>
      <c r="J32" s="95">
        <v>324</v>
      </c>
      <c r="K32" s="95">
        <v>60</v>
      </c>
      <c r="L32" s="79" t="s">
        <v>65</v>
      </c>
      <c r="M32" s="95" t="s">
        <v>65</v>
      </c>
      <c r="N32" s="95">
        <v>11</v>
      </c>
      <c r="O32" s="95">
        <v>339</v>
      </c>
      <c r="P32" s="95">
        <v>12</v>
      </c>
      <c r="Q32" s="95">
        <v>305</v>
      </c>
      <c r="R32" s="95">
        <v>40</v>
      </c>
      <c r="S32" s="95" t="s">
        <v>65</v>
      </c>
      <c r="T32" s="95">
        <v>118</v>
      </c>
      <c r="U32" s="95">
        <v>90</v>
      </c>
      <c r="V32" s="95">
        <v>55</v>
      </c>
      <c r="W32" s="95">
        <v>14</v>
      </c>
      <c r="X32" s="30">
        <v>2791</v>
      </c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</row>
    <row r="33" spans="1:46" x14ac:dyDescent="0.3">
      <c r="A33" s="305"/>
      <c r="B33" s="307" t="s">
        <v>885</v>
      </c>
      <c r="C33" s="95" t="s">
        <v>886</v>
      </c>
      <c r="D33" s="96">
        <v>1979</v>
      </c>
      <c r="E33" s="95">
        <v>267</v>
      </c>
      <c r="F33" s="79" t="s">
        <v>65</v>
      </c>
      <c r="G33" s="95" t="s">
        <v>65</v>
      </c>
      <c r="H33" s="95" t="s">
        <v>65</v>
      </c>
      <c r="I33" s="95">
        <v>24</v>
      </c>
      <c r="J33" s="95" t="s">
        <v>65</v>
      </c>
      <c r="K33" s="95">
        <v>697</v>
      </c>
      <c r="L33" s="79" t="s">
        <v>65</v>
      </c>
      <c r="M33" s="95" t="s">
        <v>65</v>
      </c>
      <c r="N33" s="95">
        <v>82</v>
      </c>
      <c r="O33" s="95">
        <v>479</v>
      </c>
      <c r="P33" s="95" t="s">
        <v>65</v>
      </c>
      <c r="Q33" s="95">
        <v>451</v>
      </c>
      <c r="R33" s="95">
        <v>43</v>
      </c>
      <c r="S33" s="95" t="s">
        <v>65</v>
      </c>
      <c r="T33" s="95">
        <v>251</v>
      </c>
      <c r="U33" s="95">
        <v>24</v>
      </c>
      <c r="V33" s="95" t="s">
        <v>65</v>
      </c>
      <c r="W33" s="95">
        <v>330</v>
      </c>
      <c r="X33" s="30">
        <v>4627</v>
      </c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</row>
    <row r="34" spans="1:46" x14ac:dyDescent="0.3">
      <c r="A34" s="305"/>
      <c r="B34" s="323"/>
      <c r="C34" s="95" t="s">
        <v>887</v>
      </c>
      <c r="D34" s="96">
        <v>2209</v>
      </c>
      <c r="E34" s="95">
        <v>253</v>
      </c>
      <c r="F34" s="79" t="s">
        <v>65</v>
      </c>
      <c r="G34" s="95" t="s">
        <v>65</v>
      </c>
      <c r="H34" s="95" t="s">
        <v>65</v>
      </c>
      <c r="I34" s="95">
        <v>10</v>
      </c>
      <c r="J34" s="95" t="s">
        <v>65</v>
      </c>
      <c r="K34" s="95">
        <v>281</v>
      </c>
      <c r="L34" s="79" t="s">
        <v>65</v>
      </c>
      <c r="M34" s="95" t="s">
        <v>65</v>
      </c>
      <c r="N34" s="95" t="s">
        <v>65</v>
      </c>
      <c r="O34" s="95">
        <v>415</v>
      </c>
      <c r="P34" s="95" t="s">
        <v>65</v>
      </c>
      <c r="Q34" s="95">
        <v>107</v>
      </c>
      <c r="R34" s="95">
        <v>14</v>
      </c>
      <c r="S34" s="95" t="s">
        <v>65</v>
      </c>
      <c r="T34" s="95">
        <v>100</v>
      </c>
      <c r="U34" s="95" t="s">
        <v>65</v>
      </c>
      <c r="V34" s="95" t="s">
        <v>65</v>
      </c>
      <c r="W34" s="95">
        <v>31</v>
      </c>
      <c r="X34" s="30">
        <v>3421</v>
      </c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</row>
    <row r="35" spans="1:46" x14ac:dyDescent="0.3">
      <c r="A35" s="305"/>
      <c r="B35" s="323"/>
      <c r="C35" s="95" t="s">
        <v>888</v>
      </c>
      <c r="D35" s="95">
        <v>544</v>
      </c>
      <c r="E35" s="95">
        <v>62</v>
      </c>
      <c r="F35" s="79" t="s">
        <v>65</v>
      </c>
      <c r="G35" s="95" t="s">
        <v>65</v>
      </c>
      <c r="H35" s="95" t="s">
        <v>65</v>
      </c>
      <c r="I35" s="95">
        <v>1</v>
      </c>
      <c r="J35" s="95" t="s">
        <v>65</v>
      </c>
      <c r="K35" s="95">
        <v>49</v>
      </c>
      <c r="L35" s="79" t="s">
        <v>65</v>
      </c>
      <c r="M35" s="95" t="s">
        <v>65</v>
      </c>
      <c r="N35" s="95">
        <v>16</v>
      </c>
      <c r="O35" s="95">
        <v>192</v>
      </c>
      <c r="P35" s="95">
        <v>2</v>
      </c>
      <c r="Q35" s="95">
        <v>118</v>
      </c>
      <c r="R35" s="95">
        <v>2</v>
      </c>
      <c r="S35" s="95" t="s">
        <v>65</v>
      </c>
      <c r="T35" s="95">
        <v>67</v>
      </c>
      <c r="U35" s="95" t="s">
        <v>65</v>
      </c>
      <c r="V35" s="95" t="s">
        <v>65</v>
      </c>
      <c r="W35" s="95">
        <v>29</v>
      </c>
      <c r="X35" s="123">
        <v>1084</v>
      </c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</row>
    <row r="36" spans="1:46" x14ac:dyDescent="0.3">
      <c r="A36" s="305"/>
      <c r="B36" s="323"/>
      <c r="C36" s="95" t="s">
        <v>889</v>
      </c>
      <c r="D36" s="95">
        <v>235</v>
      </c>
      <c r="E36" s="95">
        <v>27</v>
      </c>
      <c r="F36" s="79" t="s">
        <v>65</v>
      </c>
      <c r="G36" s="95" t="s">
        <v>65</v>
      </c>
      <c r="H36" s="95" t="s">
        <v>65</v>
      </c>
      <c r="I36" s="95" t="s">
        <v>65</v>
      </c>
      <c r="J36" s="95" t="s">
        <v>65</v>
      </c>
      <c r="K36" s="95">
        <v>57</v>
      </c>
      <c r="L36" s="79" t="s">
        <v>65</v>
      </c>
      <c r="M36" s="95" t="s">
        <v>65</v>
      </c>
      <c r="N36" s="95">
        <v>3</v>
      </c>
      <c r="O36" s="95">
        <v>34</v>
      </c>
      <c r="P36" s="95" t="s">
        <v>65</v>
      </c>
      <c r="Q36" s="95">
        <v>34</v>
      </c>
      <c r="R36" s="95">
        <v>16</v>
      </c>
      <c r="S36" s="95" t="s">
        <v>65</v>
      </c>
      <c r="T36" s="95">
        <v>23</v>
      </c>
      <c r="U36" s="95" t="s">
        <v>65</v>
      </c>
      <c r="V36" s="95" t="s">
        <v>65</v>
      </c>
      <c r="W36" s="95">
        <v>3</v>
      </c>
      <c r="X36" s="123">
        <v>433</v>
      </c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</row>
    <row r="37" spans="1:46" x14ac:dyDescent="0.3">
      <c r="A37" s="305"/>
      <c r="B37" s="323"/>
      <c r="C37" s="95" t="s">
        <v>890</v>
      </c>
      <c r="D37" s="95">
        <v>917</v>
      </c>
      <c r="E37" s="95">
        <v>100</v>
      </c>
      <c r="F37" s="79" t="s">
        <v>65</v>
      </c>
      <c r="G37" s="95" t="s">
        <v>65</v>
      </c>
      <c r="H37" s="95" t="s">
        <v>65</v>
      </c>
      <c r="I37" s="95">
        <v>54</v>
      </c>
      <c r="J37" s="95">
        <v>58</v>
      </c>
      <c r="K37" s="95">
        <v>70</v>
      </c>
      <c r="L37" s="79" t="s">
        <v>65</v>
      </c>
      <c r="M37" s="95" t="s">
        <v>65</v>
      </c>
      <c r="N37" s="95" t="s">
        <v>65</v>
      </c>
      <c r="O37" s="95">
        <v>60</v>
      </c>
      <c r="P37" s="95">
        <v>29</v>
      </c>
      <c r="Q37" s="95">
        <v>517</v>
      </c>
      <c r="R37" s="95">
        <v>14</v>
      </c>
      <c r="S37" s="95" t="s">
        <v>65</v>
      </c>
      <c r="T37" s="95">
        <v>364</v>
      </c>
      <c r="U37" s="95">
        <v>115</v>
      </c>
      <c r="V37" s="95">
        <v>13</v>
      </c>
      <c r="W37" s="95">
        <v>1</v>
      </c>
      <c r="X37" s="30">
        <v>2312</v>
      </c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</row>
    <row r="38" spans="1:46" x14ac:dyDescent="0.3">
      <c r="A38" s="305"/>
      <c r="B38" s="323"/>
      <c r="C38" s="95" t="s">
        <v>891</v>
      </c>
      <c r="D38" s="95">
        <v>789</v>
      </c>
      <c r="E38" s="95">
        <v>40</v>
      </c>
      <c r="F38" s="79" t="s">
        <v>65</v>
      </c>
      <c r="G38" s="95" t="s">
        <v>65</v>
      </c>
      <c r="H38" s="95" t="s">
        <v>65</v>
      </c>
      <c r="I38" s="95">
        <v>5</v>
      </c>
      <c r="J38" s="95" t="s">
        <v>65</v>
      </c>
      <c r="K38" s="95" t="s">
        <v>65</v>
      </c>
      <c r="L38" s="79" t="s">
        <v>65</v>
      </c>
      <c r="M38" s="95" t="s">
        <v>65</v>
      </c>
      <c r="N38" s="95" t="s">
        <v>65</v>
      </c>
      <c r="O38" s="95">
        <v>197</v>
      </c>
      <c r="P38" s="95" t="s">
        <v>65</v>
      </c>
      <c r="Q38" s="95" t="s">
        <v>65</v>
      </c>
      <c r="R38" s="95">
        <v>23</v>
      </c>
      <c r="S38" s="95" t="s">
        <v>65</v>
      </c>
      <c r="T38" s="95">
        <v>11</v>
      </c>
      <c r="U38" s="95">
        <v>4</v>
      </c>
      <c r="V38" s="95" t="s">
        <v>65</v>
      </c>
      <c r="W38" s="95" t="s">
        <v>65</v>
      </c>
      <c r="X38" s="123">
        <v>1069</v>
      </c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</row>
    <row r="39" spans="1:46" x14ac:dyDescent="0.3">
      <c r="A39" s="305"/>
      <c r="B39" s="323"/>
      <c r="C39" s="95" t="s">
        <v>892</v>
      </c>
      <c r="D39" s="96">
        <v>1844</v>
      </c>
      <c r="E39" s="95">
        <v>291</v>
      </c>
      <c r="F39" s="79" t="s">
        <v>65</v>
      </c>
      <c r="G39" s="95" t="s">
        <v>65</v>
      </c>
      <c r="H39" s="95" t="s">
        <v>65</v>
      </c>
      <c r="I39" s="95">
        <v>3</v>
      </c>
      <c r="J39" s="95">
        <v>4</v>
      </c>
      <c r="K39" s="96">
        <v>907</v>
      </c>
      <c r="L39" s="79" t="s">
        <v>65</v>
      </c>
      <c r="M39" s="95">
        <v>65</v>
      </c>
      <c r="N39" s="95">
        <v>10</v>
      </c>
      <c r="O39" s="95">
        <v>695</v>
      </c>
      <c r="P39" s="95">
        <v>12</v>
      </c>
      <c r="Q39" s="95">
        <v>529</v>
      </c>
      <c r="R39" s="95">
        <v>61</v>
      </c>
      <c r="S39" s="95">
        <v>2</v>
      </c>
      <c r="T39" s="95">
        <v>341</v>
      </c>
      <c r="U39" s="95">
        <v>26</v>
      </c>
      <c r="V39" s="95" t="s">
        <v>65</v>
      </c>
      <c r="W39" s="95">
        <v>36</v>
      </c>
      <c r="X39" s="30">
        <v>4827</v>
      </c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</row>
    <row r="40" spans="1:46" x14ac:dyDescent="0.3">
      <c r="A40" s="305"/>
      <c r="B40" s="323"/>
      <c r="C40" s="95" t="s">
        <v>893</v>
      </c>
      <c r="D40" s="95">
        <v>406</v>
      </c>
      <c r="E40" s="95">
        <v>74</v>
      </c>
      <c r="F40" s="79" t="s">
        <v>65</v>
      </c>
      <c r="G40" s="95" t="s">
        <v>65</v>
      </c>
      <c r="H40" s="95" t="s">
        <v>65</v>
      </c>
      <c r="I40" s="95">
        <v>70</v>
      </c>
      <c r="J40" s="95">
        <v>54</v>
      </c>
      <c r="K40" s="95" t="s">
        <v>65</v>
      </c>
      <c r="L40" s="79" t="s">
        <v>65</v>
      </c>
      <c r="M40" s="95" t="s">
        <v>65</v>
      </c>
      <c r="N40" s="95" t="s">
        <v>65</v>
      </c>
      <c r="O40" s="95" t="s">
        <v>65</v>
      </c>
      <c r="P40" s="95">
        <v>8</v>
      </c>
      <c r="Q40" s="95">
        <v>60</v>
      </c>
      <c r="R40" s="95">
        <v>100</v>
      </c>
      <c r="S40" s="95" t="s">
        <v>65</v>
      </c>
      <c r="T40" s="95">
        <v>155</v>
      </c>
      <c r="U40" s="95">
        <v>24</v>
      </c>
      <c r="V40" s="95" t="s">
        <v>65</v>
      </c>
      <c r="W40" s="95">
        <v>5</v>
      </c>
      <c r="X40" s="123">
        <v>955</v>
      </c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</row>
    <row r="41" spans="1:46" x14ac:dyDescent="0.3">
      <c r="A41" s="305"/>
      <c r="B41" s="308"/>
      <c r="C41" s="95" t="s">
        <v>894</v>
      </c>
      <c r="D41" s="96">
        <v>2058</v>
      </c>
      <c r="E41" s="95">
        <v>300</v>
      </c>
      <c r="F41" s="79" t="s">
        <v>65</v>
      </c>
      <c r="G41" s="95">
        <v>3</v>
      </c>
      <c r="H41" s="95" t="s">
        <v>65</v>
      </c>
      <c r="I41" s="95">
        <v>36</v>
      </c>
      <c r="J41" s="95">
        <v>24</v>
      </c>
      <c r="K41" s="95">
        <v>673</v>
      </c>
      <c r="L41" s="79" t="s">
        <v>65</v>
      </c>
      <c r="M41" s="95" t="s">
        <v>65</v>
      </c>
      <c r="N41" s="95" t="s">
        <v>65</v>
      </c>
      <c r="O41" s="96">
        <v>2300</v>
      </c>
      <c r="P41" s="95">
        <v>10</v>
      </c>
      <c r="Q41" s="95">
        <v>845</v>
      </c>
      <c r="R41" s="95">
        <v>229</v>
      </c>
      <c r="S41" s="95">
        <v>3</v>
      </c>
      <c r="T41" s="95">
        <v>620</v>
      </c>
      <c r="U41" s="95">
        <v>50</v>
      </c>
      <c r="V41" s="95">
        <v>21</v>
      </c>
      <c r="W41" s="95">
        <v>885</v>
      </c>
      <c r="X41" s="30">
        <v>8058</v>
      </c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</row>
    <row r="42" spans="1:46" x14ac:dyDescent="0.3">
      <c r="A42" s="305"/>
      <c r="B42" s="307" t="s">
        <v>895</v>
      </c>
      <c r="C42" s="95" t="s">
        <v>896</v>
      </c>
      <c r="D42" s="95">
        <v>151</v>
      </c>
      <c r="E42" s="95">
        <v>32</v>
      </c>
      <c r="F42" s="79" t="s">
        <v>65</v>
      </c>
      <c r="G42" s="95" t="s">
        <v>65</v>
      </c>
      <c r="H42" s="95" t="s">
        <v>65</v>
      </c>
      <c r="I42" s="95">
        <v>9</v>
      </c>
      <c r="J42" s="95">
        <v>388</v>
      </c>
      <c r="K42" s="95">
        <v>31</v>
      </c>
      <c r="L42" s="79" t="s">
        <v>65</v>
      </c>
      <c r="M42" s="95" t="s">
        <v>65</v>
      </c>
      <c r="N42" s="95" t="s">
        <v>65</v>
      </c>
      <c r="O42" s="95">
        <v>9</v>
      </c>
      <c r="P42" s="95" t="s">
        <v>65</v>
      </c>
      <c r="Q42" s="95">
        <v>18</v>
      </c>
      <c r="R42" s="95" t="s">
        <v>65</v>
      </c>
      <c r="S42" s="95" t="s">
        <v>65</v>
      </c>
      <c r="T42" s="95">
        <v>3</v>
      </c>
      <c r="U42" s="95">
        <v>18</v>
      </c>
      <c r="V42" s="95" t="s">
        <v>65</v>
      </c>
      <c r="W42" s="95">
        <v>2</v>
      </c>
      <c r="X42" s="123">
        <v>661</v>
      </c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</row>
    <row r="43" spans="1:46" x14ac:dyDescent="0.3">
      <c r="A43" s="305"/>
      <c r="B43" s="323"/>
      <c r="C43" s="95" t="s">
        <v>897</v>
      </c>
      <c r="D43" s="95">
        <v>221</v>
      </c>
      <c r="E43" s="95">
        <v>145</v>
      </c>
      <c r="F43" s="79" t="s">
        <v>65</v>
      </c>
      <c r="G43" s="95" t="s">
        <v>65</v>
      </c>
      <c r="H43" s="95" t="s">
        <v>65</v>
      </c>
      <c r="I43" s="95">
        <v>178</v>
      </c>
      <c r="J43" s="96">
        <v>2118</v>
      </c>
      <c r="K43" s="95">
        <v>13</v>
      </c>
      <c r="L43" s="79" t="s">
        <v>65</v>
      </c>
      <c r="M43" s="95" t="s">
        <v>65</v>
      </c>
      <c r="N43" s="95">
        <v>13</v>
      </c>
      <c r="O43" s="95">
        <v>1</v>
      </c>
      <c r="P43" s="95">
        <v>271</v>
      </c>
      <c r="Q43" s="95">
        <v>8</v>
      </c>
      <c r="R43" s="95" t="s">
        <v>65</v>
      </c>
      <c r="S43" s="95" t="s">
        <v>65</v>
      </c>
      <c r="T43" s="95">
        <v>62</v>
      </c>
      <c r="U43" s="95">
        <v>473</v>
      </c>
      <c r="V43" s="95">
        <v>51</v>
      </c>
      <c r="W43" s="95" t="s">
        <v>65</v>
      </c>
      <c r="X43" s="30">
        <v>3553</v>
      </c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</row>
    <row r="44" spans="1:46" x14ac:dyDescent="0.3">
      <c r="A44" s="305"/>
      <c r="B44" s="323"/>
      <c r="C44" s="95" t="s">
        <v>898</v>
      </c>
      <c r="D44" s="95">
        <v>147</v>
      </c>
      <c r="E44" s="95">
        <v>44</v>
      </c>
      <c r="F44" s="79" t="s">
        <v>65</v>
      </c>
      <c r="G44" s="95" t="s">
        <v>65</v>
      </c>
      <c r="H44" s="95" t="s">
        <v>65</v>
      </c>
      <c r="I44" s="95">
        <v>394</v>
      </c>
      <c r="J44" s="95">
        <v>376</v>
      </c>
      <c r="K44" s="95">
        <v>1</v>
      </c>
      <c r="L44" s="79" t="s">
        <v>65</v>
      </c>
      <c r="M44" s="95" t="s">
        <v>65</v>
      </c>
      <c r="N44" s="95" t="s">
        <v>65</v>
      </c>
      <c r="O44" s="95" t="s">
        <v>65</v>
      </c>
      <c r="P44" s="95">
        <v>11</v>
      </c>
      <c r="Q44" s="95">
        <v>14</v>
      </c>
      <c r="R44" s="95" t="s">
        <v>65</v>
      </c>
      <c r="S44" s="95" t="s">
        <v>65</v>
      </c>
      <c r="T44" s="95">
        <v>33</v>
      </c>
      <c r="U44" s="95">
        <v>47</v>
      </c>
      <c r="V44" s="95">
        <v>11</v>
      </c>
      <c r="W44" s="95" t="s">
        <v>65</v>
      </c>
      <c r="X44" s="30">
        <v>1077</v>
      </c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</row>
    <row r="45" spans="1:46" x14ac:dyDescent="0.3">
      <c r="A45" s="305"/>
      <c r="B45" s="323"/>
      <c r="C45" s="95" t="s">
        <v>899</v>
      </c>
      <c r="D45" s="95">
        <v>149</v>
      </c>
      <c r="E45" s="95">
        <v>33</v>
      </c>
      <c r="F45" s="79" t="s">
        <v>65</v>
      </c>
      <c r="G45" s="95" t="s">
        <v>65</v>
      </c>
      <c r="H45" s="95" t="s">
        <v>65</v>
      </c>
      <c r="I45" s="95">
        <v>7</v>
      </c>
      <c r="J45" s="95">
        <v>44</v>
      </c>
      <c r="K45" s="95">
        <v>11</v>
      </c>
      <c r="L45" s="79" t="s">
        <v>65</v>
      </c>
      <c r="M45" s="95" t="s">
        <v>65</v>
      </c>
      <c r="N45" s="95" t="s">
        <v>65</v>
      </c>
      <c r="O45" s="95" t="s">
        <v>65</v>
      </c>
      <c r="P45" s="95">
        <v>11</v>
      </c>
      <c r="Q45" s="95">
        <v>18</v>
      </c>
      <c r="R45" s="95">
        <v>3</v>
      </c>
      <c r="S45" s="95" t="s">
        <v>65</v>
      </c>
      <c r="T45" s="95">
        <v>13</v>
      </c>
      <c r="U45" s="95">
        <v>12</v>
      </c>
      <c r="V45" s="95">
        <v>534</v>
      </c>
      <c r="W45" s="95" t="s">
        <v>65</v>
      </c>
      <c r="X45" s="123">
        <v>836</v>
      </c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</row>
    <row r="46" spans="1:46" x14ac:dyDescent="0.3">
      <c r="A46" s="305"/>
      <c r="B46" s="308"/>
      <c r="C46" s="95" t="s">
        <v>900</v>
      </c>
      <c r="D46" s="95">
        <v>250</v>
      </c>
      <c r="E46" s="95">
        <v>86</v>
      </c>
      <c r="F46" s="79" t="s">
        <v>65</v>
      </c>
      <c r="G46" s="95">
        <v>2</v>
      </c>
      <c r="H46" s="95">
        <v>20</v>
      </c>
      <c r="I46" s="95">
        <v>789</v>
      </c>
      <c r="J46" s="96">
        <v>3422</v>
      </c>
      <c r="K46" s="95">
        <v>197</v>
      </c>
      <c r="L46" s="79" t="s">
        <v>65</v>
      </c>
      <c r="M46" s="95" t="s">
        <v>65</v>
      </c>
      <c r="N46" s="95" t="s">
        <v>65</v>
      </c>
      <c r="O46" s="95" t="s">
        <v>65</v>
      </c>
      <c r="P46" s="95">
        <v>39</v>
      </c>
      <c r="Q46" s="95">
        <v>59</v>
      </c>
      <c r="R46" s="95">
        <v>27</v>
      </c>
      <c r="S46" s="95" t="s">
        <v>65</v>
      </c>
      <c r="T46" s="95">
        <v>111</v>
      </c>
      <c r="U46" s="95">
        <v>579</v>
      </c>
      <c r="V46" s="95">
        <v>9</v>
      </c>
      <c r="W46" s="95">
        <v>9</v>
      </c>
      <c r="X46" s="30">
        <v>5600</v>
      </c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</row>
    <row r="47" spans="1:46" x14ac:dyDescent="0.3">
      <c r="A47" s="306"/>
      <c r="B47" s="339" t="s">
        <v>110</v>
      </c>
      <c r="C47" s="322"/>
      <c r="D47" s="98">
        <v>20718</v>
      </c>
      <c r="E47" s="98">
        <v>3147</v>
      </c>
      <c r="F47" s="193">
        <v>0</v>
      </c>
      <c r="G47" s="97">
        <v>34</v>
      </c>
      <c r="H47" s="97">
        <v>20</v>
      </c>
      <c r="I47" s="98">
        <v>1692</v>
      </c>
      <c r="J47" s="98">
        <v>7080</v>
      </c>
      <c r="K47" s="98">
        <v>3416</v>
      </c>
      <c r="L47" s="193">
        <v>0</v>
      </c>
      <c r="M47" s="97">
        <v>65</v>
      </c>
      <c r="N47" s="97">
        <v>147</v>
      </c>
      <c r="O47" s="98">
        <v>5370</v>
      </c>
      <c r="P47" s="97">
        <v>436</v>
      </c>
      <c r="Q47" s="98">
        <v>3822</v>
      </c>
      <c r="R47" s="97">
        <v>734</v>
      </c>
      <c r="S47" s="97">
        <v>5</v>
      </c>
      <c r="T47" s="98">
        <v>2589</v>
      </c>
      <c r="U47" s="98">
        <v>1546</v>
      </c>
      <c r="V47" s="97">
        <v>758</v>
      </c>
      <c r="W47" s="98">
        <v>1660</v>
      </c>
      <c r="X47" s="32">
        <v>53240</v>
      </c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</row>
    <row r="48" spans="1:46" x14ac:dyDescent="0.3">
      <c r="A48" s="304" t="s">
        <v>901</v>
      </c>
      <c r="B48" s="307" t="s">
        <v>902</v>
      </c>
      <c r="C48" s="95" t="s">
        <v>903</v>
      </c>
      <c r="D48" s="95">
        <v>1186</v>
      </c>
      <c r="E48" s="95">
        <v>68</v>
      </c>
      <c r="F48" s="79" t="s">
        <v>65</v>
      </c>
      <c r="G48" s="95" t="s">
        <v>65</v>
      </c>
      <c r="H48" s="79" t="s">
        <v>65</v>
      </c>
      <c r="I48" s="95" t="s">
        <v>65</v>
      </c>
      <c r="J48" s="95">
        <v>5</v>
      </c>
      <c r="K48" s="95" t="s">
        <v>65</v>
      </c>
      <c r="L48" s="79" t="s">
        <v>65</v>
      </c>
      <c r="M48" s="79" t="s">
        <v>65</v>
      </c>
      <c r="N48" s="95" t="s">
        <v>65</v>
      </c>
      <c r="O48" s="95" t="s">
        <v>65</v>
      </c>
      <c r="P48" s="95" t="s">
        <v>65</v>
      </c>
      <c r="Q48" s="95">
        <v>318</v>
      </c>
      <c r="R48" s="95" t="s">
        <v>65</v>
      </c>
      <c r="S48" s="79" t="s">
        <v>65</v>
      </c>
      <c r="T48" s="95">
        <v>37</v>
      </c>
      <c r="U48" s="95" t="s">
        <v>65</v>
      </c>
      <c r="V48" s="95" t="s">
        <v>65</v>
      </c>
      <c r="W48" s="95" t="s">
        <v>65</v>
      </c>
      <c r="X48" s="30">
        <v>1614</v>
      </c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</row>
    <row r="49" spans="1:46" x14ac:dyDescent="0.3">
      <c r="A49" s="305"/>
      <c r="B49" s="323"/>
      <c r="C49" s="95" t="s">
        <v>904</v>
      </c>
      <c r="D49" s="95">
        <v>56</v>
      </c>
      <c r="E49" s="95">
        <v>23</v>
      </c>
      <c r="F49" s="79" t="s">
        <v>65</v>
      </c>
      <c r="G49" s="95" t="s">
        <v>65</v>
      </c>
      <c r="H49" s="79" t="s">
        <v>65</v>
      </c>
      <c r="I49" s="95" t="s">
        <v>65</v>
      </c>
      <c r="J49" s="95" t="s">
        <v>65</v>
      </c>
      <c r="K49" s="95" t="s">
        <v>65</v>
      </c>
      <c r="L49" s="79" t="s">
        <v>65</v>
      </c>
      <c r="M49" s="79" t="s">
        <v>65</v>
      </c>
      <c r="N49" s="95" t="s">
        <v>65</v>
      </c>
      <c r="O49" s="95" t="s">
        <v>65</v>
      </c>
      <c r="P49" s="95" t="s">
        <v>65</v>
      </c>
      <c r="Q49" s="95">
        <v>2</v>
      </c>
      <c r="R49" s="95" t="s">
        <v>65</v>
      </c>
      <c r="S49" s="79" t="s">
        <v>65</v>
      </c>
      <c r="T49" s="95" t="s">
        <v>65</v>
      </c>
      <c r="U49" s="95" t="s">
        <v>65</v>
      </c>
      <c r="V49" s="95" t="s">
        <v>65</v>
      </c>
      <c r="W49" s="95" t="s">
        <v>65</v>
      </c>
      <c r="X49" s="123">
        <v>81</v>
      </c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</row>
    <row r="50" spans="1:46" x14ac:dyDescent="0.3">
      <c r="A50" s="305"/>
      <c r="B50" s="323"/>
      <c r="C50" s="95" t="s">
        <v>905</v>
      </c>
      <c r="D50" s="95">
        <v>108</v>
      </c>
      <c r="E50" s="95">
        <v>4</v>
      </c>
      <c r="F50" s="79" t="s">
        <v>65</v>
      </c>
      <c r="G50" s="95" t="s">
        <v>65</v>
      </c>
      <c r="H50" s="79" t="s">
        <v>65</v>
      </c>
      <c r="I50" s="95" t="s">
        <v>65</v>
      </c>
      <c r="J50" s="95" t="s">
        <v>65</v>
      </c>
      <c r="K50" s="95">
        <v>22</v>
      </c>
      <c r="L50" s="79" t="s">
        <v>65</v>
      </c>
      <c r="M50" s="79" t="s">
        <v>65</v>
      </c>
      <c r="N50" s="95" t="s">
        <v>65</v>
      </c>
      <c r="O50" s="95" t="s">
        <v>65</v>
      </c>
      <c r="P50" s="95" t="s">
        <v>65</v>
      </c>
      <c r="Q50" s="95">
        <v>52</v>
      </c>
      <c r="R50" s="95" t="s">
        <v>65</v>
      </c>
      <c r="S50" s="79" t="s">
        <v>65</v>
      </c>
      <c r="T50" s="95">
        <v>10</v>
      </c>
      <c r="U50" s="95" t="s">
        <v>65</v>
      </c>
      <c r="V50" s="95" t="s">
        <v>65</v>
      </c>
      <c r="W50" s="95" t="s">
        <v>65</v>
      </c>
      <c r="X50" s="123">
        <v>196</v>
      </c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</row>
    <row r="51" spans="1:46" x14ac:dyDescent="0.3">
      <c r="A51" s="305"/>
      <c r="B51" s="323"/>
      <c r="C51" s="95" t="s">
        <v>906</v>
      </c>
      <c r="D51" s="95">
        <v>325</v>
      </c>
      <c r="E51" s="95">
        <v>25</v>
      </c>
      <c r="F51" s="79" t="s">
        <v>65</v>
      </c>
      <c r="G51" s="95" t="s">
        <v>65</v>
      </c>
      <c r="H51" s="79" t="s">
        <v>65</v>
      </c>
      <c r="I51" s="95" t="s">
        <v>65</v>
      </c>
      <c r="J51" s="95" t="s">
        <v>65</v>
      </c>
      <c r="K51" s="95" t="s">
        <v>65</v>
      </c>
      <c r="L51" s="79" t="s">
        <v>65</v>
      </c>
      <c r="M51" s="79" t="s">
        <v>65</v>
      </c>
      <c r="N51" s="95">
        <v>6</v>
      </c>
      <c r="O51" s="95">
        <v>1</v>
      </c>
      <c r="P51" s="95" t="s">
        <v>65</v>
      </c>
      <c r="Q51" s="95">
        <v>65</v>
      </c>
      <c r="R51" s="95" t="s">
        <v>65</v>
      </c>
      <c r="S51" s="79" t="s">
        <v>65</v>
      </c>
      <c r="T51" s="95">
        <v>15</v>
      </c>
      <c r="U51" s="95" t="s">
        <v>65</v>
      </c>
      <c r="V51" s="95" t="s">
        <v>65</v>
      </c>
      <c r="W51" s="95" t="s">
        <v>65</v>
      </c>
      <c r="X51" s="123">
        <v>437</v>
      </c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</row>
    <row r="52" spans="1:46" x14ac:dyDescent="0.3">
      <c r="A52" s="305"/>
      <c r="B52" s="308"/>
      <c r="C52" s="95" t="s">
        <v>907</v>
      </c>
      <c r="D52" s="95">
        <v>356</v>
      </c>
      <c r="E52" s="95">
        <v>37</v>
      </c>
      <c r="F52" s="79" t="s">
        <v>65</v>
      </c>
      <c r="G52" s="95" t="s">
        <v>65</v>
      </c>
      <c r="H52" s="79" t="s">
        <v>65</v>
      </c>
      <c r="I52" s="95" t="s">
        <v>65</v>
      </c>
      <c r="J52" s="95" t="s">
        <v>65</v>
      </c>
      <c r="K52" s="95" t="s">
        <v>65</v>
      </c>
      <c r="L52" s="79" t="s">
        <v>65</v>
      </c>
      <c r="M52" s="79" t="s">
        <v>65</v>
      </c>
      <c r="N52" s="95">
        <v>7</v>
      </c>
      <c r="O52" s="95" t="s">
        <v>65</v>
      </c>
      <c r="P52" s="95" t="s">
        <v>65</v>
      </c>
      <c r="Q52" s="95">
        <v>94</v>
      </c>
      <c r="R52" s="95" t="s">
        <v>65</v>
      </c>
      <c r="S52" s="79" t="s">
        <v>65</v>
      </c>
      <c r="T52" s="95">
        <v>29</v>
      </c>
      <c r="U52" s="95" t="s">
        <v>65</v>
      </c>
      <c r="V52" s="95">
        <v>5</v>
      </c>
      <c r="W52" s="95" t="s">
        <v>65</v>
      </c>
      <c r="X52" s="123">
        <v>528</v>
      </c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</row>
    <row r="53" spans="1:46" ht="33" x14ac:dyDescent="0.3">
      <c r="A53" s="305"/>
      <c r="B53" s="307" t="s">
        <v>908</v>
      </c>
      <c r="C53" s="168" t="s">
        <v>909</v>
      </c>
      <c r="D53" s="177">
        <v>1960</v>
      </c>
      <c r="E53" s="168">
        <v>363</v>
      </c>
      <c r="F53" s="79" t="s">
        <v>65</v>
      </c>
      <c r="G53" s="168">
        <v>1</v>
      </c>
      <c r="H53" s="79" t="s">
        <v>65</v>
      </c>
      <c r="I53" s="168">
        <v>17</v>
      </c>
      <c r="J53" s="168" t="s">
        <v>65</v>
      </c>
      <c r="K53" s="168">
        <v>70</v>
      </c>
      <c r="L53" s="79" t="s">
        <v>65</v>
      </c>
      <c r="M53" s="79" t="s">
        <v>65</v>
      </c>
      <c r="N53" s="168">
        <v>34</v>
      </c>
      <c r="O53" s="168">
        <v>2</v>
      </c>
      <c r="P53" s="168">
        <v>5</v>
      </c>
      <c r="Q53" s="177">
        <v>1533</v>
      </c>
      <c r="R53" s="168" t="s">
        <v>65</v>
      </c>
      <c r="S53" s="79" t="s">
        <v>65</v>
      </c>
      <c r="T53" s="168">
        <v>374</v>
      </c>
      <c r="U53" s="168">
        <v>4</v>
      </c>
      <c r="V53" s="168">
        <v>184</v>
      </c>
      <c r="W53" s="168" t="s">
        <v>65</v>
      </c>
      <c r="X53" s="190">
        <v>4548</v>
      </c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</row>
    <row r="54" spans="1:46" x14ac:dyDescent="0.3">
      <c r="A54" s="305"/>
      <c r="B54" s="308"/>
      <c r="C54" s="95" t="s">
        <v>910</v>
      </c>
      <c r="D54" s="95">
        <v>1003</v>
      </c>
      <c r="E54" s="95">
        <v>179</v>
      </c>
      <c r="F54" s="79" t="s">
        <v>65</v>
      </c>
      <c r="G54" s="95">
        <v>37</v>
      </c>
      <c r="H54" s="79" t="s">
        <v>65</v>
      </c>
      <c r="I54" s="95">
        <v>4</v>
      </c>
      <c r="J54" s="95" t="s">
        <v>65</v>
      </c>
      <c r="K54" s="95">
        <v>21</v>
      </c>
      <c r="L54" s="79" t="s">
        <v>65</v>
      </c>
      <c r="M54" s="79" t="s">
        <v>65</v>
      </c>
      <c r="N54" s="95">
        <v>57</v>
      </c>
      <c r="O54" s="95" t="s">
        <v>65</v>
      </c>
      <c r="P54" s="95">
        <v>5</v>
      </c>
      <c r="Q54" s="95">
        <v>546</v>
      </c>
      <c r="R54" s="95" t="s">
        <v>65</v>
      </c>
      <c r="S54" s="79" t="s">
        <v>65</v>
      </c>
      <c r="T54" s="95">
        <v>201</v>
      </c>
      <c r="U54" s="95">
        <v>2</v>
      </c>
      <c r="V54" s="95" t="s">
        <v>65</v>
      </c>
      <c r="W54" s="95">
        <v>6</v>
      </c>
      <c r="X54" s="30">
        <v>2061</v>
      </c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</row>
    <row r="55" spans="1:46" x14ac:dyDescent="0.3">
      <c r="A55" s="305"/>
      <c r="B55" s="307" t="s">
        <v>911</v>
      </c>
      <c r="C55" s="95" t="s">
        <v>912</v>
      </c>
      <c r="D55" s="95">
        <v>330</v>
      </c>
      <c r="E55" s="95">
        <v>53</v>
      </c>
      <c r="F55" s="79" t="s">
        <v>65</v>
      </c>
      <c r="G55" s="95" t="s">
        <v>65</v>
      </c>
      <c r="H55" s="79" t="s">
        <v>65</v>
      </c>
      <c r="I55" s="95" t="s">
        <v>65</v>
      </c>
      <c r="J55" s="95" t="s">
        <v>65</v>
      </c>
      <c r="K55" s="95">
        <v>23</v>
      </c>
      <c r="L55" s="79" t="s">
        <v>65</v>
      </c>
      <c r="M55" s="79" t="s">
        <v>65</v>
      </c>
      <c r="N55" s="95" t="s">
        <v>65</v>
      </c>
      <c r="O55" s="95">
        <v>11</v>
      </c>
      <c r="P55" s="95" t="s">
        <v>65</v>
      </c>
      <c r="Q55" s="95">
        <v>48</v>
      </c>
      <c r="R55" s="95" t="s">
        <v>65</v>
      </c>
      <c r="S55" s="79" t="s">
        <v>65</v>
      </c>
      <c r="T55" s="95">
        <v>8</v>
      </c>
      <c r="U55" s="95" t="s">
        <v>65</v>
      </c>
      <c r="V55" s="95">
        <v>3</v>
      </c>
      <c r="W55" s="95" t="s">
        <v>65</v>
      </c>
      <c r="X55" s="123">
        <v>476</v>
      </c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</row>
    <row r="56" spans="1:46" x14ac:dyDescent="0.3">
      <c r="A56" s="305"/>
      <c r="B56" s="323"/>
      <c r="C56" s="95" t="s">
        <v>913</v>
      </c>
      <c r="D56" s="95">
        <v>176</v>
      </c>
      <c r="E56" s="95">
        <v>25</v>
      </c>
      <c r="F56" s="79" t="s">
        <v>65</v>
      </c>
      <c r="G56" s="95" t="s">
        <v>65</v>
      </c>
      <c r="H56" s="79" t="s">
        <v>65</v>
      </c>
      <c r="I56" s="95" t="s">
        <v>65</v>
      </c>
      <c r="J56" s="95" t="s">
        <v>65</v>
      </c>
      <c r="K56" s="95">
        <v>32</v>
      </c>
      <c r="L56" s="79" t="s">
        <v>65</v>
      </c>
      <c r="M56" s="79" t="s">
        <v>65</v>
      </c>
      <c r="N56" s="95" t="s">
        <v>65</v>
      </c>
      <c r="O56" s="95">
        <v>87</v>
      </c>
      <c r="P56" s="95">
        <v>1</v>
      </c>
      <c r="Q56" s="95">
        <v>62</v>
      </c>
      <c r="R56" s="95">
        <v>1</v>
      </c>
      <c r="S56" s="79" t="s">
        <v>65</v>
      </c>
      <c r="T56" s="95">
        <v>26</v>
      </c>
      <c r="U56" s="95">
        <v>2</v>
      </c>
      <c r="V56" s="95" t="s">
        <v>65</v>
      </c>
      <c r="W56" s="95" t="s">
        <v>65</v>
      </c>
      <c r="X56" s="123">
        <v>411</v>
      </c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</row>
    <row r="57" spans="1:46" x14ac:dyDescent="0.3">
      <c r="A57" s="305"/>
      <c r="B57" s="308"/>
      <c r="C57" s="95" t="s">
        <v>914</v>
      </c>
      <c r="D57" s="95">
        <v>165</v>
      </c>
      <c r="E57" s="95">
        <v>7</v>
      </c>
      <c r="F57" s="79" t="s">
        <v>65</v>
      </c>
      <c r="G57" s="95" t="s">
        <v>65</v>
      </c>
      <c r="H57" s="79" t="s">
        <v>65</v>
      </c>
      <c r="I57" s="95" t="s">
        <v>65</v>
      </c>
      <c r="J57" s="95" t="s">
        <v>65</v>
      </c>
      <c r="K57" s="95">
        <v>18</v>
      </c>
      <c r="L57" s="79" t="s">
        <v>65</v>
      </c>
      <c r="M57" s="79" t="s">
        <v>65</v>
      </c>
      <c r="N57" s="95">
        <v>95</v>
      </c>
      <c r="O57" s="95">
        <v>12</v>
      </c>
      <c r="P57" s="95" t="s">
        <v>65</v>
      </c>
      <c r="Q57" s="95">
        <v>33</v>
      </c>
      <c r="R57" s="95">
        <v>3</v>
      </c>
      <c r="S57" s="79" t="s">
        <v>65</v>
      </c>
      <c r="T57" s="95">
        <v>5</v>
      </c>
      <c r="U57" s="95" t="s">
        <v>65</v>
      </c>
      <c r="V57" s="95" t="s">
        <v>65</v>
      </c>
      <c r="W57" s="95" t="s">
        <v>65</v>
      </c>
      <c r="X57" s="123">
        <v>339</v>
      </c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</row>
    <row r="58" spans="1:46" x14ac:dyDescent="0.3">
      <c r="A58" s="305"/>
      <c r="B58" s="307" t="s">
        <v>915</v>
      </c>
      <c r="C58" s="95" t="s">
        <v>916</v>
      </c>
      <c r="D58" s="95">
        <v>274</v>
      </c>
      <c r="E58" s="95">
        <v>15</v>
      </c>
      <c r="F58" s="79" t="s">
        <v>65</v>
      </c>
      <c r="G58" s="95" t="s">
        <v>65</v>
      </c>
      <c r="H58" s="79" t="s">
        <v>65</v>
      </c>
      <c r="I58" s="95" t="s">
        <v>65</v>
      </c>
      <c r="J58" s="95" t="s">
        <v>65</v>
      </c>
      <c r="K58" s="95" t="s">
        <v>65</v>
      </c>
      <c r="L58" s="79" t="s">
        <v>65</v>
      </c>
      <c r="M58" s="79" t="s">
        <v>65</v>
      </c>
      <c r="N58" s="95">
        <v>29</v>
      </c>
      <c r="O58" s="95" t="s">
        <v>65</v>
      </c>
      <c r="P58" s="95" t="s">
        <v>65</v>
      </c>
      <c r="Q58" s="95">
        <v>67</v>
      </c>
      <c r="R58" s="95" t="s">
        <v>65</v>
      </c>
      <c r="S58" s="79" t="s">
        <v>65</v>
      </c>
      <c r="T58" s="95">
        <v>10</v>
      </c>
      <c r="U58" s="95" t="s">
        <v>65</v>
      </c>
      <c r="V58" s="95" t="s">
        <v>65</v>
      </c>
      <c r="W58" s="95" t="s">
        <v>65</v>
      </c>
      <c r="X58" s="123">
        <v>395</v>
      </c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</row>
    <row r="59" spans="1:46" x14ac:dyDescent="0.3">
      <c r="A59" s="305"/>
      <c r="B59" s="323"/>
      <c r="C59" s="168" t="s">
        <v>917</v>
      </c>
      <c r="D59" s="168">
        <v>190</v>
      </c>
      <c r="E59" s="168">
        <v>10</v>
      </c>
      <c r="F59" s="79" t="s">
        <v>65</v>
      </c>
      <c r="G59" s="168" t="s">
        <v>65</v>
      </c>
      <c r="H59" s="79" t="s">
        <v>65</v>
      </c>
      <c r="I59" s="168" t="s">
        <v>65</v>
      </c>
      <c r="J59" s="168" t="s">
        <v>65</v>
      </c>
      <c r="K59" s="168">
        <v>1</v>
      </c>
      <c r="L59" s="79" t="s">
        <v>65</v>
      </c>
      <c r="M59" s="79" t="s">
        <v>65</v>
      </c>
      <c r="N59" s="168" t="s">
        <v>65</v>
      </c>
      <c r="O59" s="168" t="s">
        <v>65</v>
      </c>
      <c r="P59" s="168" t="s">
        <v>65</v>
      </c>
      <c r="Q59" s="168">
        <v>208</v>
      </c>
      <c r="R59" s="168" t="s">
        <v>65</v>
      </c>
      <c r="S59" s="79" t="s">
        <v>65</v>
      </c>
      <c r="T59" s="168">
        <v>31</v>
      </c>
      <c r="U59" s="168" t="s">
        <v>65</v>
      </c>
      <c r="V59" s="168" t="s">
        <v>65</v>
      </c>
      <c r="W59" s="168" t="s">
        <v>65</v>
      </c>
      <c r="X59" s="38">
        <v>440</v>
      </c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</row>
    <row r="60" spans="1:46" x14ac:dyDescent="0.3">
      <c r="A60" s="305"/>
      <c r="B60" s="323"/>
      <c r="C60" s="95" t="s">
        <v>918</v>
      </c>
      <c r="D60" s="95">
        <v>82</v>
      </c>
      <c r="E60" s="95">
        <v>7</v>
      </c>
      <c r="F60" s="79" t="s">
        <v>65</v>
      </c>
      <c r="G60" s="95" t="s">
        <v>65</v>
      </c>
      <c r="H60" s="79" t="s">
        <v>65</v>
      </c>
      <c r="I60" s="95" t="s">
        <v>65</v>
      </c>
      <c r="J60" s="95" t="s">
        <v>65</v>
      </c>
      <c r="K60" s="95" t="s">
        <v>65</v>
      </c>
      <c r="L60" s="79" t="s">
        <v>65</v>
      </c>
      <c r="M60" s="79" t="s">
        <v>65</v>
      </c>
      <c r="N60" s="95" t="s">
        <v>65</v>
      </c>
      <c r="O60" s="95" t="s">
        <v>65</v>
      </c>
      <c r="P60" s="95" t="s">
        <v>65</v>
      </c>
      <c r="Q60" s="95" t="s">
        <v>65</v>
      </c>
      <c r="R60" s="95" t="s">
        <v>65</v>
      </c>
      <c r="S60" s="79" t="s">
        <v>65</v>
      </c>
      <c r="T60" s="95">
        <v>1</v>
      </c>
      <c r="U60" s="95" t="s">
        <v>65</v>
      </c>
      <c r="V60" s="95" t="s">
        <v>65</v>
      </c>
      <c r="W60" s="95" t="s">
        <v>65</v>
      </c>
      <c r="X60" s="123">
        <v>90</v>
      </c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</row>
    <row r="61" spans="1:46" x14ac:dyDescent="0.3">
      <c r="A61" s="305"/>
      <c r="B61" s="323"/>
      <c r="C61" s="95" t="s">
        <v>919</v>
      </c>
      <c r="D61" s="95">
        <v>141</v>
      </c>
      <c r="E61" s="95">
        <v>16</v>
      </c>
      <c r="F61" s="79" t="s">
        <v>65</v>
      </c>
      <c r="G61" s="95" t="s">
        <v>65</v>
      </c>
      <c r="H61" s="79" t="s">
        <v>65</v>
      </c>
      <c r="I61" s="95" t="s">
        <v>65</v>
      </c>
      <c r="J61" s="95" t="s">
        <v>65</v>
      </c>
      <c r="K61" s="95">
        <v>5</v>
      </c>
      <c r="L61" s="79" t="s">
        <v>65</v>
      </c>
      <c r="M61" s="79" t="s">
        <v>65</v>
      </c>
      <c r="N61" s="95">
        <v>17</v>
      </c>
      <c r="O61" s="95" t="s">
        <v>65</v>
      </c>
      <c r="P61" s="95" t="s">
        <v>65</v>
      </c>
      <c r="Q61" s="95">
        <v>26</v>
      </c>
      <c r="R61" s="95" t="s">
        <v>65</v>
      </c>
      <c r="S61" s="79" t="s">
        <v>65</v>
      </c>
      <c r="T61" s="95">
        <v>33</v>
      </c>
      <c r="U61" s="95" t="s">
        <v>65</v>
      </c>
      <c r="V61" s="95" t="s">
        <v>65</v>
      </c>
      <c r="W61" s="95" t="s">
        <v>65</v>
      </c>
      <c r="X61" s="123">
        <v>238</v>
      </c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</row>
    <row r="62" spans="1:46" x14ac:dyDescent="0.3">
      <c r="A62" s="305"/>
      <c r="B62" s="323"/>
      <c r="C62" s="95" t="s">
        <v>920</v>
      </c>
      <c r="D62" s="95">
        <v>176</v>
      </c>
      <c r="E62" s="95">
        <v>32</v>
      </c>
      <c r="F62" s="79" t="s">
        <v>65</v>
      </c>
      <c r="G62" s="95" t="s">
        <v>65</v>
      </c>
      <c r="H62" s="79" t="s">
        <v>65</v>
      </c>
      <c r="I62" s="95" t="s">
        <v>65</v>
      </c>
      <c r="J62" s="95" t="s">
        <v>65</v>
      </c>
      <c r="K62" s="95" t="s">
        <v>65</v>
      </c>
      <c r="L62" s="79" t="s">
        <v>65</v>
      </c>
      <c r="M62" s="79" t="s">
        <v>65</v>
      </c>
      <c r="N62" s="95" t="s">
        <v>65</v>
      </c>
      <c r="O62" s="95" t="s">
        <v>65</v>
      </c>
      <c r="P62" s="95" t="s">
        <v>65</v>
      </c>
      <c r="Q62" s="95">
        <v>13</v>
      </c>
      <c r="R62" s="95" t="s">
        <v>65</v>
      </c>
      <c r="S62" s="79" t="s">
        <v>65</v>
      </c>
      <c r="T62" s="95">
        <v>4</v>
      </c>
      <c r="U62" s="95" t="s">
        <v>65</v>
      </c>
      <c r="V62" s="95">
        <v>4</v>
      </c>
      <c r="W62" s="95" t="s">
        <v>65</v>
      </c>
      <c r="X62" s="123">
        <v>228</v>
      </c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</row>
    <row r="63" spans="1:46" x14ac:dyDescent="0.3">
      <c r="A63" s="305"/>
      <c r="B63" s="323"/>
      <c r="C63" s="95" t="s">
        <v>921</v>
      </c>
      <c r="D63" s="95">
        <v>167</v>
      </c>
      <c r="E63" s="95">
        <v>28</v>
      </c>
      <c r="F63" s="79" t="s">
        <v>65</v>
      </c>
      <c r="G63" s="95" t="s">
        <v>65</v>
      </c>
      <c r="H63" s="79" t="s">
        <v>65</v>
      </c>
      <c r="I63" s="95" t="s">
        <v>65</v>
      </c>
      <c r="J63" s="95" t="s">
        <v>65</v>
      </c>
      <c r="K63" s="95">
        <v>6</v>
      </c>
      <c r="L63" s="79" t="s">
        <v>65</v>
      </c>
      <c r="M63" s="79" t="s">
        <v>65</v>
      </c>
      <c r="N63" s="95">
        <v>7</v>
      </c>
      <c r="O63" s="95" t="s">
        <v>65</v>
      </c>
      <c r="P63" s="95" t="s">
        <v>65</v>
      </c>
      <c r="Q63" s="95">
        <v>93</v>
      </c>
      <c r="R63" s="95" t="s">
        <v>65</v>
      </c>
      <c r="S63" s="79" t="s">
        <v>65</v>
      </c>
      <c r="T63" s="95">
        <v>22</v>
      </c>
      <c r="U63" s="95" t="s">
        <v>65</v>
      </c>
      <c r="V63" s="95" t="s">
        <v>65</v>
      </c>
      <c r="W63" s="95" t="s">
        <v>65</v>
      </c>
      <c r="X63" s="123">
        <v>323</v>
      </c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</row>
    <row r="64" spans="1:46" x14ac:dyDescent="0.3">
      <c r="A64" s="305"/>
      <c r="B64" s="323"/>
      <c r="C64" s="95" t="s">
        <v>922</v>
      </c>
      <c r="D64" s="95">
        <v>182</v>
      </c>
      <c r="E64" s="95">
        <v>9</v>
      </c>
      <c r="F64" s="79" t="s">
        <v>65</v>
      </c>
      <c r="G64" s="95" t="s">
        <v>65</v>
      </c>
      <c r="H64" s="79" t="s">
        <v>65</v>
      </c>
      <c r="I64" s="95" t="s">
        <v>65</v>
      </c>
      <c r="J64" s="95" t="s">
        <v>65</v>
      </c>
      <c r="K64" s="95">
        <v>3</v>
      </c>
      <c r="L64" s="79" t="s">
        <v>65</v>
      </c>
      <c r="M64" s="79" t="s">
        <v>65</v>
      </c>
      <c r="N64" s="95">
        <v>19</v>
      </c>
      <c r="O64" s="95" t="s">
        <v>65</v>
      </c>
      <c r="P64" s="95" t="s">
        <v>65</v>
      </c>
      <c r="Q64" s="95">
        <v>207</v>
      </c>
      <c r="R64" s="95" t="s">
        <v>65</v>
      </c>
      <c r="S64" s="79" t="s">
        <v>65</v>
      </c>
      <c r="T64" s="95">
        <v>27</v>
      </c>
      <c r="U64" s="95" t="s">
        <v>65</v>
      </c>
      <c r="V64" s="95" t="s">
        <v>65</v>
      </c>
      <c r="W64" s="95" t="s">
        <v>65</v>
      </c>
      <c r="X64" s="123">
        <v>447</v>
      </c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</row>
    <row r="65" spans="1:46" x14ac:dyDescent="0.3">
      <c r="A65" s="305"/>
      <c r="B65" s="308"/>
      <c r="C65" s="95" t="s">
        <v>923</v>
      </c>
      <c r="D65" s="95">
        <v>416</v>
      </c>
      <c r="E65" s="95">
        <v>30</v>
      </c>
      <c r="F65" s="79" t="s">
        <v>65</v>
      </c>
      <c r="G65" s="95" t="s">
        <v>65</v>
      </c>
      <c r="H65" s="79" t="s">
        <v>65</v>
      </c>
      <c r="I65" s="95" t="s">
        <v>65</v>
      </c>
      <c r="J65" s="95" t="s">
        <v>65</v>
      </c>
      <c r="K65" s="95">
        <v>7</v>
      </c>
      <c r="L65" s="79" t="s">
        <v>65</v>
      </c>
      <c r="M65" s="79" t="s">
        <v>65</v>
      </c>
      <c r="N65" s="95">
        <v>8</v>
      </c>
      <c r="O65" s="95">
        <v>1</v>
      </c>
      <c r="P65" s="95" t="s">
        <v>65</v>
      </c>
      <c r="Q65" s="95">
        <v>333</v>
      </c>
      <c r="R65" s="95" t="s">
        <v>65</v>
      </c>
      <c r="S65" s="79" t="s">
        <v>65</v>
      </c>
      <c r="T65" s="95">
        <v>75</v>
      </c>
      <c r="U65" s="95">
        <v>2</v>
      </c>
      <c r="V65" s="95">
        <v>4</v>
      </c>
      <c r="W65" s="95" t="s">
        <v>65</v>
      </c>
      <c r="X65" s="123">
        <v>877</v>
      </c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</row>
    <row r="66" spans="1:46" x14ac:dyDescent="0.3">
      <c r="A66" s="306"/>
      <c r="B66" s="339" t="s">
        <v>110</v>
      </c>
      <c r="C66" s="322"/>
      <c r="D66" s="98">
        <v>7296</v>
      </c>
      <c r="E66" s="97">
        <v>931</v>
      </c>
      <c r="F66" s="193">
        <v>0</v>
      </c>
      <c r="G66" s="97">
        <v>38</v>
      </c>
      <c r="H66" s="193">
        <v>0</v>
      </c>
      <c r="I66" s="97">
        <v>21</v>
      </c>
      <c r="J66" s="97">
        <v>5</v>
      </c>
      <c r="K66" s="97">
        <v>207</v>
      </c>
      <c r="L66" s="193">
        <v>0</v>
      </c>
      <c r="M66" s="193">
        <v>0</v>
      </c>
      <c r="N66" s="97">
        <v>281</v>
      </c>
      <c r="O66" s="97">
        <v>114</v>
      </c>
      <c r="P66" s="97">
        <v>10</v>
      </c>
      <c r="Q66" s="98">
        <v>3698</v>
      </c>
      <c r="R66" s="97">
        <v>4</v>
      </c>
      <c r="S66" s="193">
        <v>0</v>
      </c>
      <c r="T66" s="97">
        <v>908</v>
      </c>
      <c r="U66" s="97">
        <v>11</v>
      </c>
      <c r="V66" s="97">
        <v>200</v>
      </c>
      <c r="W66" s="97">
        <v>6</v>
      </c>
      <c r="X66" s="32">
        <v>13729</v>
      </c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</row>
    <row r="67" spans="1:46" x14ac:dyDescent="0.3">
      <c r="A67" s="304" t="s">
        <v>924</v>
      </c>
      <c r="B67" s="307" t="s">
        <v>925</v>
      </c>
      <c r="C67" s="95" t="s">
        <v>926</v>
      </c>
      <c r="D67" s="95">
        <v>1514</v>
      </c>
      <c r="E67" s="95">
        <v>2</v>
      </c>
      <c r="F67" s="79" t="s">
        <v>65</v>
      </c>
      <c r="G67" s="95">
        <v>148</v>
      </c>
      <c r="H67" s="95" t="s">
        <v>65</v>
      </c>
      <c r="I67" s="79" t="s">
        <v>65</v>
      </c>
      <c r="J67" s="95" t="s">
        <v>65</v>
      </c>
      <c r="K67" s="95">
        <v>952</v>
      </c>
      <c r="L67" s="79" t="s">
        <v>65</v>
      </c>
      <c r="M67" s="79" t="s">
        <v>65</v>
      </c>
      <c r="N67" s="96">
        <v>1713</v>
      </c>
      <c r="O67" s="79" t="s">
        <v>65</v>
      </c>
      <c r="P67" s="95" t="s">
        <v>65</v>
      </c>
      <c r="Q67" s="95" t="s">
        <v>65</v>
      </c>
      <c r="R67" s="79" t="s">
        <v>65</v>
      </c>
      <c r="S67" s="79" t="s">
        <v>65</v>
      </c>
      <c r="T67" s="95">
        <v>5</v>
      </c>
      <c r="U67" s="95">
        <v>123</v>
      </c>
      <c r="V67" s="95">
        <v>2</v>
      </c>
      <c r="W67" s="95">
        <v>39</v>
      </c>
      <c r="X67" s="30">
        <v>4497</v>
      </c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</row>
    <row r="68" spans="1:46" x14ac:dyDescent="0.3">
      <c r="A68" s="305"/>
      <c r="B68" s="323"/>
      <c r="C68" s="95" t="s">
        <v>927</v>
      </c>
      <c r="D68" s="95">
        <v>163</v>
      </c>
      <c r="E68" s="95" t="s">
        <v>65</v>
      </c>
      <c r="F68" s="79" t="s">
        <v>65</v>
      </c>
      <c r="G68" s="95" t="s">
        <v>65</v>
      </c>
      <c r="H68" s="95">
        <v>98</v>
      </c>
      <c r="I68" s="79" t="s">
        <v>65</v>
      </c>
      <c r="J68" s="95" t="s">
        <v>65</v>
      </c>
      <c r="K68" s="95">
        <v>18</v>
      </c>
      <c r="L68" s="79" t="s">
        <v>65</v>
      </c>
      <c r="M68" s="79" t="s">
        <v>65</v>
      </c>
      <c r="N68" s="95">
        <v>9</v>
      </c>
      <c r="O68" s="79" t="s">
        <v>65</v>
      </c>
      <c r="P68" s="95" t="s">
        <v>65</v>
      </c>
      <c r="Q68" s="95">
        <v>0</v>
      </c>
      <c r="R68" s="79" t="s">
        <v>65</v>
      </c>
      <c r="S68" s="79" t="s">
        <v>65</v>
      </c>
      <c r="T68" s="95">
        <v>0</v>
      </c>
      <c r="U68" s="95">
        <v>49</v>
      </c>
      <c r="V68" s="95" t="s">
        <v>65</v>
      </c>
      <c r="W68" s="95">
        <v>10</v>
      </c>
      <c r="X68" s="123">
        <v>346</v>
      </c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</row>
    <row r="69" spans="1:46" x14ac:dyDescent="0.3">
      <c r="A69" s="305"/>
      <c r="B69" s="323"/>
      <c r="C69" s="95" t="s">
        <v>928</v>
      </c>
      <c r="D69" s="95">
        <v>156</v>
      </c>
      <c r="E69" s="95">
        <v>7</v>
      </c>
      <c r="F69" s="79" t="s">
        <v>65</v>
      </c>
      <c r="G69" s="95">
        <v>71</v>
      </c>
      <c r="H69" s="95" t="s">
        <v>65</v>
      </c>
      <c r="I69" s="79" t="s">
        <v>65</v>
      </c>
      <c r="J69" s="95" t="s">
        <v>65</v>
      </c>
      <c r="K69" s="95">
        <v>305</v>
      </c>
      <c r="L69" s="79" t="s">
        <v>65</v>
      </c>
      <c r="M69" s="79" t="s">
        <v>65</v>
      </c>
      <c r="N69" s="95">
        <v>245</v>
      </c>
      <c r="O69" s="79" t="s">
        <v>65</v>
      </c>
      <c r="P69" s="95" t="s">
        <v>65</v>
      </c>
      <c r="Q69" s="95">
        <v>3</v>
      </c>
      <c r="R69" s="79" t="s">
        <v>65</v>
      </c>
      <c r="S69" s="79" t="s">
        <v>65</v>
      </c>
      <c r="T69" s="95">
        <v>3</v>
      </c>
      <c r="U69" s="95">
        <v>158</v>
      </c>
      <c r="V69" s="95" t="s">
        <v>65</v>
      </c>
      <c r="W69" s="95" t="s">
        <v>65</v>
      </c>
      <c r="X69" s="123">
        <v>948</v>
      </c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</row>
    <row r="70" spans="1:46" x14ac:dyDescent="0.3">
      <c r="A70" s="305"/>
      <c r="B70" s="308"/>
      <c r="C70" s="95" t="s">
        <v>929</v>
      </c>
      <c r="D70" s="95">
        <v>458</v>
      </c>
      <c r="E70" s="95">
        <v>5</v>
      </c>
      <c r="F70" s="79" t="s">
        <v>65</v>
      </c>
      <c r="G70" s="95">
        <v>17</v>
      </c>
      <c r="H70" s="95">
        <v>7</v>
      </c>
      <c r="I70" s="79" t="s">
        <v>65</v>
      </c>
      <c r="J70" s="95">
        <v>13</v>
      </c>
      <c r="K70" s="95">
        <v>25</v>
      </c>
      <c r="L70" s="79" t="s">
        <v>65</v>
      </c>
      <c r="M70" s="79" t="s">
        <v>65</v>
      </c>
      <c r="N70" s="95">
        <v>587</v>
      </c>
      <c r="O70" s="79" t="s">
        <v>65</v>
      </c>
      <c r="P70" s="95" t="s">
        <v>65</v>
      </c>
      <c r="Q70" s="95">
        <v>3</v>
      </c>
      <c r="R70" s="79" t="s">
        <v>65</v>
      </c>
      <c r="S70" s="79" t="s">
        <v>65</v>
      </c>
      <c r="T70" s="95">
        <v>14</v>
      </c>
      <c r="U70" s="95">
        <v>75</v>
      </c>
      <c r="V70" s="95">
        <v>5</v>
      </c>
      <c r="W70" s="95">
        <v>68</v>
      </c>
      <c r="X70" s="123">
        <v>1278</v>
      </c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</row>
    <row r="71" spans="1:46" x14ac:dyDescent="0.3">
      <c r="A71" s="305"/>
      <c r="B71" s="307" t="s">
        <v>930</v>
      </c>
      <c r="C71" s="95" t="s">
        <v>931</v>
      </c>
      <c r="D71" s="96">
        <v>1387</v>
      </c>
      <c r="E71" s="95">
        <v>2</v>
      </c>
      <c r="F71" s="79" t="s">
        <v>65</v>
      </c>
      <c r="G71" s="95" t="s">
        <v>65</v>
      </c>
      <c r="H71" s="95" t="s">
        <v>65</v>
      </c>
      <c r="I71" s="79" t="s">
        <v>65</v>
      </c>
      <c r="J71" s="95" t="s">
        <v>65</v>
      </c>
      <c r="K71" s="95">
        <v>33</v>
      </c>
      <c r="L71" s="79" t="s">
        <v>65</v>
      </c>
      <c r="M71" s="79" t="s">
        <v>65</v>
      </c>
      <c r="N71" s="95">
        <v>425</v>
      </c>
      <c r="O71" s="79" t="s">
        <v>65</v>
      </c>
      <c r="P71" s="95" t="s">
        <v>65</v>
      </c>
      <c r="Q71" s="95">
        <v>6</v>
      </c>
      <c r="R71" s="79" t="s">
        <v>65</v>
      </c>
      <c r="S71" s="79" t="s">
        <v>65</v>
      </c>
      <c r="T71" s="95">
        <v>6</v>
      </c>
      <c r="U71" s="95" t="s">
        <v>65</v>
      </c>
      <c r="V71" s="95" t="s">
        <v>65</v>
      </c>
      <c r="W71" s="95" t="s">
        <v>65</v>
      </c>
      <c r="X71" s="30">
        <v>1859</v>
      </c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</row>
    <row r="72" spans="1:46" x14ac:dyDescent="0.3">
      <c r="A72" s="305"/>
      <c r="B72" s="323"/>
      <c r="C72" s="95" t="s">
        <v>932</v>
      </c>
      <c r="D72" s="95">
        <v>51</v>
      </c>
      <c r="E72" s="95">
        <v>1</v>
      </c>
      <c r="F72" s="79" t="s">
        <v>65</v>
      </c>
      <c r="G72" s="95" t="s">
        <v>65</v>
      </c>
      <c r="H72" s="95" t="s">
        <v>65</v>
      </c>
      <c r="I72" s="79" t="s">
        <v>65</v>
      </c>
      <c r="J72" s="95" t="s">
        <v>65</v>
      </c>
      <c r="K72" s="95">
        <v>3</v>
      </c>
      <c r="L72" s="79" t="s">
        <v>65</v>
      </c>
      <c r="M72" s="79" t="s">
        <v>65</v>
      </c>
      <c r="N72" s="95">
        <v>185</v>
      </c>
      <c r="O72" s="79" t="s">
        <v>65</v>
      </c>
      <c r="P72" s="95" t="s">
        <v>65</v>
      </c>
      <c r="Q72" s="95">
        <v>7</v>
      </c>
      <c r="R72" s="79" t="s">
        <v>65</v>
      </c>
      <c r="S72" s="79" t="s">
        <v>65</v>
      </c>
      <c r="T72" s="95">
        <v>2</v>
      </c>
      <c r="U72" s="95" t="s">
        <v>65</v>
      </c>
      <c r="V72" s="95" t="s">
        <v>65</v>
      </c>
      <c r="W72" s="95" t="s">
        <v>65</v>
      </c>
      <c r="X72" s="123">
        <v>249</v>
      </c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</row>
    <row r="73" spans="1:46" x14ac:dyDescent="0.3">
      <c r="A73" s="305"/>
      <c r="B73" s="323"/>
      <c r="C73" s="95" t="s">
        <v>933</v>
      </c>
      <c r="D73" s="95">
        <v>97</v>
      </c>
      <c r="E73" s="95" t="s">
        <v>65</v>
      </c>
      <c r="F73" s="79" t="s">
        <v>65</v>
      </c>
      <c r="G73" s="95" t="s">
        <v>65</v>
      </c>
      <c r="H73" s="95" t="s">
        <v>65</v>
      </c>
      <c r="I73" s="79" t="s">
        <v>65</v>
      </c>
      <c r="J73" s="95" t="s">
        <v>65</v>
      </c>
      <c r="K73" s="95" t="s">
        <v>65</v>
      </c>
      <c r="L73" s="79" t="s">
        <v>65</v>
      </c>
      <c r="M73" s="79" t="s">
        <v>65</v>
      </c>
      <c r="N73" s="95">
        <v>16</v>
      </c>
      <c r="O73" s="79" t="s">
        <v>65</v>
      </c>
      <c r="P73" s="95" t="s">
        <v>65</v>
      </c>
      <c r="Q73" s="95">
        <v>4</v>
      </c>
      <c r="R73" s="79" t="s">
        <v>65</v>
      </c>
      <c r="S73" s="79" t="s">
        <v>65</v>
      </c>
      <c r="T73" s="95">
        <v>1</v>
      </c>
      <c r="U73" s="95" t="s">
        <v>65</v>
      </c>
      <c r="V73" s="95" t="s">
        <v>65</v>
      </c>
      <c r="W73" s="95" t="s">
        <v>65</v>
      </c>
      <c r="X73" s="123">
        <v>118</v>
      </c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</row>
    <row r="74" spans="1:46" x14ac:dyDescent="0.3">
      <c r="A74" s="305"/>
      <c r="B74" s="308"/>
      <c r="C74" s="95" t="s">
        <v>934</v>
      </c>
      <c r="D74" s="95">
        <v>26</v>
      </c>
      <c r="E74" s="95">
        <v>52</v>
      </c>
      <c r="F74" s="79" t="s">
        <v>65</v>
      </c>
      <c r="G74" s="95" t="s">
        <v>65</v>
      </c>
      <c r="H74" s="95" t="s">
        <v>65</v>
      </c>
      <c r="I74" s="79" t="s">
        <v>65</v>
      </c>
      <c r="J74" s="95" t="s">
        <v>65</v>
      </c>
      <c r="K74" s="95" t="s">
        <v>65</v>
      </c>
      <c r="L74" s="79" t="s">
        <v>65</v>
      </c>
      <c r="M74" s="79" t="s">
        <v>65</v>
      </c>
      <c r="N74" s="95">
        <v>375</v>
      </c>
      <c r="O74" s="79" t="s">
        <v>65</v>
      </c>
      <c r="P74" s="95" t="s">
        <v>65</v>
      </c>
      <c r="Q74" s="95">
        <v>22</v>
      </c>
      <c r="R74" s="79" t="s">
        <v>65</v>
      </c>
      <c r="S74" s="79" t="s">
        <v>65</v>
      </c>
      <c r="T74" s="95">
        <v>6</v>
      </c>
      <c r="U74" s="95" t="s">
        <v>65</v>
      </c>
      <c r="V74" s="95" t="s">
        <v>65</v>
      </c>
      <c r="W74" s="95" t="s">
        <v>65</v>
      </c>
      <c r="X74" s="123">
        <v>482</v>
      </c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</row>
    <row r="75" spans="1:46" x14ac:dyDescent="0.3">
      <c r="A75" s="305"/>
      <c r="B75" s="307" t="s">
        <v>935</v>
      </c>
      <c r="C75" s="95" t="s">
        <v>936</v>
      </c>
      <c r="D75" s="95">
        <v>171</v>
      </c>
      <c r="E75" s="95">
        <v>13</v>
      </c>
      <c r="F75" s="79" t="s">
        <v>65</v>
      </c>
      <c r="G75" s="95">
        <v>44</v>
      </c>
      <c r="H75" s="95" t="s">
        <v>65</v>
      </c>
      <c r="I75" s="79" t="s">
        <v>65</v>
      </c>
      <c r="J75" s="95" t="s">
        <v>65</v>
      </c>
      <c r="K75" s="95">
        <v>50</v>
      </c>
      <c r="L75" s="79" t="s">
        <v>65</v>
      </c>
      <c r="M75" s="79" t="s">
        <v>65</v>
      </c>
      <c r="N75" s="96">
        <v>3382</v>
      </c>
      <c r="O75" s="79" t="s">
        <v>65</v>
      </c>
      <c r="P75" s="95" t="s">
        <v>65</v>
      </c>
      <c r="Q75" s="95">
        <v>171</v>
      </c>
      <c r="R75" s="79" t="s">
        <v>65</v>
      </c>
      <c r="S75" s="79" t="s">
        <v>65</v>
      </c>
      <c r="T75" s="95">
        <v>3</v>
      </c>
      <c r="U75" s="95" t="s">
        <v>65</v>
      </c>
      <c r="V75" s="95" t="s">
        <v>65</v>
      </c>
      <c r="W75" s="95" t="s">
        <v>65</v>
      </c>
      <c r="X75" s="30">
        <v>3835</v>
      </c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</row>
    <row r="76" spans="1:46" x14ac:dyDescent="0.3">
      <c r="A76" s="305"/>
      <c r="B76" s="323"/>
      <c r="C76" s="95" t="s">
        <v>937</v>
      </c>
      <c r="D76" s="95">
        <v>284</v>
      </c>
      <c r="E76" s="95">
        <v>38</v>
      </c>
      <c r="F76" s="79" t="s">
        <v>65</v>
      </c>
      <c r="G76" s="95">
        <v>32</v>
      </c>
      <c r="H76" s="95" t="s">
        <v>65</v>
      </c>
      <c r="I76" s="79" t="s">
        <v>65</v>
      </c>
      <c r="J76" s="95" t="s">
        <v>65</v>
      </c>
      <c r="K76" s="95">
        <v>181</v>
      </c>
      <c r="L76" s="79" t="s">
        <v>65</v>
      </c>
      <c r="M76" s="79" t="s">
        <v>65</v>
      </c>
      <c r="N76" s="95">
        <v>1043</v>
      </c>
      <c r="O76" s="79" t="s">
        <v>65</v>
      </c>
      <c r="P76" s="95" t="s">
        <v>65</v>
      </c>
      <c r="Q76" s="95">
        <v>62</v>
      </c>
      <c r="R76" s="79" t="s">
        <v>65</v>
      </c>
      <c r="S76" s="79" t="s">
        <v>65</v>
      </c>
      <c r="T76" s="95">
        <v>45</v>
      </c>
      <c r="U76" s="95">
        <v>2</v>
      </c>
      <c r="V76" s="95" t="s">
        <v>65</v>
      </c>
      <c r="W76" s="95">
        <v>9</v>
      </c>
      <c r="X76" s="30">
        <v>1695</v>
      </c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</row>
    <row r="77" spans="1:46" x14ac:dyDescent="0.3">
      <c r="A77" s="305"/>
      <c r="B77" s="323"/>
      <c r="C77" s="95" t="s">
        <v>938</v>
      </c>
      <c r="D77" s="95">
        <v>11</v>
      </c>
      <c r="E77" s="95">
        <v>1</v>
      </c>
      <c r="F77" s="79" t="s">
        <v>65</v>
      </c>
      <c r="G77" s="95" t="s">
        <v>65</v>
      </c>
      <c r="H77" s="95" t="s">
        <v>65</v>
      </c>
      <c r="I77" s="79" t="s">
        <v>65</v>
      </c>
      <c r="J77" s="95" t="s">
        <v>65</v>
      </c>
      <c r="K77" s="95" t="s">
        <v>65</v>
      </c>
      <c r="L77" s="79" t="s">
        <v>65</v>
      </c>
      <c r="M77" s="79" t="s">
        <v>65</v>
      </c>
      <c r="N77" s="95">
        <v>1544</v>
      </c>
      <c r="O77" s="79" t="s">
        <v>65</v>
      </c>
      <c r="P77" s="95" t="s">
        <v>65</v>
      </c>
      <c r="Q77" s="95">
        <v>21</v>
      </c>
      <c r="R77" s="79" t="s">
        <v>65</v>
      </c>
      <c r="S77" s="79" t="s">
        <v>65</v>
      </c>
      <c r="T77" s="95">
        <v>1</v>
      </c>
      <c r="U77" s="95" t="s">
        <v>65</v>
      </c>
      <c r="V77" s="95" t="s">
        <v>65</v>
      </c>
      <c r="W77" s="95" t="s">
        <v>65</v>
      </c>
      <c r="X77" s="123">
        <v>1577</v>
      </c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</row>
    <row r="78" spans="1:46" x14ac:dyDescent="0.3">
      <c r="A78" s="305"/>
      <c r="B78" s="308"/>
      <c r="C78" s="95" t="s">
        <v>939</v>
      </c>
      <c r="D78" s="95">
        <v>82</v>
      </c>
      <c r="E78" s="95">
        <v>3</v>
      </c>
      <c r="F78" s="79">
        <v>84</v>
      </c>
      <c r="G78" s="95">
        <v>76</v>
      </c>
      <c r="H78" s="95" t="s">
        <v>65</v>
      </c>
      <c r="I78" s="79" t="s">
        <v>65</v>
      </c>
      <c r="J78" s="95" t="s">
        <v>65</v>
      </c>
      <c r="K78" s="95">
        <v>140</v>
      </c>
      <c r="L78" s="79" t="s">
        <v>65</v>
      </c>
      <c r="M78" s="79">
        <v>7</v>
      </c>
      <c r="N78" s="95">
        <v>1226</v>
      </c>
      <c r="O78" s="79" t="s">
        <v>65</v>
      </c>
      <c r="P78" s="95" t="s">
        <v>65</v>
      </c>
      <c r="Q78" s="95">
        <v>589</v>
      </c>
      <c r="R78" s="79" t="s">
        <v>65</v>
      </c>
      <c r="S78" s="79" t="s">
        <v>65</v>
      </c>
      <c r="T78" s="95">
        <v>58</v>
      </c>
      <c r="U78" s="95" t="s">
        <v>65</v>
      </c>
      <c r="V78" s="95" t="s">
        <v>65</v>
      </c>
      <c r="W78" s="95" t="s">
        <v>65</v>
      </c>
      <c r="X78" s="30">
        <v>2265</v>
      </c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</row>
    <row r="79" spans="1:46" x14ac:dyDescent="0.3">
      <c r="A79" s="305"/>
      <c r="B79" s="95" t="s">
        <v>85</v>
      </c>
      <c r="C79" s="95" t="s">
        <v>940</v>
      </c>
      <c r="D79" s="96">
        <v>1355</v>
      </c>
      <c r="E79" s="95">
        <v>26</v>
      </c>
      <c r="F79" s="79" t="s">
        <v>65</v>
      </c>
      <c r="G79" s="95">
        <v>226</v>
      </c>
      <c r="H79" s="95">
        <v>2</v>
      </c>
      <c r="I79" s="79" t="s">
        <v>65</v>
      </c>
      <c r="J79" s="95" t="s">
        <v>65</v>
      </c>
      <c r="K79" s="95">
        <v>56</v>
      </c>
      <c r="L79" s="79" t="s">
        <v>65</v>
      </c>
      <c r="M79" s="79" t="s">
        <v>65</v>
      </c>
      <c r="N79" s="95">
        <v>159</v>
      </c>
      <c r="O79" s="79" t="s">
        <v>65</v>
      </c>
      <c r="P79" s="95" t="s">
        <v>65</v>
      </c>
      <c r="Q79" s="95">
        <v>177</v>
      </c>
      <c r="R79" s="79" t="s">
        <v>65</v>
      </c>
      <c r="S79" s="79" t="s">
        <v>65</v>
      </c>
      <c r="T79" s="95">
        <v>15</v>
      </c>
      <c r="U79" s="95">
        <v>431</v>
      </c>
      <c r="V79" s="95" t="s">
        <v>65</v>
      </c>
      <c r="W79" s="95" t="s">
        <v>65</v>
      </c>
      <c r="X79" s="30">
        <v>2447</v>
      </c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</row>
    <row r="80" spans="1:46" x14ac:dyDescent="0.3">
      <c r="A80" s="306"/>
      <c r="B80" s="339" t="s">
        <v>110</v>
      </c>
      <c r="C80" s="322"/>
      <c r="D80" s="98">
        <v>5754</v>
      </c>
      <c r="E80" s="97">
        <v>151</v>
      </c>
      <c r="F80" s="193">
        <v>84</v>
      </c>
      <c r="G80" s="97">
        <v>615</v>
      </c>
      <c r="H80" s="97">
        <v>106</v>
      </c>
      <c r="I80" s="193">
        <v>0</v>
      </c>
      <c r="J80" s="97">
        <v>13</v>
      </c>
      <c r="K80" s="98">
        <v>1762</v>
      </c>
      <c r="L80" s="193">
        <v>0</v>
      </c>
      <c r="M80" s="193">
        <v>7</v>
      </c>
      <c r="N80" s="98">
        <v>10909</v>
      </c>
      <c r="O80" s="193">
        <v>0</v>
      </c>
      <c r="P80" s="97">
        <v>0</v>
      </c>
      <c r="Q80" s="98">
        <v>1065</v>
      </c>
      <c r="R80" s="193">
        <v>0</v>
      </c>
      <c r="S80" s="193">
        <v>0</v>
      </c>
      <c r="T80" s="97">
        <v>159</v>
      </c>
      <c r="U80" s="97">
        <v>839</v>
      </c>
      <c r="V80" s="97">
        <v>6</v>
      </c>
      <c r="W80" s="97">
        <v>125</v>
      </c>
      <c r="X80" s="32">
        <v>21595</v>
      </c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</row>
    <row r="81" spans="1:46" x14ac:dyDescent="0.3">
      <c r="A81" s="304" t="s">
        <v>941</v>
      </c>
      <c r="B81" s="307" t="s">
        <v>942</v>
      </c>
      <c r="C81" s="95" t="s">
        <v>943</v>
      </c>
      <c r="D81" s="95">
        <v>691</v>
      </c>
      <c r="E81" s="95">
        <v>44</v>
      </c>
      <c r="F81" s="79" t="s">
        <v>65</v>
      </c>
      <c r="G81" s="95">
        <v>45</v>
      </c>
      <c r="H81" s="95" t="s">
        <v>65</v>
      </c>
      <c r="I81" s="95">
        <v>20</v>
      </c>
      <c r="J81" s="95">
        <v>60</v>
      </c>
      <c r="K81" s="95">
        <v>144</v>
      </c>
      <c r="L81" s="79" t="s">
        <v>65</v>
      </c>
      <c r="M81" s="79" t="s">
        <v>65</v>
      </c>
      <c r="N81" s="95" t="s">
        <v>65</v>
      </c>
      <c r="O81" s="95">
        <v>0</v>
      </c>
      <c r="P81" s="95">
        <v>17</v>
      </c>
      <c r="Q81" s="96">
        <v>1286</v>
      </c>
      <c r="R81" s="95">
        <v>0</v>
      </c>
      <c r="S81" s="95" t="s">
        <v>65</v>
      </c>
      <c r="T81" s="95">
        <v>346</v>
      </c>
      <c r="U81" s="95">
        <v>68</v>
      </c>
      <c r="V81" s="95">
        <v>295</v>
      </c>
      <c r="W81" s="95">
        <v>18</v>
      </c>
      <c r="X81" s="30">
        <v>3036</v>
      </c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</row>
    <row r="82" spans="1:46" x14ac:dyDescent="0.3">
      <c r="A82" s="305"/>
      <c r="B82" s="323"/>
      <c r="C82" s="95" t="s">
        <v>944</v>
      </c>
      <c r="D82" s="95">
        <v>553</v>
      </c>
      <c r="E82" s="95">
        <v>70</v>
      </c>
      <c r="F82" s="79" t="s">
        <v>65</v>
      </c>
      <c r="G82" s="95" t="s">
        <v>65</v>
      </c>
      <c r="H82" s="95" t="s">
        <v>65</v>
      </c>
      <c r="I82" s="95" t="s">
        <v>65</v>
      </c>
      <c r="J82" s="95">
        <v>34</v>
      </c>
      <c r="K82" s="95" t="s">
        <v>65</v>
      </c>
      <c r="L82" s="79" t="s">
        <v>65</v>
      </c>
      <c r="M82" s="79" t="s">
        <v>65</v>
      </c>
      <c r="N82" s="95" t="s">
        <v>65</v>
      </c>
      <c r="O82" s="95" t="s">
        <v>65</v>
      </c>
      <c r="P82" s="95">
        <v>7</v>
      </c>
      <c r="Q82" s="95" t="s">
        <v>65</v>
      </c>
      <c r="R82" s="95" t="s">
        <v>65</v>
      </c>
      <c r="S82" s="95">
        <v>2</v>
      </c>
      <c r="T82" s="95">
        <v>7</v>
      </c>
      <c r="U82" s="95" t="s">
        <v>65</v>
      </c>
      <c r="V82" s="95">
        <v>138</v>
      </c>
      <c r="W82" s="95">
        <v>4</v>
      </c>
      <c r="X82" s="123">
        <v>814</v>
      </c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</row>
    <row r="83" spans="1:46" x14ac:dyDescent="0.3">
      <c r="A83" s="305"/>
      <c r="B83" s="323"/>
      <c r="C83" s="95" t="s">
        <v>945</v>
      </c>
      <c r="D83" s="95">
        <v>176</v>
      </c>
      <c r="E83" s="95">
        <v>34</v>
      </c>
      <c r="F83" s="79" t="s">
        <v>65</v>
      </c>
      <c r="G83" s="95">
        <v>20</v>
      </c>
      <c r="H83" s="95" t="s">
        <v>65</v>
      </c>
      <c r="I83" s="95">
        <v>1</v>
      </c>
      <c r="J83" s="95" t="s">
        <v>65</v>
      </c>
      <c r="K83" s="95">
        <v>8</v>
      </c>
      <c r="L83" s="79" t="s">
        <v>65</v>
      </c>
      <c r="M83" s="79" t="s">
        <v>65</v>
      </c>
      <c r="N83" s="95" t="s">
        <v>65</v>
      </c>
      <c r="O83" s="95" t="s">
        <v>65</v>
      </c>
      <c r="P83" s="95" t="s">
        <v>65</v>
      </c>
      <c r="Q83" s="95">
        <v>77</v>
      </c>
      <c r="R83" s="95" t="s">
        <v>65</v>
      </c>
      <c r="S83" s="95" t="s">
        <v>65</v>
      </c>
      <c r="T83" s="95">
        <v>95</v>
      </c>
      <c r="U83" s="95">
        <v>7</v>
      </c>
      <c r="V83" s="95">
        <v>41</v>
      </c>
      <c r="W83" s="95" t="s">
        <v>65</v>
      </c>
      <c r="X83" s="123">
        <v>458</v>
      </c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</row>
    <row r="84" spans="1:46" x14ac:dyDescent="0.3">
      <c r="A84" s="305"/>
      <c r="B84" s="323"/>
      <c r="C84" s="95" t="s">
        <v>946</v>
      </c>
      <c r="D84" s="95">
        <v>467</v>
      </c>
      <c r="E84" s="95">
        <v>48</v>
      </c>
      <c r="F84" s="79" t="s">
        <v>65</v>
      </c>
      <c r="G84" s="95">
        <v>92</v>
      </c>
      <c r="H84" s="95" t="s">
        <v>65</v>
      </c>
      <c r="I84" s="95">
        <v>28</v>
      </c>
      <c r="J84" s="95">
        <v>24</v>
      </c>
      <c r="K84" s="95">
        <v>5</v>
      </c>
      <c r="L84" s="79" t="s">
        <v>65</v>
      </c>
      <c r="M84" s="79">
        <v>6</v>
      </c>
      <c r="N84" s="95" t="s">
        <v>65</v>
      </c>
      <c r="O84" s="95" t="s">
        <v>65</v>
      </c>
      <c r="P84" s="95">
        <v>2</v>
      </c>
      <c r="Q84" s="95">
        <v>991</v>
      </c>
      <c r="R84" s="95">
        <v>3</v>
      </c>
      <c r="S84" s="95">
        <v>5</v>
      </c>
      <c r="T84" s="95">
        <v>325</v>
      </c>
      <c r="U84" s="95">
        <v>6</v>
      </c>
      <c r="V84" s="95">
        <v>28</v>
      </c>
      <c r="W84" s="95">
        <v>6</v>
      </c>
      <c r="X84" s="30">
        <v>2035</v>
      </c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</row>
    <row r="85" spans="1:46" x14ac:dyDescent="0.3">
      <c r="A85" s="305"/>
      <c r="B85" s="323"/>
      <c r="C85" s="95" t="s">
        <v>947</v>
      </c>
      <c r="D85" s="95">
        <v>424</v>
      </c>
      <c r="E85" s="95">
        <v>106</v>
      </c>
      <c r="F85" s="79" t="s">
        <v>65</v>
      </c>
      <c r="G85" s="95">
        <v>176</v>
      </c>
      <c r="H85" s="95">
        <v>42</v>
      </c>
      <c r="I85" s="95">
        <v>17</v>
      </c>
      <c r="J85" s="95">
        <v>51</v>
      </c>
      <c r="K85" s="95">
        <v>13</v>
      </c>
      <c r="L85" s="79" t="s">
        <v>65</v>
      </c>
      <c r="M85" s="79" t="s">
        <v>65</v>
      </c>
      <c r="N85" s="95">
        <v>5</v>
      </c>
      <c r="O85" s="95" t="s">
        <v>65</v>
      </c>
      <c r="P85" s="95">
        <v>36</v>
      </c>
      <c r="Q85" s="95">
        <v>142</v>
      </c>
      <c r="R85" s="95" t="s">
        <v>65</v>
      </c>
      <c r="S85" s="95">
        <v>45</v>
      </c>
      <c r="T85" s="95">
        <v>117</v>
      </c>
      <c r="U85" s="95">
        <v>61</v>
      </c>
      <c r="V85" s="95">
        <v>398</v>
      </c>
      <c r="W85" s="95">
        <v>83</v>
      </c>
      <c r="X85" s="30">
        <v>1716</v>
      </c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</row>
    <row r="86" spans="1:46" x14ac:dyDescent="0.3">
      <c r="A86" s="305"/>
      <c r="B86" s="308"/>
      <c r="C86" s="95" t="s">
        <v>948</v>
      </c>
      <c r="D86" s="95">
        <v>915</v>
      </c>
      <c r="E86" s="95">
        <v>156</v>
      </c>
      <c r="F86" s="79" t="s">
        <v>65</v>
      </c>
      <c r="G86" s="95">
        <v>122</v>
      </c>
      <c r="H86" s="95">
        <v>133</v>
      </c>
      <c r="I86" s="95">
        <v>1</v>
      </c>
      <c r="J86" s="95">
        <v>75</v>
      </c>
      <c r="K86" s="95">
        <v>10</v>
      </c>
      <c r="L86" s="79" t="s">
        <v>65</v>
      </c>
      <c r="M86" s="79" t="s">
        <v>65</v>
      </c>
      <c r="N86" s="95">
        <v>57</v>
      </c>
      <c r="O86" s="95" t="s">
        <v>65</v>
      </c>
      <c r="P86" s="95">
        <v>514</v>
      </c>
      <c r="Q86" s="95">
        <v>589</v>
      </c>
      <c r="R86" s="95">
        <v>15</v>
      </c>
      <c r="S86" s="95">
        <v>13</v>
      </c>
      <c r="T86" s="95">
        <v>236</v>
      </c>
      <c r="U86" s="95">
        <v>2</v>
      </c>
      <c r="V86" s="95">
        <v>728</v>
      </c>
      <c r="W86" s="95">
        <v>20</v>
      </c>
      <c r="X86" s="30">
        <v>3587</v>
      </c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</row>
    <row r="87" spans="1:46" x14ac:dyDescent="0.3">
      <c r="A87" s="305"/>
      <c r="B87" s="307" t="s">
        <v>172</v>
      </c>
      <c r="C87" s="95" t="s">
        <v>949</v>
      </c>
      <c r="D87" s="96">
        <v>1939</v>
      </c>
      <c r="E87" s="95">
        <v>193</v>
      </c>
      <c r="F87" s="79" t="s">
        <v>65</v>
      </c>
      <c r="G87" s="95">
        <v>35</v>
      </c>
      <c r="H87" s="95" t="s">
        <v>65</v>
      </c>
      <c r="I87" s="95">
        <v>1</v>
      </c>
      <c r="J87" s="95" t="s">
        <v>65</v>
      </c>
      <c r="K87" s="95">
        <v>26</v>
      </c>
      <c r="L87" s="79" t="s">
        <v>65</v>
      </c>
      <c r="M87" s="79" t="s">
        <v>65</v>
      </c>
      <c r="N87" s="95">
        <v>49</v>
      </c>
      <c r="O87" s="95" t="s">
        <v>65</v>
      </c>
      <c r="P87" s="95" t="s">
        <v>65</v>
      </c>
      <c r="Q87" s="96">
        <v>2379</v>
      </c>
      <c r="R87" s="95" t="s">
        <v>65</v>
      </c>
      <c r="S87" s="95" t="s">
        <v>65</v>
      </c>
      <c r="T87" s="95">
        <v>305</v>
      </c>
      <c r="U87" s="95">
        <v>106</v>
      </c>
      <c r="V87" s="95" t="s">
        <v>65</v>
      </c>
      <c r="W87" s="95" t="s">
        <v>65</v>
      </c>
      <c r="X87" s="30">
        <v>5032</v>
      </c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</row>
    <row r="88" spans="1:46" x14ac:dyDescent="0.3">
      <c r="A88" s="305"/>
      <c r="B88" s="323"/>
      <c r="C88" s="95" t="s">
        <v>950</v>
      </c>
      <c r="D88" s="95">
        <v>309</v>
      </c>
      <c r="E88" s="95">
        <v>18</v>
      </c>
      <c r="F88" s="79" t="s">
        <v>65</v>
      </c>
      <c r="G88" s="95" t="s">
        <v>65</v>
      </c>
      <c r="H88" s="95" t="s">
        <v>65</v>
      </c>
      <c r="I88" s="95">
        <v>7</v>
      </c>
      <c r="J88" s="95">
        <v>4</v>
      </c>
      <c r="K88" s="95">
        <v>1119</v>
      </c>
      <c r="L88" s="79" t="s">
        <v>65</v>
      </c>
      <c r="M88" s="79" t="s">
        <v>65</v>
      </c>
      <c r="N88" s="95" t="s">
        <v>65</v>
      </c>
      <c r="O88" s="95" t="s">
        <v>65</v>
      </c>
      <c r="P88" s="95">
        <v>8</v>
      </c>
      <c r="Q88" s="95">
        <v>723</v>
      </c>
      <c r="R88" s="95" t="s">
        <v>65</v>
      </c>
      <c r="S88" s="95" t="s">
        <v>65</v>
      </c>
      <c r="T88" s="95">
        <v>70</v>
      </c>
      <c r="U88" s="95">
        <v>36</v>
      </c>
      <c r="V88" s="95">
        <v>5</v>
      </c>
      <c r="W88" s="95" t="s">
        <v>65</v>
      </c>
      <c r="X88" s="123">
        <v>2297</v>
      </c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</row>
    <row r="89" spans="1:46" x14ac:dyDescent="0.3">
      <c r="A89" s="305"/>
      <c r="B89" s="323"/>
      <c r="C89" s="95" t="s">
        <v>951</v>
      </c>
      <c r="D89" s="95">
        <v>142</v>
      </c>
      <c r="E89" s="95">
        <v>3</v>
      </c>
      <c r="F89" s="79" t="s">
        <v>65</v>
      </c>
      <c r="G89" s="95" t="s">
        <v>65</v>
      </c>
      <c r="H89" s="95" t="s">
        <v>65</v>
      </c>
      <c r="I89" s="95" t="s">
        <v>65</v>
      </c>
      <c r="J89" s="95" t="s">
        <v>65</v>
      </c>
      <c r="K89" s="95" t="s">
        <v>65</v>
      </c>
      <c r="L89" s="79" t="s">
        <v>65</v>
      </c>
      <c r="M89" s="79" t="s">
        <v>65</v>
      </c>
      <c r="N89" s="95">
        <v>7</v>
      </c>
      <c r="O89" s="95" t="s">
        <v>65</v>
      </c>
      <c r="P89" s="95" t="s">
        <v>65</v>
      </c>
      <c r="Q89" s="95">
        <v>296</v>
      </c>
      <c r="R89" s="95" t="s">
        <v>65</v>
      </c>
      <c r="S89" s="95" t="s">
        <v>65</v>
      </c>
      <c r="T89" s="95">
        <v>7</v>
      </c>
      <c r="U89" s="95" t="s">
        <v>65</v>
      </c>
      <c r="V89" s="95" t="s">
        <v>65</v>
      </c>
      <c r="W89" s="95" t="s">
        <v>65</v>
      </c>
      <c r="X89" s="123">
        <v>455</v>
      </c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</row>
    <row r="90" spans="1:46" x14ac:dyDescent="0.3">
      <c r="A90" s="305"/>
      <c r="B90" s="323"/>
      <c r="C90" s="95" t="s">
        <v>952</v>
      </c>
      <c r="D90" s="95">
        <v>257</v>
      </c>
      <c r="E90" s="95">
        <v>71</v>
      </c>
      <c r="F90" s="79" t="s">
        <v>65</v>
      </c>
      <c r="G90" s="95">
        <v>54</v>
      </c>
      <c r="H90" s="95" t="s">
        <v>65</v>
      </c>
      <c r="I90" s="95" t="s">
        <v>65</v>
      </c>
      <c r="J90" s="95">
        <v>1</v>
      </c>
      <c r="K90" s="95">
        <v>75</v>
      </c>
      <c r="L90" s="79" t="s">
        <v>65</v>
      </c>
      <c r="M90" s="79" t="s">
        <v>65</v>
      </c>
      <c r="N90" s="95">
        <v>130</v>
      </c>
      <c r="O90" s="95" t="s">
        <v>65</v>
      </c>
      <c r="P90" s="95" t="s">
        <v>65</v>
      </c>
      <c r="Q90" s="96">
        <v>1615</v>
      </c>
      <c r="R90" s="95" t="s">
        <v>65</v>
      </c>
      <c r="S90" s="95" t="s">
        <v>65</v>
      </c>
      <c r="T90" s="95">
        <v>135</v>
      </c>
      <c r="U90" s="95">
        <v>28</v>
      </c>
      <c r="V90" s="95" t="s">
        <v>65</v>
      </c>
      <c r="W90" s="95" t="s">
        <v>65</v>
      </c>
      <c r="X90" s="30">
        <v>2365</v>
      </c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</row>
    <row r="91" spans="1:46" x14ac:dyDescent="0.3">
      <c r="A91" s="305"/>
      <c r="B91" s="323"/>
      <c r="C91" s="95" t="s">
        <v>953</v>
      </c>
      <c r="D91" s="95">
        <v>598</v>
      </c>
      <c r="E91" s="95">
        <v>42</v>
      </c>
      <c r="F91" s="79" t="s">
        <v>65</v>
      </c>
      <c r="G91" s="95">
        <v>291</v>
      </c>
      <c r="H91" s="95" t="s">
        <v>65</v>
      </c>
      <c r="I91" s="95">
        <v>9</v>
      </c>
      <c r="J91" s="95">
        <v>27</v>
      </c>
      <c r="K91" s="95">
        <v>38</v>
      </c>
      <c r="L91" s="79" t="s">
        <v>65</v>
      </c>
      <c r="M91" s="79" t="s">
        <v>65</v>
      </c>
      <c r="N91" s="95">
        <v>16</v>
      </c>
      <c r="O91" s="95" t="s">
        <v>65</v>
      </c>
      <c r="P91" s="95" t="s">
        <v>65</v>
      </c>
      <c r="Q91" s="96">
        <v>1423</v>
      </c>
      <c r="R91" s="95" t="s">
        <v>65</v>
      </c>
      <c r="S91" s="95" t="s">
        <v>65</v>
      </c>
      <c r="T91" s="95">
        <v>227</v>
      </c>
      <c r="U91" s="95">
        <v>70</v>
      </c>
      <c r="V91" s="95" t="s">
        <v>65</v>
      </c>
      <c r="W91" s="95" t="s">
        <v>65</v>
      </c>
      <c r="X91" s="30">
        <v>2740</v>
      </c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</row>
    <row r="92" spans="1:46" x14ac:dyDescent="0.3">
      <c r="A92" s="305"/>
      <c r="B92" s="323"/>
      <c r="C92" s="95" t="s">
        <v>954</v>
      </c>
      <c r="D92" s="95">
        <v>112</v>
      </c>
      <c r="E92" s="95">
        <v>6</v>
      </c>
      <c r="F92" s="79" t="s">
        <v>65</v>
      </c>
      <c r="G92" s="95">
        <v>51</v>
      </c>
      <c r="H92" s="95" t="s">
        <v>65</v>
      </c>
      <c r="I92" s="95">
        <v>14</v>
      </c>
      <c r="J92" s="95">
        <v>8</v>
      </c>
      <c r="K92" s="95">
        <v>15</v>
      </c>
      <c r="L92" s="79" t="s">
        <v>65</v>
      </c>
      <c r="M92" s="79" t="s">
        <v>65</v>
      </c>
      <c r="N92" s="95" t="s">
        <v>65</v>
      </c>
      <c r="O92" s="95" t="s">
        <v>65</v>
      </c>
      <c r="P92" s="95">
        <v>8</v>
      </c>
      <c r="Q92" s="95">
        <v>58</v>
      </c>
      <c r="R92" s="95" t="s">
        <v>65</v>
      </c>
      <c r="S92" s="95" t="s">
        <v>65</v>
      </c>
      <c r="T92" s="95">
        <v>49</v>
      </c>
      <c r="U92" s="95">
        <v>7</v>
      </c>
      <c r="V92" s="95">
        <v>1</v>
      </c>
      <c r="W92" s="95" t="s">
        <v>65</v>
      </c>
      <c r="X92" s="123">
        <v>329</v>
      </c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</row>
    <row r="93" spans="1:46" x14ac:dyDescent="0.3">
      <c r="A93" s="305"/>
      <c r="B93" s="323"/>
      <c r="C93" s="95" t="s">
        <v>955</v>
      </c>
      <c r="D93" s="95">
        <v>402</v>
      </c>
      <c r="E93" s="95">
        <v>32</v>
      </c>
      <c r="F93" s="79" t="s">
        <v>65</v>
      </c>
      <c r="G93" s="95">
        <v>56</v>
      </c>
      <c r="H93" s="95" t="s">
        <v>65</v>
      </c>
      <c r="I93" s="95">
        <v>1</v>
      </c>
      <c r="J93" s="95">
        <v>1</v>
      </c>
      <c r="K93" s="95">
        <v>43</v>
      </c>
      <c r="L93" s="79" t="s">
        <v>65</v>
      </c>
      <c r="M93" s="79" t="s">
        <v>65</v>
      </c>
      <c r="N93" s="95">
        <v>28</v>
      </c>
      <c r="O93" s="95" t="s">
        <v>65</v>
      </c>
      <c r="P93" s="95">
        <v>5</v>
      </c>
      <c r="Q93" s="96">
        <v>1552</v>
      </c>
      <c r="R93" s="95" t="s">
        <v>65</v>
      </c>
      <c r="S93" s="95" t="s">
        <v>65</v>
      </c>
      <c r="T93" s="95">
        <v>226</v>
      </c>
      <c r="U93" s="95">
        <v>56</v>
      </c>
      <c r="V93" s="95" t="s">
        <v>65</v>
      </c>
      <c r="W93" s="95">
        <v>16</v>
      </c>
      <c r="X93" s="30">
        <v>2420</v>
      </c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</row>
    <row r="94" spans="1:46" x14ac:dyDescent="0.3">
      <c r="A94" s="305"/>
      <c r="B94" s="308"/>
      <c r="C94" s="95" t="s">
        <v>956</v>
      </c>
      <c r="D94" s="96">
        <v>3455</v>
      </c>
      <c r="E94" s="95">
        <v>77</v>
      </c>
      <c r="F94" s="79" t="s">
        <v>65</v>
      </c>
      <c r="G94" s="95">
        <v>174</v>
      </c>
      <c r="H94" s="95" t="s">
        <v>65</v>
      </c>
      <c r="I94" s="95">
        <v>13</v>
      </c>
      <c r="J94" s="95">
        <v>22</v>
      </c>
      <c r="K94" s="95">
        <v>122</v>
      </c>
      <c r="L94" s="79" t="s">
        <v>65</v>
      </c>
      <c r="M94" s="79" t="s">
        <v>65</v>
      </c>
      <c r="N94" s="95">
        <v>513</v>
      </c>
      <c r="O94" s="95" t="s">
        <v>65</v>
      </c>
      <c r="P94" s="95" t="s">
        <v>65</v>
      </c>
      <c r="Q94" s="96">
        <v>6081</v>
      </c>
      <c r="R94" s="95" t="s">
        <v>65</v>
      </c>
      <c r="S94" s="95">
        <v>169</v>
      </c>
      <c r="T94" s="95">
        <v>436</v>
      </c>
      <c r="U94" s="95">
        <v>217</v>
      </c>
      <c r="V94" s="95">
        <v>9</v>
      </c>
      <c r="W94" s="95">
        <v>48</v>
      </c>
      <c r="X94" s="30">
        <v>11337</v>
      </c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</row>
    <row r="95" spans="1:46" x14ac:dyDescent="0.3">
      <c r="A95" s="305"/>
      <c r="B95" s="307" t="s">
        <v>957</v>
      </c>
      <c r="C95" s="95" t="s">
        <v>958</v>
      </c>
      <c r="D95" s="95">
        <v>149</v>
      </c>
      <c r="E95" s="95">
        <v>3</v>
      </c>
      <c r="F95" s="79" t="s">
        <v>65</v>
      </c>
      <c r="G95" s="95">
        <v>50</v>
      </c>
      <c r="H95" s="95" t="s">
        <v>65</v>
      </c>
      <c r="I95" s="95" t="s">
        <v>65</v>
      </c>
      <c r="J95" s="95" t="s">
        <v>65</v>
      </c>
      <c r="K95" s="95">
        <v>6</v>
      </c>
      <c r="L95" s="79" t="s">
        <v>65</v>
      </c>
      <c r="M95" s="79" t="s">
        <v>65</v>
      </c>
      <c r="N95" s="95" t="s">
        <v>65</v>
      </c>
      <c r="O95" s="95" t="s">
        <v>65</v>
      </c>
      <c r="P95" s="95">
        <v>3</v>
      </c>
      <c r="Q95" s="95">
        <v>157</v>
      </c>
      <c r="R95" s="95" t="s">
        <v>65</v>
      </c>
      <c r="S95" s="95" t="s">
        <v>65</v>
      </c>
      <c r="T95" s="95">
        <v>29</v>
      </c>
      <c r="U95" s="95" t="s">
        <v>65</v>
      </c>
      <c r="V95" s="95" t="s">
        <v>65</v>
      </c>
      <c r="W95" s="95" t="s">
        <v>65</v>
      </c>
      <c r="X95" s="123">
        <v>396</v>
      </c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</row>
    <row r="96" spans="1:46" x14ac:dyDescent="0.3">
      <c r="A96" s="305"/>
      <c r="B96" s="323"/>
      <c r="C96" s="168" t="s">
        <v>959</v>
      </c>
      <c r="D96" s="79">
        <v>292</v>
      </c>
      <c r="E96" s="79">
        <v>12</v>
      </c>
      <c r="F96" s="79" t="s">
        <v>65</v>
      </c>
      <c r="G96" s="79">
        <v>61</v>
      </c>
      <c r="H96" s="79" t="s">
        <v>65</v>
      </c>
      <c r="I96" s="79">
        <v>3</v>
      </c>
      <c r="J96" s="79">
        <v>15</v>
      </c>
      <c r="K96" s="79">
        <v>11</v>
      </c>
      <c r="L96" s="79" t="s">
        <v>65</v>
      </c>
      <c r="M96" s="79" t="s">
        <v>65</v>
      </c>
      <c r="N96" s="79" t="s">
        <v>65</v>
      </c>
      <c r="O96" s="79">
        <v>2</v>
      </c>
      <c r="P96" s="79">
        <v>29</v>
      </c>
      <c r="Q96" s="79">
        <v>752</v>
      </c>
      <c r="R96" s="79">
        <v>2</v>
      </c>
      <c r="S96" s="79" t="s">
        <v>65</v>
      </c>
      <c r="T96" s="79">
        <v>261</v>
      </c>
      <c r="U96" s="79">
        <v>10</v>
      </c>
      <c r="V96" s="79">
        <v>26</v>
      </c>
      <c r="W96" s="79" t="s">
        <v>65</v>
      </c>
      <c r="X96" s="79">
        <v>1474</v>
      </c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</row>
    <row r="97" spans="1:46" x14ac:dyDescent="0.3">
      <c r="A97" s="305"/>
      <c r="B97" s="323"/>
      <c r="C97" s="95" t="s">
        <v>960</v>
      </c>
      <c r="D97" s="95">
        <v>11</v>
      </c>
      <c r="E97" s="95" t="s">
        <v>65</v>
      </c>
      <c r="F97" s="79" t="s">
        <v>65</v>
      </c>
      <c r="G97" s="95" t="s">
        <v>65</v>
      </c>
      <c r="H97" s="95" t="s">
        <v>65</v>
      </c>
      <c r="I97" s="95" t="s">
        <v>65</v>
      </c>
      <c r="J97" s="95" t="s">
        <v>65</v>
      </c>
      <c r="K97" s="95" t="s">
        <v>65</v>
      </c>
      <c r="L97" s="79" t="s">
        <v>65</v>
      </c>
      <c r="M97" s="79" t="s">
        <v>65</v>
      </c>
      <c r="N97" s="95" t="s">
        <v>65</v>
      </c>
      <c r="O97" s="95" t="s">
        <v>65</v>
      </c>
      <c r="P97" s="95">
        <v>2</v>
      </c>
      <c r="Q97" s="95">
        <v>102</v>
      </c>
      <c r="R97" s="95" t="s">
        <v>65</v>
      </c>
      <c r="S97" s="95" t="s">
        <v>65</v>
      </c>
      <c r="T97" s="95">
        <v>45</v>
      </c>
      <c r="U97" s="95" t="s">
        <v>65</v>
      </c>
      <c r="V97" s="95">
        <v>13</v>
      </c>
      <c r="W97" s="95" t="s">
        <v>65</v>
      </c>
      <c r="X97" s="123">
        <v>173</v>
      </c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</row>
    <row r="98" spans="1:46" x14ac:dyDescent="0.3">
      <c r="A98" s="305"/>
      <c r="B98" s="323"/>
      <c r="C98" s="168" t="s">
        <v>961</v>
      </c>
      <c r="D98" s="79">
        <v>68</v>
      </c>
      <c r="E98" s="79">
        <v>0</v>
      </c>
      <c r="F98" s="79" t="s">
        <v>65</v>
      </c>
      <c r="G98" s="79">
        <v>5</v>
      </c>
      <c r="H98" s="79" t="s">
        <v>65</v>
      </c>
      <c r="I98" s="79" t="s">
        <v>65</v>
      </c>
      <c r="J98" s="79" t="s">
        <v>65</v>
      </c>
      <c r="K98" s="79" t="s">
        <v>65</v>
      </c>
      <c r="L98" s="79" t="s">
        <v>65</v>
      </c>
      <c r="M98" s="79" t="s">
        <v>65</v>
      </c>
      <c r="N98" s="79" t="s">
        <v>65</v>
      </c>
      <c r="O98" s="79" t="s">
        <v>65</v>
      </c>
      <c r="P98" s="79" t="s">
        <v>65</v>
      </c>
      <c r="Q98" s="79">
        <v>105</v>
      </c>
      <c r="R98" s="79" t="s">
        <v>65</v>
      </c>
      <c r="S98" s="79" t="s">
        <v>65</v>
      </c>
      <c r="T98" s="79">
        <v>27</v>
      </c>
      <c r="U98" s="79" t="s">
        <v>65</v>
      </c>
      <c r="V98" s="79" t="s">
        <v>65</v>
      </c>
      <c r="W98" s="79" t="s">
        <v>65</v>
      </c>
      <c r="X98" s="79">
        <v>205</v>
      </c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</row>
    <row r="99" spans="1:46" x14ac:dyDescent="0.3">
      <c r="A99" s="305"/>
      <c r="B99" s="308"/>
      <c r="C99" s="95" t="s">
        <v>962</v>
      </c>
      <c r="D99" s="95">
        <v>173</v>
      </c>
      <c r="E99" s="95">
        <v>13</v>
      </c>
      <c r="F99" s="79" t="s">
        <v>65</v>
      </c>
      <c r="G99" s="95">
        <v>43</v>
      </c>
      <c r="H99" s="95" t="s">
        <v>65</v>
      </c>
      <c r="I99" s="95">
        <v>1</v>
      </c>
      <c r="J99" s="95">
        <v>62</v>
      </c>
      <c r="K99" s="95">
        <v>3</v>
      </c>
      <c r="L99" s="79" t="s">
        <v>65</v>
      </c>
      <c r="M99" s="79" t="s">
        <v>65</v>
      </c>
      <c r="N99" s="95" t="s">
        <v>65</v>
      </c>
      <c r="O99" s="95" t="s">
        <v>65</v>
      </c>
      <c r="P99" s="95">
        <v>2</v>
      </c>
      <c r="Q99" s="95">
        <v>333</v>
      </c>
      <c r="R99" s="95" t="s">
        <v>65</v>
      </c>
      <c r="S99" s="95" t="s">
        <v>65</v>
      </c>
      <c r="T99" s="95">
        <v>139</v>
      </c>
      <c r="U99" s="95" t="s">
        <v>65</v>
      </c>
      <c r="V99" s="95">
        <v>13</v>
      </c>
      <c r="W99" s="95" t="s">
        <v>65</v>
      </c>
      <c r="X99" s="123">
        <v>784</v>
      </c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</row>
    <row r="100" spans="1:46" x14ac:dyDescent="0.3">
      <c r="A100" s="305"/>
      <c r="B100" s="307" t="s">
        <v>637</v>
      </c>
      <c r="C100" s="95" t="s">
        <v>963</v>
      </c>
      <c r="D100" s="95">
        <v>97</v>
      </c>
      <c r="E100" s="95">
        <v>23</v>
      </c>
      <c r="F100" s="79" t="s">
        <v>65</v>
      </c>
      <c r="G100" s="95" t="s">
        <v>65</v>
      </c>
      <c r="H100" s="95" t="s">
        <v>65</v>
      </c>
      <c r="I100" s="95" t="s">
        <v>65</v>
      </c>
      <c r="J100" s="95" t="s">
        <v>65</v>
      </c>
      <c r="K100" s="95">
        <v>126</v>
      </c>
      <c r="L100" s="79" t="s">
        <v>65</v>
      </c>
      <c r="M100" s="79" t="s">
        <v>65</v>
      </c>
      <c r="N100" s="95">
        <v>33</v>
      </c>
      <c r="O100" s="95" t="s">
        <v>65</v>
      </c>
      <c r="P100" s="95">
        <v>0</v>
      </c>
      <c r="Q100" s="95">
        <v>89</v>
      </c>
      <c r="R100" s="95">
        <v>32</v>
      </c>
      <c r="S100" s="95">
        <v>2</v>
      </c>
      <c r="T100" s="95">
        <v>45</v>
      </c>
      <c r="U100" s="95">
        <v>948</v>
      </c>
      <c r="V100" s="95" t="s">
        <v>65</v>
      </c>
      <c r="W100" s="95">
        <v>5</v>
      </c>
      <c r="X100" s="123">
        <v>1402</v>
      </c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</row>
    <row r="101" spans="1:46" x14ac:dyDescent="0.3">
      <c r="A101" s="305"/>
      <c r="B101" s="323"/>
      <c r="C101" s="95" t="s">
        <v>964</v>
      </c>
      <c r="D101" s="95">
        <v>4</v>
      </c>
      <c r="E101" s="95">
        <v>6</v>
      </c>
      <c r="F101" s="79" t="s">
        <v>65</v>
      </c>
      <c r="G101" s="95">
        <v>4</v>
      </c>
      <c r="H101" s="95" t="s">
        <v>65</v>
      </c>
      <c r="I101" s="95" t="s">
        <v>65</v>
      </c>
      <c r="J101" s="95" t="s">
        <v>65</v>
      </c>
      <c r="K101" s="95" t="s">
        <v>65</v>
      </c>
      <c r="L101" s="79" t="s">
        <v>65</v>
      </c>
      <c r="M101" s="79" t="s">
        <v>65</v>
      </c>
      <c r="N101" s="95" t="s">
        <v>65</v>
      </c>
      <c r="O101" s="95" t="s">
        <v>65</v>
      </c>
      <c r="P101" s="95" t="s">
        <v>65</v>
      </c>
      <c r="Q101" s="95" t="s">
        <v>65</v>
      </c>
      <c r="R101" s="95" t="s">
        <v>65</v>
      </c>
      <c r="S101" s="95" t="s">
        <v>65</v>
      </c>
      <c r="T101" s="95" t="s">
        <v>65</v>
      </c>
      <c r="U101" s="95">
        <v>112</v>
      </c>
      <c r="V101" s="95" t="s">
        <v>65</v>
      </c>
      <c r="W101" s="95" t="s">
        <v>65</v>
      </c>
      <c r="X101" s="123">
        <v>126</v>
      </c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</row>
    <row r="102" spans="1:46" x14ac:dyDescent="0.3">
      <c r="A102" s="305"/>
      <c r="B102" s="308"/>
      <c r="C102" s="95" t="s">
        <v>965</v>
      </c>
      <c r="D102" s="95">
        <v>125</v>
      </c>
      <c r="E102" s="95">
        <v>18</v>
      </c>
      <c r="F102" s="79" t="s">
        <v>65</v>
      </c>
      <c r="G102" s="95">
        <v>5</v>
      </c>
      <c r="H102" s="95">
        <v>8</v>
      </c>
      <c r="I102" s="95" t="s">
        <v>65</v>
      </c>
      <c r="J102" s="95" t="s">
        <v>65</v>
      </c>
      <c r="K102" s="95">
        <v>12</v>
      </c>
      <c r="L102" s="79" t="s">
        <v>65</v>
      </c>
      <c r="M102" s="79" t="s">
        <v>65</v>
      </c>
      <c r="N102" s="95">
        <v>5</v>
      </c>
      <c r="O102" s="95" t="s">
        <v>65</v>
      </c>
      <c r="P102" s="95" t="s">
        <v>65</v>
      </c>
      <c r="Q102" s="95">
        <v>99</v>
      </c>
      <c r="R102" s="95" t="s">
        <v>65</v>
      </c>
      <c r="S102" s="95">
        <v>13</v>
      </c>
      <c r="T102" s="95">
        <v>44</v>
      </c>
      <c r="U102" s="95">
        <v>453</v>
      </c>
      <c r="V102" s="95" t="s">
        <v>65</v>
      </c>
      <c r="W102" s="95">
        <v>41</v>
      </c>
      <c r="X102" s="123">
        <v>822</v>
      </c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</row>
    <row r="103" spans="1:46" x14ac:dyDescent="0.3">
      <c r="A103" s="306"/>
      <c r="B103" s="339" t="s">
        <v>110</v>
      </c>
      <c r="C103" s="322"/>
      <c r="D103" s="98">
        <v>11359</v>
      </c>
      <c r="E103" s="97">
        <v>975</v>
      </c>
      <c r="F103" s="193">
        <v>0</v>
      </c>
      <c r="G103" s="98">
        <v>1282</v>
      </c>
      <c r="H103" s="97">
        <v>183</v>
      </c>
      <c r="I103" s="97">
        <v>116</v>
      </c>
      <c r="J103" s="97">
        <v>384</v>
      </c>
      <c r="K103" s="97">
        <v>1774</v>
      </c>
      <c r="L103" s="193">
        <v>0</v>
      </c>
      <c r="M103" s="193">
        <v>6</v>
      </c>
      <c r="N103" s="97">
        <v>843</v>
      </c>
      <c r="O103" s="97">
        <v>2</v>
      </c>
      <c r="P103" s="97">
        <v>634</v>
      </c>
      <c r="Q103" s="98">
        <v>18849</v>
      </c>
      <c r="R103" s="97">
        <v>53</v>
      </c>
      <c r="S103" s="97">
        <v>250</v>
      </c>
      <c r="T103" s="98">
        <v>3172</v>
      </c>
      <c r="U103" s="98">
        <v>2188</v>
      </c>
      <c r="V103" s="98">
        <v>1697</v>
      </c>
      <c r="W103" s="97">
        <v>240</v>
      </c>
      <c r="X103" s="32">
        <v>44005</v>
      </c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</row>
    <row r="104" spans="1:46" x14ac:dyDescent="0.3">
      <c r="A104" s="304" t="s">
        <v>966</v>
      </c>
      <c r="B104" s="307" t="s">
        <v>967</v>
      </c>
      <c r="C104" s="168" t="s">
        <v>968</v>
      </c>
      <c r="D104" s="168">
        <v>1191</v>
      </c>
      <c r="E104" s="168">
        <v>18</v>
      </c>
      <c r="F104" s="168">
        <v>15</v>
      </c>
      <c r="G104" s="168">
        <v>69</v>
      </c>
      <c r="H104" s="79" t="s">
        <v>65</v>
      </c>
      <c r="I104" s="79" t="s">
        <v>65</v>
      </c>
      <c r="J104" s="168">
        <v>3</v>
      </c>
      <c r="K104" s="168">
        <v>153</v>
      </c>
      <c r="L104" s="168" t="s">
        <v>65</v>
      </c>
      <c r="M104" s="168">
        <v>425</v>
      </c>
      <c r="N104" s="168">
        <v>33</v>
      </c>
      <c r="O104" s="168">
        <v>118</v>
      </c>
      <c r="P104" s="168" t="s">
        <v>65</v>
      </c>
      <c r="Q104" s="168">
        <v>307</v>
      </c>
      <c r="R104" s="79">
        <v>4</v>
      </c>
      <c r="S104" s="168">
        <v>6</v>
      </c>
      <c r="T104" s="168">
        <v>215</v>
      </c>
      <c r="U104" s="168" t="s">
        <v>65</v>
      </c>
      <c r="V104" s="79" t="s">
        <v>65</v>
      </c>
      <c r="W104" s="168">
        <v>104</v>
      </c>
      <c r="X104" s="190">
        <v>2661</v>
      </c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</row>
    <row r="105" spans="1:46" x14ac:dyDescent="0.3">
      <c r="A105" s="305"/>
      <c r="B105" s="323"/>
      <c r="C105" s="95" t="s">
        <v>969</v>
      </c>
      <c r="D105" s="95">
        <v>66</v>
      </c>
      <c r="E105" s="95">
        <v>7</v>
      </c>
      <c r="F105" s="95" t="s">
        <v>65</v>
      </c>
      <c r="G105" s="95" t="s">
        <v>65</v>
      </c>
      <c r="H105" s="79" t="s">
        <v>65</v>
      </c>
      <c r="I105" s="79" t="s">
        <v>65</v>
      </c>
      <c r="J105" s="95" t="s">
        <v>65</v>
      </c>
      <c r="K105" s="95" t="s">
        <v>65</v>
      </c>
      <c r="L105" s="95" t="s">
        <v>65</v>
      </c>
      <c r="M105" s="95">
        <v>34</v>
      </c>
      <c r="N105" s="95" t="s">
        <v>65</v>
      </c>
      <c r="O105" s="95" t="s">
        <v>65</v>
      </c>
      <c r="P105" s="95">
        <v>3</v>
      </c>
      <c r="Q105" s="95">
        <v>6</v>
      </c>
      <c r="R105" s="79" t="s">
        <v>65</v>
      </c>
      <c r="S105" s="95" t="s">
        <v>65</v>
      </c>
      <c r="T105" s="95">
        <v>13</v>
      </c>
      <c r="U105" s="95">
        <v>3</v>
      </c>
      <c r="V105" s="79" t="s">
        <v>65</v>
      </c>
      <c r="W105" s="95">
        <v>5</v>
      </c>
      <c r="X105" s="123">
        <v>136</v>
      </c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</row>
    <row r="106" spans="1:46" x14ac:dyDescent="0.3">
      <c r="A106" s="305"/>
      <c r="B106" s="323"/>
      <c r="C106" s="95" t="s">
        <v>970</v>
      </c>
      <c r="D106" s="95">
        <v>139</v>
      </c>
      <c r="E106" s="95">
        <v>11</v>
      </c>
      <c r="F106" s="95" t="s">
        <v>65</v>
      </c>
      <c r="G106" s="95" t="s">
        <v>65</v>
      </c>
      <c r="H106" s="79" t="s">
        <v>65</v>
      </c>
      <c r="I106" s="79" t="s">
        <v>65</v>
      </c>
      <c r="J106" s="95" t="s">
        <v>65</v>
      </c>
      <c r="K106" s="95">
        <v>9</v>
      </c>
      <c r="L106" s="95" t="s">
        <v>65</v>
      </c>
      <c r="M106" s="95">
        <v>114</v>
      </c>
      <c r="N106" s="95" t="s">
        <v>65</v>
      </c>
      <c r="O106" s="95">
        <v>10</v>
      </c>
      <c r="P106" s="95">
        <v>1</v>
      </c>
      <c r="Q106" s="95">
        <v>25</v>
      </c>
      <c r="R106" s="79" t="s">
        <v>65</v>
      </c>
      <c r="S106" s="95" t="s">
        <v>65</v>
      </c>
      <c r="T106" s="95">
        <v>50</v>
      </c>
      <c r="U106" s="95" t="s">
        <v>65</v>
      </c>
      <c r="V106" s="79" t="s">
        <v>65</v>
      </c>
      <c r="W106" s="95" t="s">
        <v>65</v>
      </c>
      <c r="X106" s="123">
        <v>359</v>
      </c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</row>
    <row r="107" spans="1:46" x14ac:dyDescent="0.3">
      <c r="A107" s="305"/>
      <c r="B107" s="323"/>
      <c r="C107" s="95" t="s">
        <v>971</v>
      </c>
      <c r="D107" s="95">
        <v>2</v>
      </c>
      <c r="E107" s="95" t="s">
        <v>65</v>
      </c>
      <c r="F107" s="95" t="s">
        <v>65</v>
      </c>
      <c r="G107" s="95" t="s">
        <v>65</v>
      </c>
      <c r="H107" s="79" t="s">
        <v>65</v>
      </c>
      <c r="I107" s="79" t="s">
        <v>65</v>
      </c>
      <c r="J107" s="95" t="s">
        <v>65</v>
      </c>
      <c r="K107" s="95" t="s">
        <v>65</v>
      </c>
      <c r="L107" s="95" t="s">
        <v>65</v>
      </c>
      <c r="M107" s="95">
        <v>31</v>
      </c>
      <c r="N107" s="95" t="s">
        <v>65</v>
      </c>
      <c r="O107" s="95" t="s">
        <v>65</v>
      </c>
      <c r="P107" s="95" t="s">
        <v>65</v>
      </c>
      <c r="Q107" s="95" t="s">
        <v>65</v>
      </c>
      <c r="R107" s="79" t="s">
        <v>65</v>
      </c>
      <c r="S107" s="95" t="s">
        <v>65</v>
      </c>
      <c r="T107" s="95">
        <v>5</v>
      </c>
      <c r="U107" s="95" t="s">
        <v>65</v>
      </c>
      <c r="V107" s="79" t="s">
        <v>65</v>
      </c>
      <c r="W107" s="95" t="s">
        <v>65</v>
      </c>
      <c r="X107" s="123">
        <v>37</v>
      </c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</row>
    <row r="108" spans="1:46" x14ac:dyDescent="0.3">
      <c r="A108" s="305"/>
      <c r="B108" s="308"/>
      <c r="C108" s="95" t="s">
        <v>972</v>
      </c>
      <c r="D108" s="95">
        <v>44</v>
      </c>
      <c r="E108" s="95">
        <v>21</v>
      </c>
      <c r="F108" s="95" t="s">
        <v>65</v>
      </c>
      <c r="G108" s="95" t="s">
        <v>65</v>
      </c>
      <c r="H108" s="79" t="s">
        <v>65</v>
      </c>
      <c r="I108" s="79" t="s">
        <v>65</v>
      </c>
      <c r="J108" s="95">
        <v>4</v>
      </c>
      <c r="K108" s="95" t="s">
        <v>65</v>
      </c>
      <c r="L108" s="95" t="s">
        <v>65</v>
      </c>
      <c r="M108" s="95">
        <v>247</v>
      </c>
      <c r="N108" s="95" t="s">
        <v>65</v>
      </c>
      <c r="O108" s="95" t="s">
        <v>65</v>
      </c>
      <c r="P108" s="95">
        <v>6</v>
      </c>
      <c r="Q108" s="95">
        <v>17</v>
      </c>
      <c r="R108" s="79" t="s">
        <v>65</v>
      </c>
      <c r="S108" s="95" t="s">
        <v>65</v>
      </c>
      <c r="T108" s="95">
        <v>32</v>
      </c>
      <c r="U108" s="95">
        <v>7</v>
      </c>
      <c r="V108" s="79" t="s">
        <v>65</v>
      </c>
      <c r="W108" s="95" t="s">
        <v>65</v>
      </c>
      <c r="X108" s="123">
        <v>378</v>
      </c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</row>
    <row r="109" spans="1:46" x14ac:dyDescent="0.3">
      <c r="A109" s="305"/>
      <c r="B109" s="307" t="s">
        <v>973</v>
      </c>
      <c r="C109" s="95" t="s">
        <v>974</v>
      </c>
      <c r="D109" s="95">
        <v>17</v>
      </c>
      <c r="E109" s="95">
        <v>2</v>
      </c>
      <c r="F109" s="95" t="s">
        <v>65</v>
      </c>
      <c r="G109" s="95" t="s">
        <v>65</v>
      </c>
      <c r="H109" s="79" t="s">
        <v>65</v>
      </c>
      <c r="I109" s="79" t="s">
        <v>65</v>
      </c>
      <c r="J109" s="95" t="s">
        <v>65</v>
      </c>
      <c r="K109" s="95" t="s">
        <v>65</v>
      </c>
      <c r="L109" s="95" t="s">
        <v>65</v>
      </c>
      <c r="M109" s="95" t="s">
        <v>65</v>
      </c>
      <c r="N109" s="95" t="s">
        <v>65</v>
      </c>
      <c r="O109" s="95" t="s">
        <v>65</v>
      </c>
      <c r="P109" s="95" t="s">
        <v>65</v>
      </c>
      <c r="Q109" s="95">
        <v>16</v>
      </c>
      <c r="R109" s="79" t="s">
        <v>65</v>
      </c>
      <c r="S109" s="95" t="s">
        <v>65</v>
      </c>
      <c r="T109" s="95">
        <v>4</v>
      </c>
      <c r="U109" s="95" t="s">
        <v>65</v>
      </c>
      <c r="V109" s="79" t="s">
        <v>65</v>
      </c>
      <c r="W109" s="95">
        <v>4</v>
      </c>
      <c r="X109" s="123">
        <v>44</v>
      </c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</row>
    <row r="110" spans="1:46" x14ac:dyDescent="0.3">
      <c r="A110" s="305"/>
      <c r="B110" s="323"/>
      <c r="C110" s="95" t="s">
        <v>975</v>
      </c>
      <c r="D110" s="95">
        <v>45</v>
      </c>
      <c r="E110" s="95">
        <v>6</v>
      </c>
      <c r="F110" s="95" t="s">
        <v>65</v>
      </c>
      <c r="G110" s="95" t="s">
        <v>65</v>
      </c>
      <c r="H110" s="79" t="s">
        <v>65</v>
      </c>
      <c r="I110" s="79" t="s">
        <v>65</v>
      </c>
      <c r="J110" s="95" t="s">
        <v>65</v>
      </c>
      <c r="K110" s="95">
        <v>4</v>
      </c>
      <c r="L110" s="95" t="s">
        <v>65</v>
      </c>
      <c r="M110" s="95">
        <v>23</v>
      </c>
      <c r="N110" s="95" t="s">
        <v>65</v>
      </c>
      <c r="O110" s="95">
        <v>5</v>
      </c>
      <c r="P110" s="95" t="s">
        <v>65</v>
      </c>
      <c r="Q110" s="95">
        <v>12</v>
      </c>
      <c r="R110" s="79" t="s">
        <v>65</v>
      </c>
      <c r="S110" s="95" t="s">
        <v>65</v>
      </c>
      <c r="T110" s="95">
        <v>11</v>
      </c>
      <c r="U110" s="95" t="s">
        <v>65</v>
      </c>
      <c r="V110" s="79" t="s">
        <v>65</v>
      </c>
      <c r="W110" s="95" t="s">
        <v>65</v>
      </c>
      <c r="X110" s="123">
        <v>105</v>
      </c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</row>
    <row r="111" spans="1:46" x14ac:dyDescent="0.3">
      <c r="A111" s="305"/>
      <c r="B111" s="323"/>
      <c r="C111" s="95" t="s">
        <v>976</v>
      </c>
      <c r="D111" s="95">
        <v>7</v>
      </c>
      <c r="E111" s="95">
        <v>8</v>
      </c>
      <c r="F111" s="95" t="s">
        <v>65</v>
      </c>
      <c r="G111" s="95" t="s">
        <v>65</v>
      </c>
      <c r="H111" s="79" t="s">
        <v>65</v>
      </c>
      <c r="I111" s="79">
        <v>4</v>
      </c>
      <c r="J111" s="95">
        <v>7</v>
      </c>
      <c r="K111" s="95">
        <v>17</v>
      </c>
      <c r="L111" s="95" t="s">
        <v>65</v>
      </c>
      <c r="M111" s="95" t="s">
        <v>65</v>
      </c>
      <c r="N111" s="95" t="s">
        <v>65</v>
      </c>
      <c r="O111" s="95">
        <v>2</v>
      </c>
      <c r="P111" s="95" t="s">
        <v>65</v>
      </c>
      <c r="Q111" s="95">
        <v>278</v>
      </c>
      <c r="R111" s="79" t="s">
        <v>65</v>
      </c>
      <c r="S111" s="95" t="s">
        <v>65</v>
      </c>
      <c r="T111" s="95">
        <v>21</v>
      </c>
      <c r="U111" s="95" t="s">
        <v>65</v>
      </c>
      <c r="V111" s="79" t="s">
        <v>65</v>
      </c>
      <c r="W111" s="95" t="s">
        <v>65</v>
      </c>
      <c r="X111" s="123">
        <v>343</v>
      </c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</row>
    <row r="112" spans="1:46" x14ac:dyDescent="0.3">
      <c r="A112" s="305"/>
      <c r="B112" s="308"/>
      <c r="C112" s="95" t="s">
        <v>977</v>
      </c>
      <c r="D112" s="95">
        <v>6</v>
      </c>
      <c r="E112" s="95">
        <v>4</v>
      </c>
      <c r="F112" s="95" t="s">
        <v>65</v>
      </c>
      <c r="G112" s="95" t="s">
        <v>65</v>
      </c>
      <c r="H112" s="79" t="s">
        <v>65</v>
      </c>
      <c r="I112" s="79" t="s">
        <v>65</v>
      </c>
      <c r="J112" s="95">
        <v>12</v>
      </c>
      <c r="K112" s="95">
        <v>3</v>
      </c>
      <c r="L112" s="95" t="s">
        <v>65</v>
      </c>
      <c r="M112" s="95">
        <v>10</v>
      </c>
      <c r="N112" s="95" t="s">
        <v>65</v>
      </c>
      <c r="O112" s="95">
        <v>1</v>
      </c>
      <c r="P112" s="95" t="s">
        <v>65</v>
      </c>
      <c r="Q112" s="95">
        <v>35</v>
      </c>
      <c r="R112" s="79" t="s">
        <v>65</v>
      </c>
      <c r="S112" s="95" t="s">
        <v>65</v>
      </c>
      <c r="T112" s="95">
        <v>9</v>
      </c>
      <c r="U112" s="95" t="s">
        <v>65</v>
      </c>
      <c r="V112" s="79" t="s">
        <v>65</v>
      </c>
      <c r="W112" s="95" t="s">
        <v>65</v>
      </c>
      <c r="X112" s="123">
        <v>79</v>
      </c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</row>
    <row r="113" spans="1:46" x14ac:dyDescent="0.3">
      <c r="A113" s="305"/>
      <c r="B113" s="307" t="s">
        <v>762</v>
      </c>
      <c r="C113" s="95" t="s">
        <v>978</v>
      </c>
      <c r="D113" s="95">
        <v>3</v>
      </c>
      <c r="E113" s="95">
        <v>5</v>
      </c>
      <c r="F113" s="95" t="s">
        <v>65</v>
      </c>
      <c r="G113" s="95" t="s">
        <v>65</v>
      </c>
      <c r="H113" s="79" t="s">
        <v>65</v>
      </c>
      <c r="I113" s="79" t="s">
        <v>65</v>
      </c>
      <c r="J113" s="95" t="s">
        <v>65</v>
      </c>
      <c r="K113" s="95">
        <v>3</v>
      </c>
      <c r="L113" s="95">
        <v>136</v>
      </c>
      <c r="M113" s="95">
        <v>10</v>
      </c>
      <c r="N113" s="95" t="s">
        <v>65</v>
      </c>
      <c r="O113" s="95" t="s">
        <v>65</v>
      </c>
      <c r="P113" s="95" t="s">
        <v>65</v>
      </c>
      <c r="Q113" s="95" t="s">
        <v>65</v>
      </c>
      <c r="R113" s="79" t="s">
        <v>65</v>
      </c>
      <c r="S113" s="95" t="s">
        <v>65</v>
      </c>
      <c r="T113" s="95" t="s">
        <v>65</v>
      </c>
      <c r="U113" s="95" t="s">
        <v>65</v>
      </c>
      <c r="V113" s="79" t="s">
        <v>65</v>
      </c>
      <c r="W113" s="95" t="s">
        <v>65</v>
      </c>
      <c r="X113" s="123">
        <v>156</v>
      </c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</row>
    <row r="114" spans="1:46" x14ac:dyDescent="0.3">
      <c r="A114" s="305"/>
      <c r="B114" s="308"/>
      <c r="C114" s="95" t="s">
        <v>979</v>
      </c>
      <c r="D114" s="95">
        <v>5</v>
      </c>
      <c r="E114" s="95">
        <v>13</v>
      </c>
      <c r="F114" s="95" t="s">
        <v>65</v>
      </c>
      <c r="G114" s="95" t="s">
        <v>65</v>
      </c>
      <c r="H114" s="79" t="s">
        <v>65</v>
      </c>
      <c r="I114" s="79" t="s">
        <v>65</v>
      </c>
      <c r="J114" s="95">
        <v>3</v>
      </c>
      <c r="K114" s="95">
        <v>11</v>
      </c>
      <c r="L114" s="95">
        <v>8</v>
      </c>
      <c r="M114" s="95">
        <v>2</v>
      </c>
      <c r="N114" s="95" t="s">
        <v>65</v>
      </c>
      <c r="O114" s="95" t="s">
        <v>65</v>
      </c>
      <c r="P114" s="95" t="s">
        <v>65</v>
      </c>
      <c r="Q114" s="95">
        <v>8</v>
      </c>
      <c r="R114" s="79" t="s">
        <v>65</v>
      </c>
      <c r="S114" s="95" t="s">
        <v>65</v>
      </c>
      <c r="T114" s="95" t="s">
        <v>65</v>
      </c>
      <c r="U114" s="95" t="s">
        <v>65</v>
      </c>
      <c r="V114" s="79" t="s">
        <v>65</v>
      </c>
      <c r="W114" s="95" t="s">
        <v>65</v>
      </c>
      <c r="X114" s="123">
        <v>50</v>
      </c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</row>
    <row r="115" spans="1:46" x14ac:dyDescent="0.3">
      <c r="A115" s="306"/>
      <c r="B115" s="339" t="s">
        <v>110</v>
      </c>
      <c r="C115" s="322"/>
      <c r="D115" s="98">
        <v>1526</v>
      </c>
      <c r="E115" s="97">
        <v>94</v>
      </c>
      <c r="F115" s="97">
        <v>15</v>
      </c>
      <c r="G115" s="97">
        <v>69</v>
      </c>
      <c r="H115" s="193">
        <v>0</v>
      </c>
      <c r="I115" s="193">
        <v>4</v>
      </c>
      <c r="J115" s="97">
        <v>29</v>
      </c>
      <c r="K115" s="97">
        <v>197</v>
      </c>
      <c r="L115" s="97">
        <v>144</v>
      </c>
      <c r="M115" s="97">
        <v>895</v>
      </c>
      <c r="N115" s="97">
        <v>33</v>
      </c>
      <c r="O115" s="97">
        <v>136</v>
      </c>
      <c r="P115" s="97">
        <v>10</v>
      </c>
      <c r="Q115" s="97">
        <v>702</v>
      </c>
      <c r="R115" s="193">
        <v>4</v>
      </c>
      <c r="S115" s="97">
        <v>6</v>
      </c>
      <c r="T115" s="97">
        <v>360</v>
      </c>
      <c r="U115" s="97">
        <v>10</v>
      </c>
      <c r="V115" s="193">
        <v>0</v>
      </c>
      <c r="W115" s="97">
        <v>113</v>
      </c>
      <c r="X115" s="32">
        <v>4348</v>
      </c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</row>
    <row r="116" spans="1:46" x14ac:dyDescent="0.3">
      <c r="A116" s="124" t="s">
        <v>85</v>
      </c>
      <c r="B116" s="337" t="s">
        <v>980</v>
      </c>
      <c r="C116" s="338"/>
      <c r="D116" s="96">
        <v>25870</v>
      </c>
      <c r="E116" s="96">
        <v>11549</v>
      </c>
      <c r="F116" s="95">
        <v>607</v>
      </c>
      <c r="G116" s="96">
        <v>2249</v>
      </c>
      <c r="H116" s="95">
        <v>862</v>
      </c>
      <c r="I116" s="95">
        <v>551</v>
      </c>
      <c r="J116" s="95">
        <v>1082</v>
      </c>
      <c r="K116" s="96">
        <v>699</v>
      </c>
      <c r="L116" s="95">
        <v>534</v>
      </c>
      <c r="M116" s="95">
        <v>67</v>
      </c>
      <c r="N116" s="96">
        <v>27204</v>
      </c>
      <c r="O116" s="95">
        <v>324</v>
      </c>
      <c r="P116" s="95">
        <v>435</v>
      </c>
      <c r="Q116" s="96">
        <v>14809</v>
      </c>
      <c r="R116" s="95">
        <v>515</v>
      </c>
      <c r="S116" s="95">
        <v>682</v>
      </c>
      <c r="T116" s="96">
        <v>4384</v>
      </c>
      <c r="U116" s="96">
        <v>3722</v>
      </c>
      <c r="V116" s="96">
        <v>1009</v>
      </c>
      <c r="W116" s="96">
        <v>1806</v>
      </c>
      <c r="X116" s="30">
        <v>98961</v>
      </c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</row>
    <row r="117" spans="1:46" x14ac:dyDescent="0.3">
      <c r="A117" s="321" t="s">
        <v>86</v>
      </c>
      <c r="B117" s="321"/>
      <c r="C117" s="322"/>
      <c r="D117" s="98">
        <v>94037</v>
      </c>
      <c r="E117" s="98">
        <v>18222</v>
      </c>
      <c r="F117" s="97">
        <v>806</v>
      </c>
      <c r="G117" s="98">
        <v>6032</v>
      </c>
      <c r="H117" s="98">
        <v>1218</v>
      </c>
      <c r="I117" s="98">
        <v>2535</v>
      </c>
      <c r="J117" s="98">
        <v>8777</v>
      </c>
      <c r="K117" s="98">
        <v>9360</v>
      </c>
      <c r="L117" s="97">
        <v>678</v>
      </c>
      <c r="M117" s="98">
        <v>1291</v>
      </c>
      <c r="N117" s="98">
        <v>45992</v>
      </c>
      <c r="O117" s="98">
        <v>6140</v>
      </c>
      <c r="P117" s="98">
        <v>1625</v>
      </c>
      <c r="Q117" s="98">
        <v>54559</v>
      </c>
      <c r="R117" s="98">
        <v>1341</v>
      </c>
      <c r="S117" s="98">
        <v>979</v>
      </c>
      <c r="T117" s="98">
        <v>18224</v>
      </c>
      <c r="U117" s="98">
        <v>9212</v>
      </c>
      <c r="V117" s="98">
        <v>4232</v>
      </c>
      <c r="W117" s="98">
        <v>4903</v>
      </c>
      <c r="X117" s="32">
        <v>290164</v>
      </c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</row>
    <row r="119" spans="1:46" x14ac:dyDescent="0.3">
      <c r="A119" s="90" t="s">
        <v>1203</v>
      </c>
    </row>
    <row r="120" spans="1:46" ht="18.75" x14ac:dyDescent="0.4">
      <c r="A120" s="292" t="s">
        <v>1355</v>
      </c>
    </row>
  </sheetData>
  <mergeCells count="58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X4:X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A24:A47"/>
    <mergeCell ref="B24:B32"/>
    <mergeCell ref="B33:B41"/>
    <mergeCell ref="B42:B46"/>
    <mergeCell ref="B47:C47"/>
    <mergeCell ref="A7:A23"/>
    <mergeCell ref="B7:B11"/>
    <mergeCell ref="B12:B15"/>
    <mergeCell ref="B16:B21"/>
    <mergeCell ref="B23:C23"/>
    <mergeCell ref="A48:A66"/>
    <mergeCell ref="B48:B52"/>
    <mergeCell ref="B53:B54"/>
    <mergeCell ref="B55:B57"/>
    <mergeCell ref="B58:B65"/>
    <mergeCell ref="B66:C66"/>
    <mergeCell ref="A67:A80"/>
    <mergeCell ref="B67:B70"/>
    <mergeCell ref="B71:B74"/>
    <mergeCell ref="B75:B78"/>
    <mergeCell ref="B80:C80"/>
    <mergeCell ref="B116:C116"/>
    <mergeCell ref="A117:C117"/>
    <mergeCell ref="B103:C103"/>
    <mergeCell ref="A104:A115"/>
    <mergeCell ref="B104:B108"/>
    <mergeCell ref="B109:B112"/>
    <mergeCell ref="B113:B114"/>
    <mergeCell ref="B115:C115"/>
    <mergeCell ref="A81:A103"/>
    <mergeCell ref="B81:B86"/>
    <mergeCell ref="B87:B94"/>
    <mergeCell ref="B95:B99"/>
    <mergeCell ref="B100:B102"/>
  </mergeCells>
  <phoneticPr fontId="1" type="noConversion"/>
  <hyperlinks>
    <hyperlink ref="I1" location="목차!A1" display="목차" xr:uid="{25ED55BF-F6D1-4934-88B4-9AB21721B839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BCA1-F524-4A4D-B3F4-A44059A0F1BC}">
  <sheetPr>
    <tabColor theme="1" tint="0.499984740745262"/>
  </sheetPr>
  <dimension ref="A1:W74"/>
  <sheetViews>
    <sheetView topLeftCell="A16" zoomScale="55" zoomScaleNormal="55" workbookViewId="0">
      <selection activeCell="A74" sqref="A74"/>
    </sheetView>
  </sheetViews>
  <sheetFormatPr defaultRowHeight="16.5" x14ac:dyDescent="0.3"/>
  <cols>
    <col min="2" max="2" width="31.125" customWidth="1"/>
    <col min="3" max="3" width="9.625" customWidth="1"/>
  </cols>
  <sheetData>
    <row r="1" spans="1:23" ht="17.25" x14ac:dyDescent="0.3">
      <c r="A1" s="7" t="s">
        <v>1207</v>
      </c>
      <c r="B1" s="2"/>
      <c r="C1" s="2"/>
      <c r="D1" s="2"/>
      <c r="E1" s="2"/>
      <c r="F1" s="2"/>
      <c r="H1" s="72" t="s">
        <v>367</v>
      </c>
    </row>
    <row r="3" spans="1:23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33" t="s">
        <v>843</v>
      </c>
    </row>
    <row r="4" spans="1:23" ht="33" customHeight="1" x14ac:dyDescent="0.3">
      <c r="A4" s="311" t="s">
        <v>1208</v>
      </c>
      <c r="B4" s="311" t="s">
        <v>1209</v>
      </c>
      <c r="C4" s="311" t="s">
        <v>40</v>
      </c>
      <c r="D4" s="311" t="s">
        <v>41</v>
      </c>
      <c r="E4" s="311" t="s">
        <v>43</v>
      </c>
      <c r="F4" s="311" t="s">
        <v>44</v>
      </c>
      <c r="G4" s="311" t="s">
        <v>45</v>
      </c>
      <c r="H4" s="311" t="s">
        <v>47</v>
      </c>
      <c r="I4" s="311" t="s">
        <v>48</v>
      </c>
      <c r="J4" s="311" t="s">
        <v>49</v>
      </c>
      <c r="K4" s="311" t="s">
        <v>50</v>
      </c>
      <c r="L4" s="311" t="s">
        <v>51</v>
      </c>
      <c r="M4" s="311" t="s">
        <v>52</v>
      </c>
      <c r="N4" s="311" t="s">
        <v>55</v>
      </c>
      <c r="O4" s="311" t="s">
        <v>56</v>
      </c>
      <c r="P4" s="311" t="s">
        <v>57</v>
      </c>
      <c r="Q4" s="311" t="s">
        <v>59</v>
      </c>
      <c r="R4" s="311" t="s">
        <v>62</v>
      </c>
      <c r="S4" s="311" t="s">
        <v>63</v>
      </c>
      <c r="T4" s="311" t="s">
        <v>68</v>
      </c>
      <c r="U4" s="311" t="s">
        <v>71</v>
      </c>
      <c r="V4" s="311" t="s">
        <v>981</v>
      </c>
      <c r="W4" s="332" t="s">
        <v>86</v>
      </c>
    </row>
    <row r="5" spans="1:23" ht="16.5" customHeight="1" x14ac:dyDescent="0.3">
      <c r="A5" s="311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32"/>
    </row>
    <row r="6" spans="1:23" ht="16.5" customHeight="1" x14ac:dyDescent="0.3">
      <c r="A6" s="311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32"/>
    </row>
    <row r="7" spans="1:23" ht="16.5" customHeight="1" x14ac:dyDescent="0.3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32"/>
    </row>
    <row r="8" spans="1:23" ht="15.75" customHeight="1" x14ac:dyDescent="0.3">
      <c r="A8" s="307" t="s">
        <v>1356</v>
      </c>
      <c r="B8" s="95" t="s">
        <v>1210</v>
      </c>
      <c r="C8" s="95">
        <v>2432</v>
      </c>
      <c r="D8" s="95">
        <v>562</v>
      </c>
      <c r="E8" s="95">
        <v>0</v>
      </c>
      <c r="F8" s="95">
        <v>6</v>
      </c>
      <c r="G8" s="95">
        <v>0</v>
      </c>
      <c r="H8" s="95">
        <v>0</v>
      </c>
      <c r="I8" s="95">
        <v>0</v>
      </c>
      <c r="J8" s="95">
        <v>215</v>
      </c>
      <c r="K8" s="95">
        <v>0</v>
      </c>
      <c r="L8" s="95">
        <v>0</v>
      </c>
      <c r="M8" s="95">
        <v>0</v>
      </c>
      <c r="N8" s="95">
        <v>0</v>
      </c>
      <c r="O8" s="95">
        <v>0</v>
      </c>
      <c r="P8" s="95">
        <v>497</v>
      </c>
      <c r="Q8" s="95">
        <v>0</v>
      </c>
      <c r="R8" s="95">
        <v>0</v>
      </c>
      <c r="S8" s="95">
        <v>417</v>
      </c>
      <c r="T8" s="95">
        <v>4</v>
      </c>
      <c r="U8" s="95">
        <v>0</v>
      </c>
      <c r="V8" s="95">
        <v>0</v>
      </c>
      <c r="W8" s="95">
        <v>4133</v>
      </c>
    </row>
    <row r="9" spans="1:23" ht="15.75" customHeight="1" x14ac:dyDescent="0.3">
      <c r="A9" s="323"/>
      <c r="B9" s="95" t="s">
        <v>1211</v>
      </c>
      <c r="C9" s="95">
        <v>164</v>
      </c>
      <c r="D9" s="95">
        <v>41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6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95">
        <v>32</v>
      </c>
      <c r="Q9" s="95">
        <v>0</v>
      </c>
      <c r="R9" s="95">
        <v>0</v>
      </c>
      <c r="S9" s="95">
        <v>27</v>
      </c>
      <c r="T9" s="95">
        <v>0</v>
      </c>
      <c r="U9" s="95">
        <v>0</v>
      </c>
      <c r="V9" s="95">
        <v>0</v>
      </c>
      <c r="W9" s="95">
        <v>270</v>
      </c>
    </row>
    <row r="10" spans="1:23" ht="15.75" customHeight="1" x14ac:dyDescent="0.3">
      <c r="A10" s="323"/>
      <c r="B10" s="95" t="s">
        <v>1212</v>
      </c>
      <c r="C10" s="95">
        <v>626</v>
      </c>
      <c r="D10" s="95">
        <v>81</v>
      </c>
      <c r="E10" s="95">
        <v>0</v>
      </c>
      <c r="F10" s="95">
        <v>57</v>
      </c>
      <c r="G10" s="95">
        <v>0</v>
      </c>
      <c r="H10" s="95">
        <v>0</v>
      </c>
      <c r="I10" s="95">
        <v>5</v>
      </c>
      <c r="J10" s="95">
        <v>79</v>
      </c>
      <c r="K10" s="95">
        <v>0</v>
      </c>
      <c r="L10" s="95">
        <v>0</v>
      </c>
      <c r="M10" s="95">
        <v>47</v>
      </c>
      <c r="N10" s="95">
        <v>0</v>
      </c>
      <c r="O10" s="95">
        <v>0</v>
      </c>
      <c r="P10" s="95">
        <v>246</v>
      </c>
      <c r="Q10" s="95">
        <v>0</v>
      </c>
      <c r="R10" s="95">
        <v>0</v>
      </c>
      <c r="S10" s="95">
        <v>50</v>
      </c>
      <c r="T10" s="95">
        <v>14</v>
      </c>
      <c r="U10" s="95">
        <v>14</v>
      </c>
      <c r="V10" s="95">
        <v>0</v>
      </c>
      <c r="W10" s="95">
        <v>1218</v>
      </c>
    </row>
    <row r="11" spans="1:23" ht="15.75" customHeight="1" x14ac:dyDescent="0.3">
      <c r="A11" s="323"/>
      <c r="B11" s="95" t="s">
        <v>1213</v>
      </c>
      <c r="C11" s="95">
        <v>2188</v>
      </c>
      <c r="D11" s="95">
        <v>187</v>
      </c>
      <c r="E11" s="95">
        <v>0</v>
      </c>
      <c r="F11" s="95">
        <v>0</v>
      </c>
      <c r="G11" s="95">
        <v>0</v>
      </c>
      <c r="H11" s="95">
        <v>0</v>
      </c>
      <c r="I11" s="95">
        <v>0</v>
      </c>
      <c r="J11" s="95">
        <v>36</v>
      </c>
      <c r="K11" s="95">
        <v>0</v>
      </c>
      <c r="L11" s="95">
        <v>0</v>
      </c>
      <c r="M11" s="95">
        <v>0</v>
      </c>
      <c r="N11" s="95">
        <v>0</v>
      </c>
      <c r="O11" s="95">
        <v>0</v>
      </c>
      <c r="P11" s="95">
        <v>129</v>
      </c>
      <c r="Q11" s="95">
        <v>0</v>
      </c>
      <c r="R11" s="95">
        <v>0</v>
      </c>
      <c r="S11" s="95">
        <v>41</v>
      </c>
      <c r="T11" s="95">
        <v>0</v>
      </c>
      <c r="U11" s="95">
        <v>0</v>
      </c>
      <c r="V11" s="95">
        <v>0</v>
      </c>
      <c r="W11" s="95">
        <v>2581</v>
      </c>
    </row>
    <row r="12" spans="1:23" ht="15.75" customHeight="1" x14ac:dyDescent="0.3">
      <c r="A12" s="323"/>
      <c r="B12" s="95" t="s">
        <v>1214</v>
      </c>
      <c r="C12" s="95">
        <v>320</v>
      </c>
      <c r="D12" s="95">
        <v>20</v>
      </c>
      <c r="E12" s="95">
        <v>0</v>
      </c>
      <c r="F12" s="95">
        <v>0</v>
      </c>
      <c r="G12" s="95">
        <v>0</v>
      </c>
      <c r="H12" s="95">
        <v>0</v>
      </c>
      <c r="I12" s="95">
        <v>6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95">
        <v>38</v>
      </c>
      <c r="Q12" s="95">
        <v>0</v>
      </c>
      <c r="R12" s="95">
        <v>0</v>
      </c>
      <c r="S12" s="95">
        <v>14</v>
      </c>
      <c r="T12" s="95">
        <v>0</v>
      </c>
      <c r="U12" s="95">
        <v>0</v>
      </c>
      <c r="V12" s="95">
        <v>6</v>
      </c>
      <c r="W12" s="95">
        <v>404</v>
      </c>
    </row>
    <row r="13" spans="1:23" ht="15.75" customHeight="1" x14ac:dyDescent="0.3">
      <c r="A13" s="323"/>
      <c r="B13" s="95" t="s">
        <v>1215</v>
      </c>
      <c r="C13" s="95">
        <v>233</v>
      </c>
      <c r="D13" s="95">
        <v>50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0</v>
      </c>
      <c r="K13" s="95">
        <v>0</v>
      </c>
      <c r="L13" s="95">
        <v>0</v>
      </c>
      <c r="M13" s="95">
        <v>10</v>
      </c>
      <c r="N13" s="95">
        <v>0</v>
      </c>
      <c r="O13" s="95">
        <v>0</v>
      </c>
      <c r="P13" s="95">
        <v>133</v>
      </c>
      <c r="Q13" s="95">
        <v>0</v>
      </c>
      <c r="R13" s="95">
        <v>0</v>
      </c>
      <c r="S13" s="95">
        <v>55</v>
      </c>
      <c r="T13" s="95">
        <v>0</v>
      </c>
      <c r="U13" s="95">
        <v>0</v>
      </c>
      <c r="V13" s="95">
        <v>0</v>
      </c>
      <c r="W13" s="95">
        <v>480</v>
      </c>
    </row>
    <row r="14" spans="1:23" ht="15.75" customHeight="1" x14ac:dyDescent="0.3">
      <c r="A14" s="323"/>
      <c r="B14" s="95" t="s">
        <v>1216</v>
      </c>
      <c r="C14" s="95">
        <v>154</v>
      </c>
      <c r="D14" s="95">
        <v>29</v>
      </c>
      <c r="E14" s="95">
        <v>0</v>
      </c>
      <c r="F14" s="95">
        <v>0</v>
      </c>
      <c r="G14" s="95">
        <v>0</v>
      </c>
      <c r="H14" s="95">
        <v>0</v>
      </c>
      <c r="I14" s="95">
        <v>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95">
        <v>0</v>
      </c>
      <c r="Q14" s="95">
        <v>0</v>
      </c>
      <c r="R14" s="95">
        <v>0</v>
      </c>
      <c r="S14" s="95">
        <v>7</v>
      </c>
      <c r="T14" s="95">
        <v>0</v>
      </c>
      <c r="U14" s="95">
        <v>0</v>
      </c>
      <c r="V14" s="95">
        <v>0</v>
      </c>
      <c r="W14" s="95">
        <v>190</v>
      </c>
    </row>
    <row r="15" spans="1:23" ht="15.75" customHeight="1" x14ac:dyDescent="0.3">
      <c r="A15" s="323"/>
      <c r="B15" s="95" t="s">
        <v>1217</v>
      </c>
      <c r="C15" s="95">
        <v>112</v>
      </c>
      <c r="D15" s="95">
        <v>5</v>
      </c>
      <c r="E15" s="95">
        <v>0</v>
      </c>
      <c r="F15" s="95">
        <v>0</v>
      </c>
      <c r="G15" s="95">
        <v>0</v>
      </c>
      <c r="H15" s="95">
        <v>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5">
        <v>0</v>
      </c>
      <c r="S15" s="95">
        <v>3</v>
      </c>
      <c r="T15" s="95">
        <v>0</v>
      </c>
      <c r="U15" s="95">
        <v>0</v>
      </c>
      <c r="V15" s="95">
        <v>0</v>
      </c>
      <c r="W15" s="95">
        <v>120</v>
      </c>
    </row>
    <row r="16" spans="1:23" ht="15.75" customHeight="1" x14ac:dyDescent="0.3">
      <c r="A16" s="308"/>
      <c r="B16" s="98" t="s">
        <v>110</v>
      </c>
      <c r="C16" s="98">
        <v>6230</v>
      </c>
      <c r="D16" s="98">
        <v>976</v>
      </c>
      <c r="E16" s="98">
        <v>0</v>
      </c>
      <c r="F16" s="98">
        <v>63</v>
      </c>
      <c r="G16" s="98">
        <v>0</v>
      </c>
      <c r="H16" s="98">
        <v>0</v>
      </c>
      <c r="I16" s="98">
        <v>11</v>
      </c>
      <c r="J16" s="98">
        <v>336</v>
      </c>
      <c r="K16" s="98">
        <v>0</v>
      </c>
      <c r="L16" s="98">
        <v>0</v>
      </c>
      <c r="M16" s="98">
        <v>57</v>
      </c>
      <c r="N16" s="98">
        <v>0</v>
      </c>
      <c r="O16" s="98">
        <v>0</v>
      </c>
      <c r="P16" s="98">
        <v>1073</v>
      </c>
      <c r="Q16" s="98">
        <v>0</v>
      </c>
      <c r="R16" s="98">
        <v>0</v>
      </c>
      <c r="S16" s="98">
        <v>614</v>
      </c>
      <c r="T16" s="98">
        <v>18</v>
      </c>
      <c r="U16" s="98">
        <v>14</v>
      </c>
      <c r="V16" s="98">
        <v>6</v>
      </c>
      <c r="W16" s="98">
        <v>9397</v>
      </c>
    </row>
    <row r="17" spans="1:23" ht="15.75" customHeight="1" x14ac:dyDescent="0.3">
      <c r="A17" s="307" t="s">
        <v>461</v>
      </c>
      <c r="B17" s="95" t="s">
        <v>1218</v>
      </c>
      <c r="C17" s="95">
        <v>151</v>
      </c>
      <c r="D17" s="95">
        <v>56</v>
      </c>
      <c r="E17" s="95">
        <v>0</v>
      </c>
      <c r="F17" s="95">
        <v>0</v>
      </c>
      <c r="G17" s="95">
        <v>0</v>
      </c>
      <c r="H17" s="95">
        <v>0</v>
      </c>
      <c r="I17" s="95">
        <v>0</v>
      </c>
      <c r="J17" s="95">
        <v>45</v>
      </c>
      <c r="K17" s="95">
        <v>0</v>
      </c>
      <c r="L17" s="95">
        <v>0</v>
      </c>
      <c r="M17" s="95">
        <v>57</v>
      </c>
      <c r="N17" s="95">
        <v>0</v>
      </c>
      <c r="O17" s="95">
        <v>0</v>
      </c>
      <c r="P17" s="95">
        <v>68</v>
      </c>
      <c r="Q17" s="95">
        <v>0</v>
      </c>
      <c r="R17" s="95">
        <v>0</v>
      </c>
      <c r="S17" s="95">
        <v>62</v>
      </c>
      <c r="T17" s="95">
        <v>0</v>
      </c>
      <c r="U17" s="95">
        <v>0</v>
      </c>
      <c r="V17" s="95">
        <v>0</v>
      </c>
      <c r="W17" s="95">
        <v>440</v>
      </c>
    </row>
    <row r="18" spans="1:23" ht="15.75" customHeight="1" x14ac:dyDescent="0.3">
      <c r="A18" s="323"/>
      <c r="B18" s="95" t="s">
        <v>1219</v>
      </c>
      <c r="C18" s="95">
        <v>81</v>
      </c>
      <c r="D18" s="95">
        <v>8</v>
      </c>
      <c r="E18" s="95">
        <v>0</v>
      </c>
      <c r="F18" s="95">
        <v>0</v>
      </c>
      <c r="G18" s="95">
        <v>0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9</v>
      </c>
      <c r="Q18" s="95">
        <v>0</v>
      </c>
      <c r="R18" s="95">
        <v>0</v>
      </c>
      <c r="S18" s="95">
        <v>56</v>
      </c>
      <c r="T18" s="95">
        <v>0</v>
      </c>
      <c r="U18" s="95">
        <v>0</v>
      </c>
      <c r="V18" s="95">
        <v>0</v>
      </c>
      <c r="W18" s="95">
        <v>155</v>
      </c>
    </row>
    <row r="19" spans="1:23" ht="15.75" customHeight="1" x14ac:dyDescent="0.3">
      <c r="A19" s="323"/>
      <c r="B19" s="95" t="s">
        <v>1220</v>
      </c>
      <c r="C19" s="95">
        <v>405</v>
      </c>
      <c r="D19" s="95">
        <v>97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6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95">
        <v>68</v>
      </c>
      <c r="Q19" s="95">
        <v>0</v>
      </c>
      <c r="R19" s="95">
        <v>0</v>
      </c>
      <c r="S19" s="95">
        <v>69</v>
      </c>
      <c r="T19" s="95">
        <v>0</v>
      </c>
      <c r="U19" s="95">
        <v>0</v>
      </c>
      <c r="V19" s="95">
        <v>0</v>
      </c>
      <c r="W19" s="95">
        <v>645</v>
      </c>
    </row>
    <row r="20" spans="1:23" ht="15.75" customHeight="1" x14ac:dyDescent="0.3">
      <c r="A20" s="323"/>
      <c r="B20" s="95" t="s">
        <v>1221</v>
      </c>
      <c r="C20" s="95">
        <v>924</v>
      </c>
      <c r="D20" s="95">
        <v>102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6</v>
      </c>
      <c r="K20" s="95">
        <v>0</v>
      </c>
      <c r="L20" s="95">
        <v>0</v>
      </c>
      <c r="M20" s="95">
        <v>116</v>
      </c>
      <c r="N20" s="95">
        <v>0</v>
      </c>
      <c r="O20" s="95">
        <v>0</v>
      </c>
      <c r="P20" s="95">
        <v>112</v>
      </c>
      <c r="Q20" s="95">
        <v>0</v>
      </c>
      <c r="R20" s="95">
        <v>0</v>
      </c>
      <c r="S20" s="95">
        <v>83</v>
      </c>
      <c r="T20" s="95">
        <v>0</v>
      </c>
      <c r="U20" s="95">
        <v>0</v>
      </c>
      <c r="V20" s="95">
        <v>0</v>
      </c>
      <c r="W20" s="95">
        <v>1342</v>
      </c>
    </row>
    <row r="21" spans="1:23" ht="15.75" customHeight="1" x14ac:dyDescent="0.3">
      <c r="A21" s="308"/>
      <c r="B21" s="98" t="s">
        <v>110</v>
      </c>
      <c r="C21" s="98">
        <v>1562</v>
      </c>
      <c r="D21" s="98">
        <v>263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56</v>
      </c>
      <c r="K21" s="98">
        <v>0</v>
      </c>
      <c r="L21" s="98">
        <v>0</v>
      </c>
      <c r="M21" s="98">
        <v>173</v>
      </c>
      <c r="N21" s="98">
        <v>0</v>
      </c>
      <c r="O21" s="98">
        <v>0</v>
      </c>
      <c r="P21" s="98">
        <v>257</v>
      </c>
      <c r="Q21" s="98">
        <v>0</v>
      </c>
      <c r="R21" s="98">
        <v>0</v>
      </c>
      <c r="S21" s="98">
        <v>271</v>
      </c>
      <c r="T21" s="98">
        <v>0</v>
      </c>
      <c r="U21" s="98">
        <v>0</v>
      </c>
      <c r="V21" s="98">
        <v>0</v>
      </c>
      <c r="W21" s="98">
        <v>2581</v>
      </c>
    </row>
    <row r="22" spans="1:23" ht="15.75" customHeight="1" x14ac:dyDescent="0.3">
      <c r="A22" s="307" t="s">
        <v>462</v>
      </c>
      <c r="B22" s="95" t="s">
        <v>1222</v>
      </c>
      <c r="C22" s="95">
        <v>771</v>
      </c>
      <c r="D22" s="95">
        <v>78</v>
      </c>
      <c r="E22" s="95">
        <v>0</v>
      </c>
      <c r="F22" s="95">
        <v>505</v>
      </c>
      <c r="G22" s="95">
        <v>0</v>
      </c>
      <c r="H22" s="95">
        <v>9</v>
      </c>
      <c r="I22" s="95">
        <v>3</v>
      </c>
      <c r="J22" s="95">
        <v>43</v>
      </c>
      <c r="K22" s="95">
        <v>0</v>
      </c>
      <c r="L22" s="95">
        <v>0</v>
      </c>
      <c r="M22" s="95">
        <v>54</v>
      </c>
      <c r="N22" s="95">
        <v>0</v>
      </c>
      <c r="O22" s="95">
        <v>0</v>
      </c>
      <c r="P22" s="95">
        <v>174</v>
      </c>
      <c r="Q22" s="95">
        <v>0</v>
      </c>
      <c r="R22" s="95">
        <v>0</v>
      </c>
      <c r="S22" s="95">
        <v>58</v>
      </c>
      <c r="T22" s="95">
        <v>20</v>
      </c>
      <c r="U22" s="95">
        <v>0</v>
      </c>
      <c r="V22" s="95">
        <v>189</v>
      </c>
      <c r="W22" s="95">
        <v>1903</v>
      </c>
    </row>
    <row r="23" spans="1:23" ht="15.75" customHeight="1" x14ac:dyDescent="0.3">
      <c r="A23" s="323"/>
      <c r="B23" s="95" t="s">
        <v>1223</v>
      </c>
      <c r="C23" s="95">
        <v>317</v>
      </c>
      <c r="D23" s="95">
        <v>44</v>
      </c>
      <c r="E23" s="95">
        <v>0</v>
      </c>
      <c r="F23" s="95">
        <v>231</v>
      </c>
      <c r="G23" s="95">
        <v>0</v>
      </c>
      <c r="H23" s="95">
        <v>0</v>
      </c>
      <c r="I23" s="95">
        <v>0</v>
      </c>
      <c r="J23" s="95">
        <v>2</v>
      </c>
      <c r="K23" s="95">
        <v>0</v>
      </c>
      <c r="L23" s="95">
        <v>0</v>
      </c>
      <c r="M23" s="95">
        <v>0</v>
      </c>
      <c r="N23" s="95">
        <v>0</v>
      </c>
      <c r="O23" s="95">
        <v>0</v>
      </c>
      <c r="P23" s="95">
        <v>17</v>
      </c>
      <c r="Q23" s="95">
        <v>0</v>
      </c>
      <c r="R23" s="95">
        <v>0</v>
      </c>
      <c r="S23" s="95">
        <v>19</v>
      </c>
      <c r="T23" s="95">
        <v>2</v>
      </c>
      <c r="U23" s="95">
        <v>0</v>
      </c>
      <c r="V23" s="95">
        <v>0</v>
      </c>
      <c r="W23" s="95">
        <v>632</v>
      </c>
    </row>
    <row r="24" spans="1:23" ht="15.75" customHeight="1" x14ac:dyDescent="0.3">
      <c r="A24" s="323"/>
      <c r="B24" s="95" t="s">
        <v>1224</v>
      </c>
      <c r="C24" s="95">
        <v>335</v>
      </c>
      <c r="D24" s="95">
        <v>43</v>
      </c>
      <c r="E24" s="95">
        <v>0</v>
      </c>
      <c r="F24" s="95">
        <v>276</v>
      </c>
      <c r="G24" s="95">
        <v>0</v>
      </c>
      <c r="H24" s="95">
        <v>0</v>
      </c>
      <c r="I24" s="95">
        <v>2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5">
        <v>394</v>
      </c>
      <c r="Q24" s="95">
        <v>0</v>
      </c>
      <c r="R24" s="95">
        <v>0</v>
      </c>
      <c r="S24" s="95">
        <v>211</v>
      </c>
      <c r="T24" s="95">
        <v>0</v>
      </c>
      <c r="U24" s="95">
        <v>0</v>
      </c>
      <c r="V24" s="95">
        <v>14</v>
      </c>
      <c r="W24" s="95">
        <v>1275</v>
      </c>
    </row>
    <row r="25" spans="1:23" ht="15.75" customHeight="1" x14ac:dyDescent="0.3">
      <c r="A25" s="308"/>
      <c r="B25" s="98" t="s">
        <v>110</v>
      </c>
      <c r="C25" s="98">
        <v>1422</v>
      </c>
      <c r="D25" s="98">
        <v>165</v>
      </c>
      <c r="E25" s="98">
        <v>0</v>
      </c>
      <c r="F25" s="98">
        <v>1012</v>
      </c>
      <c r="G25" s="98">
        <v>0</v>
      </c>
      <c r="H25" s="98">
        <v>9</v>
      </c>
      <c r="I25" s="98">
        <v>5</v>
      </c>
      <c r="J25" s="98">
        <v>45</v>
      </c>
      <c r="K25" s="98">
        <v>0</v>
      </c>
      <c r="L25" s="98">
        <v>0</v>
      </c>
      <c r="M25" s="98">
        <v>54</v>
      </c>
      <c r="N25" s="98">
        <v>0</v>
      </c>
      <c r="O25" s="98">
        <v>0</v>
      </c>
      <c r="P25" s="98">
        <v>585</v>
      </c>
      <c r="Q25" s="98">
        <v>0</v>
      </c>
      <c r="R25" s="98">
        <v>0</v>
      </c>
      <c r="S25" s="98">
        <v>288</v>
      </c>
      <c r="T25" s="98">
        <v>22</v>
      </c>
      <c r="U25" s="98">
        <v>0</v>
      </c>
      <c r="V25" s="98">
        <v>203</v>
      </c>
      <c r="W25" s="98">
        <v>3809</v>
      </c>
    </row>
    <row r="26" spans="1:23" ht="15.75" customHeight="1" x14ac:dyDescent="0.3">
      <c r="A26" s="307" t="s">
        <v>1357</v>
      </c>
      <c r="B26" s="95" t="s">
        <v>1225</v>
      </c>
      <c r="C26" s="95">
        <v>231</v>
      </c>
      <c r="D26" s="95">
        <v>5</v>
      </c>
      <c r="E26" s="95">
        <v>0</v>
      </c>
      <c r="F26" s="95">
        <v>0</v>
      </c>
      <c r="G26" s="95">
        <v>0</v>
      </c>
      <c r="H26" s="95">
        <v>0</v>
      </c>
      <c r="I26" s="95">
        <v>0</v>
      </c>
      <c r="J26" s="95">
        <v>27</v>
      </c>
      <c r="K26" s="95">
        <v>0</v>
      </c>
      <c r="L26" s="95">
        <v>0</v>
      </c>
      <c r="M26" s="95">
        <v>77</v>
      </c>
      <c r="N26" s="95">
        <v>0</v>
      </c>
      <c r="O26" s="95">
        <v>0</v>
      </c>
      <c r="P26" s="95">
        <v>66</v>
      </c>
      <c r="Q26" s="95">
        <v>0</v>
      </c>
      <c r="R26" s="95">
        <v>3</v>
      </c>
      <c r="S26" s="95">
        <v>5</v>
      </c>
      <c r="T26" s="95">
        <v>0</v>
      </c>
      <c r="U26" s="95">
        <v>0</v>
      </c>
      <c r="V26" s="95">
        <v>0</v>
      </c>
      <c r="W26" s="95">
        <v>413</v>
      </c>
    </row>
    <row r="27" spans="1:23" ht="15.75" customHeight="1" x14ac:dyDescent="0.3">
      <c r="A27" s="323"/>
      <c r="B27" s="95" t="s">
        <v>1226</v>
      </c>
      <c r="C27" s="95">
        <v>700</v>
      </c>
      <c r="D27" s="95">
        <v>25</v>
      </c>
      <c r="E27" s="95">
        <v>0</v>
      </c>
      <c r="F27" s="95">
        <v>0</v>
      </c>
      <c r="G27" s="95">
        <v>0</v>
      </c>
      <c r="H27" s="95">
        <v>0</v>
      </c>
      <c r="I27" s="95">
        <v>0</v>
      </c>
      <c r="J27" s="95">
        <v>22</v>
      </c>
      <c r="K27" s="95">
        <v>0</v>
      </c>
      <c r="L27" s="95">
        <v>0</v>
      </c>
      <c r="M27" s="95">
        <v>71</v>
      </c>
      <c r="N27" s="95">
        <v>0</v>
      </c>
      <c r="O27" s="95">
        <v>0</v>
      </c>
      <c r="P27" s="95">
        <v>437</v>
      </c>
      <c r="Q27" s="95">
        <v>0</v>
      </c>
      <c r="R27" s="95">
        <v>3</v>
      </c>
      <c r="S27" s="95">
        <v>28</v>
      </c>
      <c r="T27" s="95">
        <v>0</v>
      </c>
      <c r="U27" s="95">
        <v>0</v>
      </c>
      <c r="V27" s="95">
        <v>0</v>
      </c>
      <c r="W27" s="95">
        <v>1286</v>
      </c>
    </row>
    <row r="28" spans="1:23" ht="15.75" customHeight="1" x14ac:dyDescent="0.3">
      <c r="A28" s="308"/>
      <c r="B28" s="98" t="s">
        <v>110</v>
      </c>
      <c r="C28" s="98">
        <v>931</v>
      </c>
      <c r="D28" s="98">
        <v>30</v>
      </c>
      <c r="E28" s="98">
        <v>0</v>
      </c>
      <c r="F28" s="98">
        <v>0</v>
      </c>
      <c r="G28" s="98">
        <v>0</v>
      </c>
      <c r="H28" s="98">
        <v>0</v>
      </c>
      <c r="I28" s="98">
        <v>0</v>
      </c>
      <c r="J28" s="98">
        <v>49</v>
      </c>
      <c r="K28" s="98">
        <v>0</v>
      </c>
      <c r="L28" s="98">
        <v>0</v>
      </c>
      <c r="M28" s="98">
        <v>148</v>
      </c>
      <c r="N28" s="98">
        <v>0</v>
      </c>
      <c r="O28" s="98">
        <v>0</v>
      </c>
      <c r="P28" s="98">
        <v>503</v>
      </c>
      <c r="Q28" s="98">
        <v>0</v>
      </c>
      <c r="R28" s="98">
        <v>6</v>
      </c>
      <c r="S28" s="98">
        <v>33</v>
      </c>
      <c r="T28" s="98">
        <v>0</v>
      </c>
      <c r="U28" s="98">
        <v>0</v>
      </c>
      <c r="V28" s="98">
        <v>0</v>
      </c>
      <c r="W28" s="98">
        <v>1700</v>
      </c>
    </row>
    <row r="29" spans="1:23" ht="15.75" customHeight="1" x14ac:dyDescent="0.3">
      <c r="A29" s="307" t="s">
        <v>1358</v>
      </c>
      <c r="B29" s="95" t="s">
        <v>1227</v>
      </c>
      <c r="C29" s="95">
        <v>2836</v>
      </c>
      <c r="D29" s="95">
        <v>397</v>
      </c>
      <c r="E29" s="95">
        <v>0</v>
      </c>
      <c r="F29" s="95">
        <v>0</v>
      </c>
      <c r="G29" s="95">
        <v>0</v>
      </c>
      <c r="H29" s="95">
        <v>4</v>
      </c>
      <c r="I29" s="95">
        <v>24</v>
      </c>
      <c r="J29" s="95">
        <v>545</v>
      </c>
      <c r="K29" s="95">
        <v>0</v>
      </c>
      <c r="L29" s="95">
        <v>20</v>
      </c>
      <c r="M29" s="95">
        <v>95</v>
      </c>
      <c r="N29" s="95">
        <v>245</v>
      </c>
      <c r="O29" s="95">
        <v>0</v>
      </c>
      <c r="P29" s="95">
        <v>40</v>
      </c>
      <c r="Q29" s="95">
        <v>21</v>
      </c>
      <c r="R29" s="95">
        <v>0</v>
      </c>
      <c r="S29" s="95">
        <v>290</v>
      </c>
      <c r="T29" s="95">
        <v>0</v>
      </c>
      <c r="U29" s="95">
        <v>8</v>
      </c>
      <c r="V29" s="95">
        <v>181</v>
      </c>
      <c r="W29" s="95">
        <v>4706</v>
      </c>
    </row>
    <row r="30" spans="1:23" ht="15.75" customHeight="1" x14ac:dyDescent="0.3">
      <c r="A30" s="323"/>
      <c r="B30" s="95" t="s">
        <v>1228</v>
      </c>
      <c r="C30" s="95">
        <v>2086</v>
      </c>
      <c r="D30" s="95">
        <v>326</v>
      </c>
      <c r="E30" s="95">
        <v>0</v>
      </c>
      <c r="F30" s="95">
        <v>0</v>
      </c>
      <c r="G30" s="95">
        <v>0</v>
      </c>
      <c r="H30" s="95">
        <v>4</v>
      </c>
      <c r="I30" s="95">
        <v>53</v>
      </c>
      <c r="J30" s="95">
        <v>217</v>
      </c>
      <c r="K30" s="95">
        <v>0</v>
      </c>
      <c r="L30" s="95">
        <v>0</v>
      </c>
      <c r="M30" s="95">
        <v>9</v>
      </c>
      <c r="N30" s="95">
        <v>14</v>
      </c>
      <c r="O30" s="95">
        <v>4</v>
      </c>
      <c r="P30" s="95">
        <v>2</v>
      </c>
      <c r="Q30" s="95">
        <v>0</v>
      </c>
      <c r="R30" s="95">
        <v>0</v>
      </c>
      <c r="S30" s="95">
        <v>139</v>
      </c>
      <c r="T30" s="95">
        <v>18</v>
      </c>
      <c r="U30" s="95">
        <v>17</v>
      </c>
      <c r="V30" s="95">
        <v>0</v>
      </c>
      <c r="W30" s="95">
        <v>2889</v>
      </c>
    </row>
    <row r="31" spans="1:23" ht="15.75" customHeight="1" x14ac:dyDescent="0.3">
      <c r="A31" s="323"/>
      <c r="B31" s="95" t="s">
        <v>1229</v>
      </c>
      <c r="C31" s="95">
        <v>5055</v>
      </c>
      <c r="D31" s="95">
        <v>738</v>
      </c>
      <c r="E31" s="95">
        <v>0</v>
      </c>
      <c r="F31" s="95">
        <v>0</v>
      </c>
      <c r="G31" s="95">
        <v>0</v>
      </c>
      <c r="H31" s="95">
        <v>2</v>
      </c>
      <c r="I31" s="95">
        <v>157</v>
      </c>
      <c r="J31" s="95">
        <v>189</v>
      </c>
      <c r="K31" s="95">
        <v>0</v>
      </c>
      <c r="L31" s="95">
        <v>0</v>
      </c>
      <c r="M31" s="95">
        <v>0</v>
      </c>
      <c r="N31" s="95">
        <v>630</v>
      </c>
      <c r="O31" s="95">
        <v>0</v>
      </c>
      <c r="P31" s="95">
        <v>8</v>
      </c>
      <c r="Q31" s="95">
        <v>13</v>
      </c>
      <c r="R31" s="95">
        <v>0</v>
      </c>
      <c r="S31" s="95">
        <v>123</v>
      </c>
      <c r="T31" s="95">
        <v>23</v>
      </c>
      <c r="U31" s="95">
        <v>0</v>
      </c>
      <c r="V31" s="95">
        <v>62</v>
      </c>
      <c r="W31" s="95">
        <v>7000</v>
      </c>
    </row>
    <row r="32" spans="1:23" ht="15.75" customHeight="1" x14ac:dyDescent="0.3">
      <c r="A32" s="323"/>
      <c r="B32" s="95" t="s">
        <v>1230</v>
      </c>
      <c r="C32" s="95">
        <v>1767</v>
      </c>
      <c r="D32" s="95">
        <v>212</v>
      </c>
      <c r="E32" s="95">
        <v>0</v>
      </c>
      <c r="F32" s="95">
        <v>0</v>
      </c>
      <c r="G32" s="95">
        <v>0</v>
      </c>
      <c r="H32" s="95">
        <v>35</v>
      </c>
      <c r="I32" s="95">
        <v>37</v>
      </c>
      <c r="J32" s="95">
        <v>39</v>
      </c>
      <c r="K32" s="95">
        <v>0</v>
      </c>
      <c r="L32" s="95">
        <v>0</v>
      </c>
      <c r="M32" s="95">
        <v>72</v>
      </c>
      <c r="N32" s="95">
        <v>269</v>
      </c>
      <c r="O32" s="95">
        <v>0</v>
      </c>
      <c r="P32" s="95">
        <v>3</v>
      </c>
      <c r="Q32" s="95">
        <v>19</v>
      </c>
      <c r="R32" s="95">
        <v>0</v>
      </c>
      <c r="S32" s="95">
        <v>37</v>
      </c>
      <c r="T32" s="95">
        <v>12</v>
      </c>
      <c r="U32" s="95">
        <v>0</v>
      </c>
      <c r="V32" s="95">
        <v>331</v>
      </c>
      <c r="W32" s="95">
        <v>2832</v>
      </c>
    </row>
    <row r="33" spans="1:23" ht="15.75" customHeight="1" x14ac:dyDescent="0.3">
      <c r="A33" s="308"/>
      <c r="B33" s="98" t="s">
        <v>110</v>
      </c>
      <c r="C33" s="98">
        <v>11744</v>
      </c>
      <c r="D33" s="98">
        <v>1673</v>
      </c>
      <c r="E33" s="98">
        <v>0</v>
      </c>
      <c r="F33" s="98">
        <v>0</v>
      </c>
      <c r="G33" s="98">
        <v>0</v>
      </c>
      <c r="H33" s="98">
        <v>46</v>
      </c>
      <c r="I33" s="98">
        <v>271</v>
      </c>
      <c r="J33" s="98">
        <v>990</v>
      </c>
      <c r="K33" s="98">
        <v>0</v>
      </c>
      <c r="L33" s="98">
        <v>20</v>
      </c>
      <c r="M33" s="98">
        <v>176</v>
      </c>
      <c r="N33" s="98">
        <v>1158</v>
      </c>
      <c r="O33" s="98">
        <v>4</v>
      </c>
      <c r="P33" s="98">
        <v>53</v>
      </c>
      <c r="Q33" s="98">
        <v>53</v>
      </c>
      <c r="R33" s="98">
        <v>0</v>
      </c>
      <c r="S33" s="98">
        <v>588</v>
      </c>
      <c r="T33" s="98">
        <v>53</v>
      </c>
      <c r="U33" s="98">
        <v>25</v>
      </c>
      <c r="V33" s="98">
        <v>574</v>
      </c>
      <c r="W33" s="98">
        <v>17427</v>
      </c>
    </row>
    <row r="34" spans="1:23" ht="15.75" customHeight="1" x14ac:dyDescent="0.3">
      <c r="A34" s="307" t="s">
        <v>1359</v>
      </c>
      <c r="B34" s="95" t="s">
        <v>1231</v>
      </c>
      <c r="C34" s="95">
        <v>287</v>
      </c>
      <c r="D34" s="95">
        <v>41</v>
      </c>
      <c r="E34" s="95">
        <v>0</v>
      </c>
      <c r="F34" s="95">
        <v>0</v>
      </c>
      <c r="G34" s="95">
        <v>128</v>
      </c>
      <c r="H34" s="95">
        <v>0</v>
      </c>
      <c r="I34" s="95">
        <v>0</v>
      </c>
      <c r="J34" s="95">
        <v>38</v>
      </c>
      <c r="K34" s="95">
        <v>0</v>
      </c>
      <c r="L34" s="95">
        <v>0</v>
      </c>
      <c r="M34" s="95">
        <v>39</v>
      </c>
      <c r="N34" s="95">
        <v>0</v>
      </c>
      <c r="O34" s="95">
        <v>0</v>
      </c>
      <c r="P34" s="95">
        <v>445</v>
      </c>
      <c r="Q34" s="95">
        <v>0</v>
      </c>
      <c r="R34" s="95">
        <v>0</v>
      </c>
      <c r="S34" s="95">
        <v>14</v>
      </c>
      <c r="T34" s="95">
        <v>159</v>
      </c>
      <c r="U34" s="95">
        <v>5</v>
      </c>
      <c r="V34" s="95">
        <v>0</v>
      </c>
      <c r="W34" s="95">
        <v>1158</v>
      </c>
    </row>
    <row r="35" spans="1:23" ht="15.75" customHeight="1" x14ac:dyDescent="0.3">
      <c r="A35" s="323"/>
      <c r="B35" s="95" t="s">
        <v>1232</v>
      </c>
      <c r="C35" s="95">
        <v>187</v>
      </c>
      <c r="D35" s="95">
        <v>4</v>
      </c>
      <c r="E35" s="95">
        <v>0</v>
      </c>
      <c r="F35" s="95">
        <v>0</v>
      </c>
      <c r="G35" s="95">
        <v>0</v>
      </c>
      <c r="H35" s="95">
        <v>0</v>
      </c>
      <c r="I35" s="95">
        <v>0</v>
      </c>
      <c r="J35" s="95">
        <v>0</v>
      </c>
      <c r="K35" s="95">
        <v>0</v>
      </c>
      <c r="L35" s="95">
        <v>0</v>
      </c>
      <c r="M35" s="95">
        <v>42</v>
      </c>
      <c r="N35" s="95">
        <v>0</v>
      </c>
      <c r="O35" s="95">
        <v>0</v>
      </c>
      <c r="P35" s="95">
        <v>0</v>
      </c>
      <c r="Q35" s="95">
        <v>0</v>
      </c>
      <c r="R35" s="95">
        <v>0</v>
      </c>
      <c r="S35" s="95">
        <v>4</v>
      </c>
      <c r="T35" s="95">
        <v>0</v>
      </c>
      <c r="U35" s="95">
        <v>0</v>
      </c>
      <c r="V35" s="95">
        <v>0</v>
      </c>
      <c r="W35" s="95">
        <v>237</v>
      </c>
    </row>
    <row r="36" spans="1:23" ht="15.75" customHeight="1" x14ac:dyDescent="0.3">
      <c r="A36" s="323"/>
      <c r="B36" s="95" t="s">
        <v>1233</v>
      </c>
      <c r="C36" s="95">
        <v>2495</v>
      </c>
      <c r="D36" s="95">
        <v>37</v>
      </c>
      <c r="E36" s="95">
        <v>0</v>
      </c>
      <c r="F36" s="95">
        <v>384</v>
      </c>
      <c r="G36" s="95">
        <v>0</v>
      </c>
      <c r="H36" s="95">
        <v>0</v>
      </c>
      <c r="I36" s="95">
        <v>15</v>
      </c>
      <c r="J36" s="95">
        <v>609</v>
      </c>
      <c r="K36" s="95">
        <v>0</v>
      </c>
      <c r="L36" s="95">
        <v>0</v>
      </c>
      <c r="M36" s="95">
        <v>933</v>
      </c>
      <c r="N36" s="95">
        <v>0</v>
      </c>
      <c r="O36" s="95">
        <v>0</v>
      </c>
      <c r="P36" s="95">
        <v>0</v>
      </c>
      <c r="Q36" s="95">
        <v>0</v>
      </c>
      <c r="R36" s="95">
        <v>0</v>
      </c>
      <c r="S36" s="95">
        <v>17</v>
      </c>
      <c r="T36" s="95">
        <v>0</v>
      </c>
      <c r="U36" s="95">
        <v>0</v>
      </c>
      <c r="V36" s="95">
        <v>39</v>
      </c>
      <c r="W36" s="95">
        <v>4528</v>
      </c>
    </row>
    <row r="37" spans="1:23" ht="15.75" customHeight="1" x14ac:dyDescent="0.3">
      <c r="A37" s="323"/>
      <c r="B37" s="95" t="s">
        <v>1234</v>
      </c>
      <c r="C37" s="95">
        <v>160</v>
      </c>
      <c r="D37" s="95">
        <v>80</v>
      </c>
      <c r="E37" s="95">
        <v>0</v>
      </c>
      <c r="F37" s="95">
        <v>4</v>
      </c>
      <c r="G37" s="95">
        <v>0</v>
      </c>
      <c r="H37" s="95">
        <v>0</v>
      </c>
      <c r="I37" s="95">
        <v>0</v>
      </c>
      <c r="J37" s="95">
        <v>153</v>
      </c>
      <c r="K37" s="95">
        <v>0</v>
      </c>
      <c r="L37" s="95">
        <v>0</v>
      </c>
      <c r="M37" s="95">
        <v>912</v>
      </c>
      <c r="N37" s="95">
        <v>0</v>
      </c>
      <c r="O37" s="95">
        <v>0</v>
      </c>
      <c r="P37" s="95">
        <v>276</v>
      </c>
      <c r="Q37" s="95">
        <v>0</v>
      </c>
      <c r="R37" s="95">
        <v>0</v>
      </c>
      <c r="S37" s="95">
        <v>8</v>
      </c>
      <c r="T37" s="95">
        <v>0</v>
      </c>
      <c r="U37" s="95">
        <v>0</v>
      </c>
      <c r="V37" s="95">
        <v>0</v>
      </c>
      <c r="W37" s="95">
        <v>1595</v>
      </c>
    </row>
    <row r="38" spans="1:23" ht="15.75" customHeight="1" x14ac:dyDescent="0.3">
      <c r="A38" s="323"/>
      <c r="B38" s="95" t="s">
        <v>1235</v>
      </c>
      <c r="C38" s="95">
        <v>392</v>
      </c>
      <c r="D38" s="95">
        <v>2</v>
      </c>
      <c r="E38" s="95">
        <v>0</v>
      </c>
      <c r="F38" s="95">
        <v>0</v>
      </c>
      <c r="G38" s="95">
        <v>0</v>
      </c>
      <c r="H38" s="95">
        <v>0</v>
      </c>
      <c r="I38" s="95">
        <v>0</v>
      </c>
      <c r="J38" s="95">
        <v>0</v>
      </c>
      <c r="K38" s="95">
        <v>0</v>
      </c>
      <c r="L38" s="95">
        <v>0</v>
      </c>
      <c r="M38" s="95">
        <v>1</v>
      </c>
      <c r="N38" s="95">
        <v>0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  <c r="T38" s="95">
        <v>0</v>
      </c>
      <c r="U38" s="95">
        <v>0</v>
      </c>
      <c r="V38" s="95">
        <v>0</v>
      </c>
      <c r="W38" s="95">
        <v>396</v>
      </c>
    </row>
    <row r="39" spans="1:23" ht="15.75" customHeight="1" x14ac:dyDescent="0.3">
      <c r="A39" s="308"/>
      <c r="B39" s="98" t="s">
        <v>110</v>
      </c>
      <c r="C39" s="98">
        <v>3521</v>
      </c>
      <c r="D39" s="98">
        <v>165</v>
      </c>
      <c r="E39" s="98">
        <v>0</v>
      </c>
      <c r="F39" s="98">
        <v>388</v>
      </c>
      <c r="G39" s="98">
        <v>128</v>
      </c>
      <c r="H39" s="98">
        <v>0</v>
      </c>
      <c r="I39" s="98">
        <v>15</v>
      </c>
      <c r="J39" s="98">
        <v>800</v>
      </c>
      <c r="K39" s="98">
        <v>0</v>
      </c>
      <c r="L39" s="98">
        <v>0</v>
      </c>
      <c r="M39" s="98">
        <v>1927</v>
      </c>
      <c r="N39" s="98">
        <v>0</v>
      </c>
      <c r="O39" s="98">
        <v>0</v>
      </c>
      <c r="P39" s="98">
        <v>721</v>
      </c>
      <c r="Q39" s="98">
        <v>0</v>
      </c>
      <c r="R39" s="98">
        <v>0</v>
      </c>
      <c r="S39" s="98">
        <v>44</v>
      </c>
      <c r="T39" s="98">
        <v>159</v>
      </c>
      <c r="U39" s="98">
        <v>5</v>
      </c>
      <c r="V39" s="98">
        <v>39</v>
      </c>
      <c r="W39" s="98">
        <v>7914</v>
      </c>
    </row>
    <row r="40" spans="1:23" ht="15.75" customHeight="1" x14ac:dyDescent="0.3">
      <c r="A40" s="307" t="s">
        <v>466</v>
      </c>
      <c r="B40" s="95" t="s">
        <v>1236</v>
      </c>
      <c r="C40" s="95">
        <v>437</v>
      </c>
      <c r="D40" s="95">
        <v>36</v>
      </c>
      <c r="E40" s="95">
        <v>0</v>
      </c>
      <c r="F40" s="95">
        <v>88</v>
      </c>
      <c r="G40" s="95">
        <v>0</v>
      </c>
      <c r="H40" s="95">
        <v>0</v>
      </c>
      <c r="I40" s="95">
        <v>28</v>
      </c>
      <c r="J40" s="95">
        <v>99</v>
      </c>
      <c r="K40" s="95">
        <v>0</v>
      </c>
      <c r="L40" s="95">
        <v>0</v>
      </c>
      <c r="M40" s="95">
        <v>132</v>
      </c>
      <c r="N40" s="95">
        <v>0</v>
      </c>
      <c r="O40" s="95">
        <v>0</v>
      </c>
      <c r="P40" s="95">
        <v>144</v>
      </c>
      <c r="Q40" s="95">
        <v>0</v>
      </c>
      <c r="R40" s="95">
        <v>0</v>
      </c>
      <c r="S40" s="95">
        <v>67</v>
      </c>
      <c r="T40" s="95">
        <v>37</v>
      </c>
      <c r="U40" s="95">
        <v>8</v>
      </c>
      <c r="V40" s="95">
        <v>0</v>
      </c>
      <c r="W40" s="95">
        <v>1075</v>
      </c>
    </row>
    <row r="41" spans="1:23" ht="15.75" customHeight="1" x14ac:dyDescent="0.3">
      <c r="A41" s="323"/>
      <c r="B41" s="95" t="s">
        <v>1237</v>
      </c>
      <c r="C41" s="95">
        <v>449</v>
      </c>
      <c r="D41" s="95">
        <v>13</v>
      </c>
      <c r="E41" s="95">
        <v>0</v>
      </c>
      <c r="F41" s="95">
        <v>94</v>
      </c>
      <c r="G41" s="95">
        <v>0</v>
      </c>
      <c r="H41" s="95">
        <v>0</v>
      </c>
      <c r="I41" s="95">
        <v>0</v>
      </c>
      <c r="J41" s="95">
        <v>10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127</v>
      </c>
      <c r="Q41" s="95">
        <v>0</v>
      </c>
      <c r="R41" s="95">
        <v>0</v>
      </c>
      <c r="S41" s="95">
        <v>25</v>
      </c>
      <c r="T41" s="95">
        <v>0</v>
      </c>
      <c r="U41" s="95">
        <v>0</v>
      </c>
      <c r="V41" s="95">
        <v>5</v>
      </c>
      <c r="W41" s="95">
        <v>724</v>
      </c>
    </row>
    <row r="42" spans="1:23" ht="15.75" customHeight="1" x14ac:dyDescent="0.3">
      <c r="A42" s="323"/>
      <c r="B42" s="95" t="s">
        <v>1238</v>
      </c>
      <c r="C42" s="95">
        <v>709</v>
      </c>
      <c r="D42" s="95">
        <v>69</v>
      </c>
      <c r="E42" s="95">
        <v>0</v>
      </c>
      <c r="F42" s="95">
        <v>108</v>
      </c>
      <c r="G42" s="95">
        <v>0</v>
      </c>
      <c r="H42" s="95">
        <v>0</v>
      </c>
      <c r="I42" s="95">
        <v>9</v>
      </c>
      <c r="J42" s="95">
        <v>0</v>
      </c>
      <c r="K42" s="95">
        <v>0</v>
      </c>
      <c r="L42" s="95">
        <v>0</v>
      </c>
      <c r="M42" s="95">
        <v>0</v>
      </c>
      <c r="N42" s="95">
        <v>0</v>
      </c>
      <c r="O42" s="95">
        <v>0</v>
      </c>
      <c r="P42" s="95">
        <v>112</v>
      </c>
      <c r="Q42" s="95">
        <v>0</v>
      </c>
      <c r="R42" s="95">
        <v>0</v>
      </c>
      <c r="S42" s="95">
        <v>24</v>
      </c>
      <c r="T42" s="95">
        <v>0</v>
      </c>
      <c r="U42" s="95">
        <v>0</v>
      </c>
      <c r="V42" s="95">
        <v>0</v>
      </c>
      <c r="W42" s="95">
        <v>1031</v>
      </c>
    </row>
    <row r="43" spans="1:23" ht="15.75" customHeight="1" x14ac:dyDescent="0.3">
      <c r="A43" s="308"/>
      <c r="B43" s="98" t="s">
        <v>110</v>
      </c>
      <c r="C43" s="98">
        <v>1595</v>
      </c>
      <c r="D43" s="98">
        <v>117</v>
      </c>
      <c r="E43" s="98">
        <v>0</v>
      </c>
      <c r="F43" s="98">
        <v>291</v>
      </c>
      <c r="G43" s="98">
        <v>0</v>
      </c>
      <c r="H43" s="98">
        <v>0</v>
      </c>
      <c r="I43" s="98">
        <v>37</v>
      </c>
      <c r="J43" s="98">
        <v>109</v>
      </c>
      <c r="K43" s="98">
        <v>0</v>
      </c>
      <c r="L43" s="98">
        <v>0</v>
      </c>
      <c r="M43" s="98">
        <v>132</v>
      </c>
      <c r="N43" s="98">
        <v>0</v>
      </c>
      <c r="O43" s="98">
        <v>0</v>
      </c>
      <c r="P43" s="98">
        <v>383</v>
      </c>
      <c r="Q43" s="98">
        <v>0</v>
      </c>
      <c r="R43" s="98">
        <v>0</v>
      </c>
      <c r="S43" s="98">
        <v>116</v>
      </c>
      <c r="T43" s="98">
        <v>37</v>
      </c>
      <c r="U43" s="98">
        <v>8</v>
      </c>
      <c r="V43" s="98">
        <v>5</v>
      </c>
      <c r="W43" s="98">
        <v>2830</v>
      </c>
    </row>
    <row r="44" spans="1:23" ht="15.75" customHeight="1" x14ac:dyDescent="0.3">
      <c r="A44" s="307" t="s">
        <v>467</v>
      </c>
      <c r="B44" s="95" t="s">
        <v>1239</v>
      </c>
      <c r="C44" s="95">
        <v>567</v>
      </c>
      <c r="D44" s="95">
        <v>38</v>
      </c>
      <c r="E44" s="95">
        <v>18</v>
      </c>
      <c r="F44" s="95">
        <v>23</v>
      </c>
      <c r="G44" s="95">
        <v>0</v>
      </c>
      <c r="H44" s="95">
        <v>0</v>
      </c>
      <c r="I44" s="95">
        <v>19</v>
      </c>
      <c r="J44" s="95">
        <v>25</v>
      </c>
      <c r="K44" s="95">
        <v>0</v>
      </c>
      <c r="L44" s="95">
        <v>0</v>
      </c>
      <c r="M44" s="95">
        <v>305</v>
      </c>
      <c r="N44" s="95">
        <v>8</v>
      </c>
      <c r="O44" s="95">
        <v>0</v>
      </c>
      <c r="P44" s="95">
        <v>28</v>
      </c>
      <c r="Q44" s="95">
        <v>4</v>
      </c>
      <c r="R44" s="95">
        <v>0</v>
      </c>
      <c r="S44" s="95">
        <v>55</v>
      </c>
      <c r="T44" s="95">
        <v>20</v>
      </c>
      <c r="U44" s="95">
        <v>0</v>
      </c>
      <c r="V44" s="95">
        <v>9</v>
      </c>
      <c r="W44" s="95">
        <v>1119</v>
      </c>
    </row>
    <row r="45" spans="1:23" ht="15.75" customHeight="1" x14ac:dyDescent="0.3">
      <c r="A45" s="323"/>
      <c r="B45" s="95" t="s">
        <v>1240</v>
      </c>
      <c r="C45" s="95">
        <v>321</v>
      </c>
      <c r="D45" s="95">
        <v>17</v>
      </c>
      <c r="E45" s="95">
        <v>0</v>
      </c>
      <c r="F45" s="95">
        <v>0</v>
      </c>
      <c r="G45" s="95">
        <v>0</v>
      </c>
      <c r="H45" s="95">
        <v>0</v>
      </c>
      <c r="I45" s="95">
        <v>3</v>
      </c>
      <c r="J45" s="95">
        <v>57</v>
      </c>
      <c r="K45" s="95">
        <v>0</v>
      </c>
      <c r="L45" s="95">
        <v>21</v>
      </c>
      <c r="M45" s="95">
        <v>0</v>
      </c>
      <c r="N45" s="95">
        <v>4</v>
      </c>
      <c r="O45" s="95">
        <v>0</v>
      </c>
      <c r="P45" s="95">
        <v>31</v>
      </c>
      <c r="Q45" s="95">
        <v>2</v>
      </c>
      <c r="R45" s="95">
        <v>0</v>
      </c>
      <c r="S45" s="95">
        <v>14</v>
      </c>
      <c r="T45" s="95">
        <v>0</v>
      </c>
      <c r="U45" s="95">
        <v>0</v>
      </c>
      <c r="V45" s="95">
        <v>9</v>
      </c>
      <c r="W45" s="95">
        <v>479</v>
      </c>
    </row>
    <row r="46" spans="1:23" ht="15.75" customHeight="1" x14ac:dyDescent="0.3">
      <c r="A46" s="323"/>
      <c r="B46" s="95" t="s">
        <v>1241</v>
      </c>
      <c r="C46" s="95">
        <v>271</v>
      </c>
      <c r="D46" s="95">
        <v>13</v>
      </c>
      <c r="E46" s="95">
        <v>0</v>
      </c>
      <c r="F46" s="95">
        <v>1</v>
      </c>
      <c r="G46" s="95">
        <v>0</v>
      </c>
      <c r="H46" s="95">
        <v>0</v>
      </c>
      <c r="I46" s="95">
        <v>0</v>
      </c>
      <c r="J46" s="95">
        <v>3</v>
      </c>
      <c r="K46" s="95">
        <v>0</v>
      </c>
      <c r="L46" s="95">
        <v>0</v>
      </c>
      <c r="M46" s="95">
        <v>5</v>
      </c>
      <c r="N46" s="95">
        <v>0</v>
      </c>
      <c r="O46" s="95">
        <v>0</v>
      </c>
      <c r="P46" s="95">
        <v>7</v>
      </c>
      <c r="Q46" s="95">
        <v>6</v>
      </c>
      <c r="R46" s="95">
        <v>0</v>
      </c>
      <c r="S46" s="95">
        <v>44</v>
      </c>
      <c r="T46" s="95">
        <v>0</v>
      </c>
      <c r="U46" s="95">
        <v>0</v>
      </c>
      <c r="V46" s="95">
        <v>0</v>
      </c>
      <c r="W46" s="95">
        <v>350</v>
      </c>
    </row>
    <row r="47" spans="1:23" ht="15.75" customHeight="1" x14ac:dyDescent="0.3">
      <c r="A47" s="323"/>
      <c r="B47" s="95" t="s">
        <v>1242</v>
      </c>
      <c r="C47" s="95">
        <v>211</v>
      </c>
      <c r="D47" s="95">
        <v>1</v>
      </c>
      <c r="E47" s="95">
        <v>0</v>
      </c>
      <c r="F47" s="95">
        <v>20</v>
      </c>
      <c r="G47" s="95">
        <v>0</v>
      </c>
      <c r="H47" s="95">
        <v>0</v>
      </c>
      <c r="I47" s="95">
        <v>0</v>
      </c>
      <c r="J47" s="95">
        <v>22</v>
      </c>
      <c r="K47" s="95">
        <v>0</v>
      </c>
      <c r="L47" s="95">
        <v>0</v>
      </c>
      <c r="M47" s="95">
        <v>310</v>
      </c>
      <c r="N47" s="95">
        <v>0</v>
      </c>
      <c r="O47" s="95">
        <v>0</v>
      </c>
      <c r="P47" s="95">
        <v>0</v>
      </c>
      <c r="Q47" s="95">
        <v>2</v>
      </c>
      <c r="R47" s="95">
        <v>19</v>
      </c>
      <c r="S47" s="95">
        <v>4</v>
      </c>
      <c r="T47" s="95">
        <v>0</v>
      </c>
      <c r="U47" s="95">
        <v>0</v>
      </c>
      <c r="V47" s="95">
        <v>0</v>
      </c>
      <c r="W47" s="95">
        <v>590</v>
      </c>
    </row>
    <row r="48" spans="1:23" ht="15.75" customHeight="1" x14ac:dyDescent="0.3">
      <c r="A48" s="308"/>
      <c r="B48" s="98" t="s">
        <v>110</v>
      </c>
      <c r="C48" s="98">
        <v>1370</v>
      </c>
      <c r="D48" s="98">
        <v>69</v>
      </c>
      <c r="E48" s="98">
        <v>18</v>
      </c>
      <c r="F48" s="98">
        <v>44</v>
      </c>
      <c r="G48" s="98">
        <v>0</v>
      </c>
      <c r="H48" s="98">
        <v>0</v>
      </c>
      <c r="I48" s="98">
        <v>22</v>
      </c>
      <c r="J48" s="98">
        <v>107</v>
      </c>
      <c r="K48" s="98">
        <v>0</v>
      </c>
      <c r="L48" s="98">
        <v>21</v>
      </c>
      <c r="M48" s="98">
        <v>620</v>
      </c>
      <c r="N48" s="98">
        <v>12</v>
      </c>
      <c r="O48" s="98">
        <v>0</v>
      </c>
      <c r="P48" s="98">
        <v>65</v>
      </c>
      <c r="Q48" s="98">
        <v>14</v>
      </c>
      <c r="R48" s="98">
        <v>19</v>
      </c>
      <c r="S48" s="98">
        <v>118</v>
      </c>
      <c r="T48" s="98">
        <v>20</v>
      </c>
      <c r="U48" s="98">
        <v>0</v>
      </c>
      <c r="V48" s="98">
        <v>18</v>
      </c>
      <c r="W48" s="98">
        <v>2538</v>
      </c>
    </row>
    <row r="49" spans="1:23" ht="15.75" customHeight="1" x14ac:dyDescent="0.3">
      <c r="A49" s="307" t="s">
        <v>468</v>
      </c>
      <c r="B49" s="95" t="s">
        <v>1243</v>
      </c>
      <c r="C49" s="95">
        <v>2525</v>
      </c>
      <c r="D49" s="95">
        <v>146</v>
      </c>
      <c r="E49" s="95">
        <v>0</v>
      </c>
      <c r="F49" s="95">
        <v>171</v>
      </c>
      <c r="G49" s="95">
        <v>0</v>
      </c>
      <c r="H49" s="95">
        <v>5</v>
      </c>
      <c r="I49" s="95">
        <v>1007</v>
      </c>
      <c r="J49" s="95">
        <v>79</v>
      </c>
      <c r="K49" s="95">
        <v>0</v>
      </c>
      <c r="L49" s="95">
        <v>66</v>
      </c>
      <c r="M49" s="95">
        <v>0</v>
      </c>
      <c r="N49" s="95">
        <v>38</v>
      </c>
      <c r="O49" s="95">
        <v>0</v>
      </c>
      <c r="P49" s="95">
        <v>228</v>
      </c>
      <c r="Q49" s="95">
        <v>0</v>
      </c>
      <c r="R49" s="95">
        <v>2</v>
      </c>
      <c r="S49" s="95">
        <v>615</v>
      </c>
      <c r="T49" s="95">
        <v>26</v>
      </c>
      <c r="U49" s="95">
        <v>23</v>
      </c>
      <c r="V49" s="95">
        <v>121</v>
      </c>
      <c r="W49" s="95">
        <v>5052</v>
      </c>
    </row>
    <row r="50" spans="1:23" ht="15.75" customHeight="1" x14ac:dyDescent="0.3">
      <c r="A50" s="323"/>
      <c r="B50" s="95" t="s">
        <v>1244</v>
      </c>
      <c r="C50" s="95">
        <v>625</v>
      </c>
      <c r="D50" s="95">
        <v>43</v>
      </c>
      <c r="E50" s="95">
        <v>0</v>
      </c>
      <c r="F50" s="95">
        <v>96</v>
      </c>
      <c r="G50" s="95">
        <v>1</v>
      </c>
      <c r="H50" s="95">
        <v>0</v>
      </c>
      <c r="I50" s="95">
        <v>3</v>
      </c>
      <c r="J50" s="95">
        <v>156</v>
      </c>
      <c r="K50" s="95">
        <v>0</v>
      </c>
      <c r="L50" s="95">
        <v>8</v>
      </c>
      <c r="M50" s="95">
        <v>6</v>
      </c>
      <c r="N50" s="95">
        <v>2</v>
      </c>
      <c r="O50" s="95">
        <v>0</v>
      </c>
      <c r="P50" s="95">
        <v>43</v>
      </c>
      <c r="Q50" s="95">
        <v>2</v>
      </c>
      <c r="R50" s="95">
        <v>204</v>
      </c>
      <c r="S50" s="95">
        <v>96</v>
      </c>
      <c r="T50" s="95">
        <v>2</v>
      </c>
      <c r="U50" s="95">
        <v>14</v>
      </c>
      <c r="V50" s="95">
        <v>157</v>
      </c>
      <c r="W50" s="95">
        <v>1459</v>
      </c>
    </row>
    <row r="51" spans="1:23" ht="15.75" customHeight="1" x14ac:dyDescent="0.3">
      <c r="A51" s="323"/>
      <c r="B51" s="95" t="s">
        <v>1245</v>
      </c>
      <c r="C51" s="95">
        <v>1903</v>
      </c>
      <c r="D51" s="95">
        <v>154</v>
      </c>
      <c r="E51" s="95">
        <v>0</v>
      </c>
      <c r="F51" s="95">
        <v>78</v>
      </c>
      <c r="G51" s="95">
        <v>0</v>
      </c>
      <c r="H51" s="95">
        <v>0</v>
      </c>
      <c r="I51" s="95">
        <v>19</v>
      </c>
      <c r="J51" s="95">
        <v>84</v>
      </c>
      <c r="K51" s="95">
        <v>0</v>
      </c>
      <c r="L51" s="95">
        <v>59</v>
      </c>
      <c r="M51" s="95">
        <v>45</v>
      </c>
      <c r="N51" s="95">
        <v>10</v>
      </c>
      <c r="O51" s="95">
        <v>0</v>
      </c>
      <c r="P51" s="95">
        <v>31</v>
      </c>
      <c r="Q51" s="95">
        <v>0</v>
      </c>
      <c r="R51" s="95">
        <v>0</v>
      </c>
      <c r="S51" s="95">
        <v>336</v>
      </c>
      <c r="T51" s="95">
        <v>0</v>
      </c>
      <c r="U51" s="95">
        <v>3</v>
      </c>
      <c r="V51" s="95">
        <v>38</v>
      </c>
      <c r="W51" s="95">
        <v>2760</v>
      </c>
    </row>
    <row r="52" spans="1:23" ht="15.75" customHeight="1" x14ac:dyDescent="0.3">
      <c r="A52" s="323"/>
      <c r="B52" s="95" t="s">
        <v>1246</v>
      </c>
      <c r="C52" s="95">
        <v>2268</v>
      </c>
      <c r="D52" s="95">
        <v>188</v>
      </c>
      <c r="E52" s="95">
        <v>0</v>
      </c>
      <c r="F52" s="95">
        <v>213</v>
      </c>
      <c r="G52" s="95">
        <v>0</v>
      </c>
      <c r="H52" s="95">
        <v>1</v>
      </c>
      <c r="I52" s="95">
        <v>27</v>
      </c>
      <c r="J52" s="95">
        <v>265</v>
      </c>
      <c r="K52" s="95">
        <v>0</v>
      </c>
      <c r="L52" s="95">
        <v>125</v>
      </c>
      <c r="M52" s="95">
        <v>446</v>
      </c>
      <c r="N52" s="95">
        <v>20</v>
      </c>
      <c r="O52" s="95">
        <v>3</v>
      </c>
      <c r="P52" s="95">
        <v>69</v>
      </c>
      <c r="Q52" s="95">
        <v>4</v>
      </c>
      <c r="R52" s="95">
        <v>0</v>
      </c>
      <c r="S52" s="95">
        <v>339</v>
      </c>
      <c r="T52" s="95">
        <v>24</v>
      </c>
      <c r="U52" s="95">
        <v>3</v>
      </c>
      <c r="V52" s="95">
        <v>47</v>
      </c>
      <c r="W52" s="95">
        <v>4044</v>
      </c>
    </row>
    <row r="53" spans="1:23" ht="15.75" customHeight="1" x14ac:dyDescent="0.3">
      <c r="A53" s="308"/>
      <c r="B53" s="98" t="s">
        <v>110</v>
      </c>
      <c r="C53" s="98">
        <v>7322</v>
      </c>
      <c r="D53" s="98">
        <v>531</v>
      </c>
      <c r="E53" s="98">
        <v>0</v>
      </c>
      <c r="F53" s="98">
        <v>559</v>
      </c>
      <c r="G53" s="98">
        <v>1</v>
      </c>
      <c r="H53" s="98">
        <v>6</v>
      </c>
      <c r="I53" s="98">
        <v>1057</v>
      </c>
      <c r="J53" s="98">
        <v>585</v>
      </c>
      <c r="K53" s="98">
        <v>0</v>
      </c>
      <c r="L53" s="98">
        <v>258</v>
      </c>
      <c r="M53" s="98">
        <v>497</v>
      </c>
      <c r="N53" s="98">
        <v>70</v>
      </c>
      <c r="O53" s="98">
        <v>3</v>
      </c>
      <c r="P53" s="98">
        <v>372</v>
      </c>
      <c r="Q53" s="98">
        <v>5</v>
      </c>
      <c r="R53" s="98">
        <v>205</v>
      </c>
      <c r="S53" s="98">
        <v>1386</v>
      </c>
      <c r="T53" s="98">
        <v>52</v>
      </c>
      <c r="U53" s="98">
        <v>43</v>
      </c>
      <c r="V53" s="98">
        <v>363</v>
      </c>
      <c r="W53" s="98">
        <v>13315</v>
      </c>
    </row>
    <row r="54" spans="1:23" ht="15.75" customHeight="1" x14ac:dyDescent="0.3">
      <c r="A54" s="307" t="s">
        <v>469</v>
      </c>
      <c r="B54" s="95" t="s">
        <v>1247</v>
      </c>
      <c r="C54" s="95">
        <v>703</v>
      </c>
      <c r="D54" s="95">
        <v>3</v>
      </c>
      <c r="E54" s="95">
        <v>0</v>
      </c>
      <c r="F54" s="95">
        <v>0</v>
      </c>
      <c r="G54" s="95">
        <v>0</v>
      </c>
      <c r="H54" s="95">
        <v>0</v>
      </c>
      <c r="I54" s="95">
        <v>0</v>
      </c>
      <c r="J54" s="95">
        <v>6</v>
      </c>
      <c r="K54" s="95">
        <v>0</v>
      </c>
      <c r="L54" s="95">
        <v>0</v>
      </c>
      <c r="M54" s="95">
        <v>121</v>
      </c>
      <c r="N54" s="95">
        <v>0</v>
      </c>
      <c r="O54" s="95">
        <v>0</v>
      </c>
      <c r="P54" s="95">
        <v>7</v>
      </c>
      <c r="Q54" s="95">
        <v>0</v>
      </c>
      <c r="R54" s="95">
        <v>0</v>
      </c>
      <c r="S54" s="95">
        <v>34</v>
      </c>
      <c r="T54" s="95">
        <v>0</v>
      </c>
      <c r="U54" s="95">
        <v>0</v>
      </c>
      <c r="V54" s="95">
        <v>0</v>
      </c>
      <c r="W54" s="95">
        <v>873</v>
      </c>
    </row>
    <row r="55" spans="1:23" ht="15.75" customHeight="1" x14ac:dyDescent="0.3">
      <c r="A55" s="323"/>
      <c r="B55" s="95" t="s">
        <v>1248</v>
      </c>
      <c r="C55" s="95">
        <v>138</v>
      </c>
      <c r="D55" s="95">
        <v>1</v>
      </c>
      <c r="E55" s="95">
        <v>0</v>
      </c>
      <c r="F55" s="95">
        <v>0</v>
      </c>
      <c r="G55" s="95">
        <v>0</v>
      </c>
      <c r="H55" s="95">
        <v>0</v>
      </c>
      <c r="I55" s="95">
        <v>0</v>
      </c>
      <c r="J55" s="95">
        <v>3</v>
      </c>
      <c r="K55" s="95">
        <v>0</v>
      </c>
      <c r="L55" s="95">
        <v>0</v>
      </c>
      <c r="M55" s="95">
        <v>0</v>
      </c>
      <c r="N55" s="95">
        <v>0</v>
      </c>
      <c r="O55" s="95">
        <v>0</v>
      </c>
      <c r="P55" s="95">
        <v>0</v>
      </c>
      <c r="Q55" s="95">
        <v>0</v>
      </c>
      <c r="R55" s="95">
        <v>0</v>
      </c>
      <c r="S55" s="95">
        <v>0</v>
      </c>
      <c r="T55" s="95">
        <v>0</v>
      </c>
      <c r="U55" s="95">
        <v>0</v>
      </c>
      <c r="V55" s="95">
        <v>0</v>
      </c>
      <c r="W55" s="95">
        <v>142</v>
      </c>
    </row>
    <row r="56" spans="1:23" ht="15.75" customHeight="1" x14ac:dyDescent="0.3">
      <c r="A56" s="323"/>
      <c r="B56" s="95" t="s">
        <v>1249</v>
      </c>
      <c r="C56" s="95">
        <v>235</v>
      </c>
      <c r="D56" s="95">
        <v>69</v>
      </c>
      <c r="E56" s="95">
        <v>0</v>
      </c>
      <c r="F56" s="95">
        <v>32</v>
      </c>
      <c r="G56" s="95">
        <v>0</v>
      </c>
      <c r="H56" s="95">
        <v>0</v>
      </c>
      <c r="I56" s="95">
        <v>4</v>
      </c>
      <c r="J56" s="95">
        <v>253</v>
      </c>
      <c r="K56" s="95">
        <v>0</v>
      </c>
      <c r="L56" s="95">
        <v>0</v>
      </c>
      <c r="M56" s="95">
        <v>151</v>
      </c>
      <c r="N56" s="95">
        <v>0</v>
      </c>
      <c r="O56" s="95">
        <v>0</v>
      </c>
      <c r="P56" s="95">
        <v>1</v>
      </c>
      <c r="Q56" s="95">
        <v>0</v>
      </c>
      <c r="R56" s="95">
        <v>0</v>
      </c>
      <c r="S56" s="95">
        <v>8</v>
      </c>
      <c r="T56" s="95">
        <v>0</v>
      </c>
      <c r="U56" s="95">
        <v>0</v>
      </c>
      <c r="V56" s="95">
        <v>19</v>
      </c>
      <c r="W56" s="95">
        <v>772</v>
      </c>
    </row>
    <row r="57" spans="1:23" ht="15.75" customHeight="1" x14ac:dyDescent="0.3">
      <c r="A57" s="323"/>
      <c r="B57" s="95" t="s">
        <v>1250</v>
      </c>
      <c r="C57" s="95">
        <v>598</v>
      </c>
      <c r="D57" s="95">
        <v>34</v>
      </c>
      <c r="E57" s="95">
        <v>0</v>
      </c>
      <c r="F57" s="95">
        <v>0</v>
      </c>
      <c r="G57" s="95">
        <v>0</v>
      </c>
      <c r="H57" s="95">
        <v>0</v>
      </c>
      <c r="I57" s="95">
        <v>0</v>
      </c>
      <c r="J57" s="95">
        <v>0</v>
      </c>
      <c r="K57" s="95">
        <v>0</v>
      </c>
      <c r="L57" s="95">
        <v>0</v>
      </c>
      <c r="M57" s="95">
        <v>1</v>
      </c>
      <c r="N57" s="95">
        <v>0</v>
      </c>
      <c r="O57" s="95">
        <v>0</v>
      </c>
      <c r="P57" s="95">
        <v>0</v>
      </c>
      <c r="Q57" s="95">
        <v>0</v>
      </c>
      <c r="R57" s="95">
        <v>2</v>
      </c>
      <c r="S57" s="95">
        <v>16</v>
      </c>
      <c r="T57" s="95">
        <v>0</v>
      </c>
      <c r="U57" s="95">
        <v>0</v>
      </c>
      <c r="V57" s="95">
        <v>0</v>
      </c>
      <c r="W57" s="95">
        <v>650</v>
      </c>
    </row>
    <row r="58" spans="1:23" ht="15.75" customHeight="1" x14ac:dyDescent="0.3">
      <c r="A58" s="323"/>
      <c r="B58" s="95" t="s">
        <v>1251</v>
      </c>
      <c r="C58" s="95">
        <v>854</v>
      </c>
      <c r="D58" s="95">
        <v>7</v>
      </c>
      <c r="E58" s="95">
        <v>0</v>
      </c>
      <c r="F58" s="95">
        <v>0</v>
      </c>
      <c r="G58" s="95">
        <v>0</v>
      </c>
      <c r="H58" s="95">
        <v>0</v>
      </c>
      <c r="I58" s="95">
        <v>0</v>
      </c>
      <c r="J58" s="95">
        <v>171</v>
      </c>
      <c r="K58" s="95">
        <v>0</v>
      </c>
      <c r="L58" s="95">
        <v>0</v>
      </c>
      <c r="M58" s="95">
        <v>125</v>
      </c>
      <c r="N58" s="95">
        <v>0</v>
      </c>
      <c r="O58" s="95">
        <v>0</v>
      </c>
      <c r="P58" s="95">
        <v>0</v>
      </c>
      <c r="Q58" s="95">
        <v>0</v>
      </c>
      <c r="R58" s="95">
        <v>0</v>
      </c>
      <c r="S58" s="95">
        <v>16</v>
      </c>
      <c r="T58" s="95">
        <v>0</v>
      </c>
      <c r="U58" s="95">
        <v>0</v>
      </c>
      <c r="V58" s="95">
        <v>0</v>
      </c>
      <c r="W58" s="95">
        <v>1172</v>
      </c>
    </row>
    <row r="59" spans="1:23" ht="15.75" customHeight="1" x14ac:dyDescent="0.3">
      <c r="A59" s="308"/>
      <c r="B59" s="98" t="s">
        <v>110</v>
      </c>
      <c r="C59" s="98">
        <v>2528</v>
      </c>
      <c r="D59" s="98">
        <v>114</v>
      </c>
      <c r="E59" s="98">
        <v>0</v>
      </c>
      <c r="F59" s="98">
        <v>32</v>
      </c>
      <c r="G59" s="98">
        <v>0</v>
      </c>
      <c r="H59" s="98">
        <v>0</v>
      </c>
      <c r="I59" s="98">
        <v>4</v>
      </c>
      <c r="J59" s="98">
        <v>433</v>
      </c>
      <c r="K59" s="98">
        <v>0</v>
      </c>
      <c r="L59" s="98">
        <v>0</v>
      </c>
      <c r="M59" s="98">
        <v>397</v>
      </c>
      <c r="N59" s="98">
        <v>0</v>
      </c>
      <c r="O59" s="98">
        <v>0</v>
      </c>
      <c r="P59" s="98">
        <v>8</v>
      </c>
      <c r="Q59" s="98">
        <v>0</v>
      </c>
      <c r="R59" s="98">
        <v>2</v>
      </c>
      <c r="S59" s="98">
        <v>73</v>
      </c>
      <c r="T59" s="98">
        <v>0</v>
      </c>
      <c r="U59" s="98">
        <v>0</v>
      </c>
      <c r="V59" s="98">
        <v>19</v>
      </c>
      <c r="W59" s="98">
        <v>3609</v>
      </c>
    </row>
    <row r="60" spans="1:23" ht="15.75" customHeight="1" x14ac:dyDescent="0.3">
      <c r="A60" s="307" t="s">
        <v>1360</v>
      </c>
      <c r="B60" s="95" t="s">
        <v>1252</v>
      </c>
      <c r="C60" s="95">
        <v>130</v>
      </c>
      <c r="D60" s="95">
        <v>9</v>
      </c>
      <c r="E60" s="95">
        <v>0</v>
      </c>
      <c r="F60" s="95">
        <v>6</v>
      </c>
      <c r="G60" s="95">
        <v>0</v>
      </c>
      <c r="H60" s="95">
        <v>0</v>
      </c>
      <c r="I60" s="95">
        <v>0</v>
      </c>
      <c r="J60" s="95">
        <v>10</v>
      </c>
      <c r="K60" s="95">
        <v>0</v>
      </c>
      <c r="L60" s="95">
        <v>0</v>
      </c>
      <c r="M60" s="95">
        <v>0</v>
      </c>
      <c r="N60" s="95">
        <v>0</v>
      </c>
      <c r="O60" s="95">
        <v>0</v>
      </c>
      <c r="P60" s="95">
        <v>7</v>
      </c>
      <c r="Q60" s="95">
        <v>0</v>
      </c>
      <c r="R60" s="95">
        <v>6</v>
      </c>
      <c r="S60" s="95">
        <v>32</v>
      </c>
      <c r="T60" s="95">
        <v>0</v>
      </c>
      <c r="U60" s="95">
        <v>0</v>
      </c>
      <c r="V60" s="95">
        <v>0</v>
      </c>
      <c r="W60" s="95">
        <v>202</v>
      </c>
    </row>
    <row r="61" spans="1:23" ht="15.75" customHeight="1" x14ac:dyDescent="0.3">
      <c r="A61" s="323"/>
      <c r="B61" s="95" t="s">
        <v>1253</v>
      </c>
      <c r="C61" s="95">
        <v>357</v>
      </c>
      <c r="D61" s="95">
        <v>21</v>
      </c>
      <c r="E61" s="95">
        <v>0</v>
      </c>
      <c r="F61" s="95">
        <v>39</v>
      </c>
      <c r="G61" s="95">
        <v>0</v>
      </c>
      <c r="H61" s="95">
        <v>9</v>
      </c>
      <c r="I61" s="95">
        <v>17</v>
      </c>
      <c r="J61" s="95">
        <v>131</v>
      </c>
      <c r="K61" s="95">
        <v>0</v>
      </c>
      <c r="L61" s="95">
        <v>18</v>
      </c>
      <c r="M61" s="95">
        <v>115</v>
      </c>
      <c r="N61" s="95">
        <v>18</v>
      </c>
      <c r="O61" s="95">
        <v>0</v>
      </c>
      <c r="P61" s="95">
        <v>51</v>
      </c>
      <c r="Q61" s="95">
        <v>0</v>
      </c>
      <c r="R61" s="95">
        <v>0</v>
      </c>
      <c r="S61" s="95">
        <v>216</v>
      </c>
      <c r="T61" s="95">
        <v>24</v>
      </c>
      <c r="U61" s="95">
        <v>0</v>
      </c>
      <c r="V61" s="95">
        <v>15</v>
      </c>
      <c r="W61" s="95">
        <v>1031</v>
      </c>
    </row>
    <row r="62" spans="1:23" ht="15.75" customHeight="1" x14ac:dyDescent="0.3">
      <c r="A62" s="323"/>
      <c r="B62" s="95" t="s">
        <v>1254</v>
      </c>
      <c r="C62" s="95">
        <v>179</v>
      </c>
      <c r="D62" s="95">
        <v>9</v>
      </c>
      <c r="E62" s="95">
        <v>0</v>
      </c>
      <c r="F62" s="95">
        <v>3</v>
      </c>
      <c r="G62" s="95">
        <v>0</v>
      </c>
      <c r="H62" s="95">
        <v>11</v>
      </c>
      <c r="I62" s="95">
        <v>9</v>
      </c>
      <c r="J62" s="95">
        <v>50</v>
      </c>
      <c r="K62" s="95">
        <v>0</v>
      </c>
      <c r="L62" s="95">
        <v>0</v>
      </c>
      <c r="M62" s="95">
        <v>438</v>
      </c>
      <c r="N62" s="95">
        <v>0</v>
      </c>
      <c r="O62" s="95">
        <v>0</v>
      </c>
      <c r="P62" s="95">
        <v>15</v>
      </c>
      <c r="Q62" s="95">
        <v>0</v>
      </c>
      <c r="R62" s="95">
        <v>0</v>
      </c>
      <c r="S62" s="95">
        <v>43</v>
      </c>
      <c r="T62" s="95">
        <v>0</v>
      </c>
      <c r="U62" s="95">
        <v>0</v>
      </c>
      <c r="V62" s="95">
        <v>5</v>
      </c>
      <c r="W62" s="95">
        <v>762</v>
      </c>
    </row>
    <row r="63" spans="1:23" ht="15.75" customHeight="1" x14ac:dyDescent="0.3">
      <c r="A63" s="323"/>
      <c r="B63" s="95" t="s">
        <v>1255</v>
      </c>
      <c r="C63" s="95">
        <v>394</v>
      </c>
      <c r="D63" s="95">
        <v>51</v>
      </c>
      <c r="E63" s="95">
        <v>0</v>
      </c>
      <c r="F63" s="95">
        <v>0</v>
      </c>
      <c r="G63" s="95">
        <v>0</v>
      </c>
      <c r="H63" s="95">
        <v>0</v>
      </c>
      <c r="I63" s="95">
        <v>0</v>
      </c>
      <c r="J63" s="95">
        <v>106</v>
      </c>
      <c r="K63" s="95">
        <v>0</v>
      </c>
      <c r="L63" s="95">
        <v>6</v>
      </c>
      <c r="M63" s="95">
        <v>77</v>
      </c>
      <c r="N63" s="95">
        <v>58</v>
      </c>
      <c r="O63" s="95">
        <v>0</v>
      </c>
      <c r="P63" s="95">
        <v>15</v>
      </c>
      <c r="Q63" s="95">
        <v>5</v>
      </c>
      <c r="R63" s="95">
        <v>0</v>
      </c>
      <c r="S63" s="95">
        <v>31</v>
      </c>
      <c r="T63" s="95">
        <v>0</v>
      </c>
      <c r="U63" s="95">
        <v>0</v>
      </c>
      <c r="V63" s="95">
        <v>0</v>
      </c>
      <c r="W63" s="95">
        <v>744</v>
      </c>
    </row>
    <row r="64" spans="1:23" ht="15.75" customHeight="1" x14ac:dyDescent="0.3">
      <c r="A64" s="323"/>
      <c r="B64" s="95" t="s">
        <v>1256</v>
      </c>
      <c r="C64" s="95">
        <v>146</v>
      </c>
      <c r="D64" s="95">
        <v>30</v>
      </c>
      <c r="E64" s="95">
        <v>0</v>
      </c>
      <c r="F64" s="95">
        <v>0</v>
      </c>
      <c r="G64" s="95">
        <v>0</v>
      </c>
      <c r="H64" s="95">
        <v>0</v>
      </c>
      <c r="I64" s="95">
        <v>1</v>
      </c>
      <c r="J64" s="95">
        <v>0</v>
      </c>
      <c r="K64" s="95">
        <v>0</v>
      </c>
      <c r="L64" s="95">
        <v>0</v>
      </c>
      <c r="M64" s="95">
        <v>0</v>
      </c>
      <c r="N64" s="95">
        <v>2</v>
      </c>
      <c r="O64" s="95">
        <v>0</v>
      </c>
      <c r="P64" s="95">
        <v>0</v>
      </c>
      <c r="Q64" s="95">
        <v>2</v>
      </c>
      <c r="R64" s="95">
        <v>0</v>
      </c>
      <c r="S64" s="95">
        <v>21</v>
      </c>
      <c r="T64" s="95">
        <v>0</v>
      </c>
      <c r="U64" s="95">
        <v>0</v>
      </c>
      <c r="V64" s="95">
        <v>0</v>
      </c>
      <c r="W64" s="95">
        <v>201</v>
      </c>
    </row>
    <row r="65" spans="1:23" ht="15.75" customHeight="1" x14ac:dyDescent="0.3">
      <c r="A65" s="308"/>
      <c r="B65" s="98" t="s">
        <v>110</v>
      </c>
      <c r="C65" s="98">
        <v>1206</v>
      </c>
      <c r="D65" s="98">
        <v>119</v>
      </c>
      <c r="E65" s="98">
        <v>0</v>
      </c>
      <c r="F65" s="98">
        <v>48</v>
      </c>
      <c r="G65" s="98">
        <v>0</v>
      </c>
      <c r="H65" s="98">
        <v>21</v>
      </c>
      <c r="I65" s="98">
        <v>27</v>
      </c>
      <c r="J65" s="98">
        <v>297</v>
      </c>
      <c r="K65" s="98">
        <v>0</v>
      </c>
      <c r="L65" s="98">
        <v>24</v>
      </c>
      <c r="M65" s="98">
        <v>630</v>
      </c>
      <c r="N65" s="98">
        <v>78</v>
      </c>
      <c r="O65" s="98">
        <v>0</v>
      </c>
      <c r="P65" s="98">
        <v>88</v>
      </c>
      <c r="Q65" s="98">
        <v>7</v>
      </c>
      <c r="R65" s="98">
        <v>6</v>
      </c>
      <c r="S65" s="98">
        <v>344</v>
      </c>
      <c r="T65" s="98">
        <v>24</v>
      </c>
      <c r="U65" s="98">
        <v>0</v>
      </c>
      <c r="V65" s="98">
        <v>20</v>
      </c>
      <c r="W65" s="98">
        <v>2939</v>
      </c>
    </row>
    <row r="66" spans="1:23" ht="15.75" customHeight="1" x14ac:dyDescent="0.3">
      <c r="A66" s="307" t="s">
        <v>471</v>
      </c>
      <c r="B66" s="95" t="s">
        <v>1257</v>
      </c>
      <c r="C66" s="95">
        <v>238</v>
      </c>
      <c r="D66" s="95">
        <v>4</v>
      </c>
      <c r="E66" s="95">
        <v>0</v>
      </c>
      <c r="F66" s="95">
        <v>0</v>
      </c>
      <c r="G66" s="95">
        <v>0</v>
      </c>
      <c r="H66" s="95">
        <v>0</v>
      </c>
      <c r="I66" s="95">
        <v>0</v>
      </c>
      <c r="J66" s="95">
        <v>6</v>
      </c>
      <c r="K66" s="95">
        <v>0</v>
      </c>
      <c r="L66" s="95">
        <v>0</v>
      </c>
      <c r="M66" s="95">
        <v>36</v>
      </c>
      <c r="N66" s="95">
        <v>0</v>
      </c>
      <c r="O66" s="95">
        <v>0</v>
      </c>
      <c r="P66" s="95">
        <v>0</v>
      </c>
      <c r="Q66" s="95">
        <v>0</v>
      </c>
      <c r="R66" s="95">
        <v>0</v>
      </c>
      <c r="S66" s="95">
        <v>3</v>
      </c>
      <c r="T66" s="95">
        <v>0</v>
      </c>
      <c r="U66" s="95">
        <v>0</v>
      </c>
      <c r="V66" s="95">
        <v>20</v>
      </c>
      <c r="W66" s="95">
        <v>308</v>
      </c>
    </row>
    <row r="67" spans="1:23" ht="15.75" customHeight="1" x14ac:dyDescent="0.3">
      <c r="A67" s="323"/>
      <c r="B67" s="95" t="s">
        <v>1258</v>
      </c>
      <c r="C67" s="95">
        <v>1201</v>
      </c>
      <c r="D67" s="95">
        <v>74</v>
      </c>
      <c r="E67" s="95">
        <v>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  <c r="L67" s="95">
        <v>0</v>
      </c>
      <c r="M67" s="95">
        <v>11</v>
      </c>
      <c r="N67" s="95">
        <v>0</v>
      </c>
      <c r="O67" s="95">
        <v>0</v>
      </c>
      <c r="P67" s="95">
        <v>2</v>
      </c>
      <c r="Q67" s="95">
        <v>0</v>
      </c>
      <c r="R67" s="95">
        <v>21</v>
      </c>
      <c r="S67" s="95">
        <v>2</v>
      </c>
      <c r="T67" s="95">
        <v>0</v>
      </c>
      <c r="U67" s="95">
        <v>0</v>
      </c>
      <c r="V67" s="95">
        <v>0</v>
      </c>
      <c r="W67" s="95">
        <v>1310</v>
      </c>
    </row>
    <row r="68" spans="1:23" ht="15.75" customHeight="1" x14ac:dyDescent="0.3">
      <c r="A68" s="323"/>
      <c r="B68" s="95" t="s">
        <v>1259</v>
      </c>
      <c r="C68" s="95">
        <v>277</v>
      </c>
      <c r="D68" s="95">
        <v>6</v>
      </c>
      <c r="E68" s="95">
        <v>0</v>
      </c>
      <c r="F68" s="95">
        <v>0</v>
      </c>
      <c r="G68" s="95">
        <v>0</v>
      </c>
      <c r="H68" s="95">
        <v>0</v>
      </c>
      <c r="I68" s="95">
        <v>0</v>
      </c>
      <c r="J68" s="95">
        <v>5</v>
      </c>
      <c r="K68" s="95">
        <v>0</v>
      </c>
      <c r="L68" s="95">
        <v>0</v>
      </c>
      <c r="M68" s="95">
        <v>106</v>
      </c>
      <c r="N68" s="95">
        <v>0</v>
      </c>
      <c r="O68" s="95">
        <v>0</v>
      </c>
      <c r="P68" s="95">
        <v>0</v>
      </c>
      <c r="Q68" s="95">
        <v>0</v>
      </c>
      <c r="R68" s="95">
        <v>0</v>
      </c>
      <c r="S68" s="95">
        <v>1</v>
      </c>
      <c r="T68" s="95">
        <v>0</v>
      </c>
      <c r="U68" s="95">
        <v>0</v>
      </c>
      <c r="V68" s="95">
        <v>0</v>
      </c>
      <c r="W68" s="95">
        <v>395</v>
      </c>
    </row>
    <row r="69" spans="1:23" ht="15.75" customHeight="1" x14ac:dyDescent="0.3">
      <c r="A69" s="308"/>
      <c r="B69" s="98" t="s">
        <v>110</v>
      </c>
      <c r="C69" s="98">
        <v>1717</v>
      </c>
      <c r="D69" s="98">
        <v>85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11</v>
      </c>
      <c r="K69" s="98">
        <v>0</v>
      </c>
      <c r="L69" s="98">
        <v>0</v>
      </c>
      <c r="M69" s="98">
        <v>153</v>
      </c>
      <c r="N69" s="98">
        <v>0</v>
      </c>
      <c r="O69" s="98">
        <v>0</v>
      </c>
      <c r="P69" s="98">
        <v>2</v>
      </c>
      <c r="Q69" s="98">
        <v>0</v>
      </c>
      <c r="R69" s="98">
        <v>21</v>
      </c>
      <c r="S69" s="98">
        <v>6</v>
      </c>
      <c r="T69" s="98">
        <v>0</v>
      </c>
      <c r="U69" s="98">
        <v>0</v>
      </c>
      <c r="V69" s="98">
        <v>20</v>
      </c>
      <c r="W69" s="98">
        <v>2013</v>
      </c>
    </row>
    <row r="70" spans="1:23" ht="15.75" customHeight="1" x14ac:dyDescent="0.3">
      <c r="A70" s="95" t="s">
        <v>85</v>
      </c>
      <c r="B70" s="95" t="s">
        <v>472</v>
      </c>
      <c r="C70" s="95">
        <v>52891</v>
      </c>
      <c r="D70" s="95">
        <v>13915</v>
      </c>
      <c r="E70" s="95">
        <v>788</v>
      </c>
      <c r="F70" s="95">
        <v>3596</v>
      </c>
      <c r="G70" s="95">
        <v>1089</v>
      </c>
      <c r="H70" s="95">
        <v>2453</v>
      </c>
      <c r="I70" s="95">
        <v>7328</v>
      </c>
      <c r="J70" s="95">
        <v>5542</v>
      </c>
      <c r="K70" s="95">
        <v>678</v>
      </c>
      <c r="L70" s="95">
        <v>969</v>
      </c>
      <c r="M70" s="95">
        <v>41028</v>
      </c>
      <c r="N70" s="95">
        <v>4823</v>
      </c>
      <c r="O70" s="95">
        <v>1618</v>
      </c>
      <c r="P70" s="95">
        <v>50450</v>
      </c>
      <c r="Q70" s="95">
        <v>1261</v>
      </c>
      <c r="R70" s="95">
        <v>720</v>
      </c>
      <c r="S70" s="95">
        <v>14344</v>
      </c>
      <c r="T70" s="95">
        <v>8828</v>
      </c>
      <c r="U70" s="95">
        <v>4137</v>
      </c>
      <c r="V70" s="95">
        <v>3636</v>
      </c>
      <c r="W70" s="95">
        <v>220092</v>
      </c>
    </row>
    <row r="71" spans="1:23" ht="15.75" customHeight="1" x14ac:dyDescent="0.3">
      <c r="A71" s="343" t="s">
        <v>86</v>
      </c>
      <c r="B71" s="344"/>
      <c r="C71" s="98">
        <v>94037</v>
      </c>
      <c r="D71" s="98">
        <v>18222</v>
      </c>
      <c r="E71" s="98">
        <v>806</v>
      </c>
      <c r="F71" s="98">
        <v>6032</v>
      </c>
      <c r="G71" s="98">
        <v>1218</v>
      </c>
      <c r="H71" s="98">
        <v>2535</v>
      </c>
      <c r="I71" s="98">
        <v>8777</v>
      </c>
      <c r="J71" s="98">
        <v>9360</v>
      </c>
      <c r="K71" s="98">
        <v>678</v>
      </c>
      <c r="L71" s="98">
        <v>1291</v>
      </c>
      <c r="M71" s="98">
        <v>45992</v>
      </c>
      <c r="N71" s="98">
        <v>6140</v>
      </c>
      <c r="O71" s="98">
        <v>1625</v>
      </c>
      <c r="P71" s="98">
        <v>54559</v>
      </c>
      <c r="Q71" s="98">
        <v>1341</v>
      </c>
      <c r="R71" s="98">
        <v>979</v>
      </c>
      <c r="S71" s="98">
        <v>18224</v>
      </c>
      <c r="T71" s="98">
        <v>9212</v>
      </c>
      <c r="U71" s="98">
        <v>4232</v>
      </c>
      <c r="V71" s="98">
        <v>4903</v>
      </c>
      <c r="W71" s="98">
        <v>290164</v>
      </c>
    </row>
    <row r="73" spans="1:23" x14ac:dyDescent="0.3">
      <c r="A73" s="90" t="s">
        <v>1203</v>
      </c>
    </row>
    <row r="74" spans="1:23" ht="18.75" x14ac:dyDescent="0.4">
      <c r="A74" s="292" t="s">
        <v>1355</v>
      </c>
    </row>
  </sheetData>
  <mergeCells count="36">
    <mergeCell ref="A71:B71"/>
    <mergeCell ref="K4:K7"/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A8:A16"/>
    <mergeCell ref="A17:A21"/>
    <mergeCell ref="A22:A25"/>
    <mergeCell ref="A26:A28"/>
    <mergeCell ref="W4:W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A29:A33"/>
    <mergeCell ref="A60:A65"/>
    <mergeCell ref="A66:A69"/>
    <mergeCell ref="A34:A39"/>
    <mergeCell ref="A40:A43"/>
    <mergeCell ref="A44:A48"/>
    <mergeCell ref="A49:A53"/>
    <mergeCell ref="A54:A59"/>
  </mergeCells>
  <phoneticPr fontId="1" type="noConversion"/>
  <hyperlinks>
    <hyperlink ref="H1" location="목차!A1" display="목차" xr:uid="{8FAEFF9A-9CBC-467C-8AE0-E14A5CE9BC56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A56E-BD4C-4BEE-A760-1C3BF8CFB996}">
  <sheetPr>
    <tabColor theme="0" tint="-4.9989318521683403E-2"/>
  </sheetPr>
  <dimension ref="A1:T298"/>
  <sheetViews>
    <sheetView topLeftCell="A278" zoomScaleNormal="100" workbookViewId="0">
      <selection activeCell="A295" sqref="A295"/>
    </sheetView>
  </sheetViews>
  <sheetFormatPr defaultRowHeight="16.5" x14ac:dyDescent="0.3"/>
  <cols>
    <col min="2" max="2" width="32.875" customWidth="1"/>
  </cols>
  <sheetData>
    <row r="1" spans="1:20" ht="17.25" x14ac:dyDescent="0.3">
      <c r="A1" s="7" t="s">
        <v>776</v>
      </c>
      <c r="B1" s="2"/>
      <c r="C1" s="2"/>
      <c r="D1" s="2"/>
      <c r="E1" s="2"/>
      <c r="F1" s="2"/>
      <c r="G1" s="2"/>
      <c r="H1" s="2"/>
      <c r="I1" s="2"/>
      <c r="K1" s="72" t="s">
        <v>367</v>
      </c>
    </row>
    <row r="2" spans="1:20" x14ac:dyDescent="0.3">
      <c r="C2" s="289"/>
      <c r="D2" s="289"/>
      <c r="E2" s="289"/>
      <c r="F2" s="289"/>
      <c r="G2" s="289"/>
      <c r="H2" s="289"/>
      <c r="I2" s="289"/>
      <c r="J2" s="289"/>
    </row>
    <row r="3" spans="1:20" x14ac:dyDescent="0.3">
      <c r="A3" s="45"/>
      <c r="B3" s="45"/>
      <c r="C3" s="290"/>
      <c r="D3" s="290"/>
      <c r="E3" s="290"/>
      <c r="F3" s="290"/>
      <c r="G3" s="290"/>
      <c r="H3" s="290"/>
      <c r="I3" s="290"/>
      <c r="J3" s="290"/>
      <c r="K3" s="90" t="s">
        <v>843</v>
      </c>
    </row>
    <row r="4" spans="1:20" s="1" customFormat="1" x14ac:dyDescent="0.3">
      <c r="A4" s="313" t="s">
        <v>496</v>
      </c>
      <c r="B4" s="311" t="s">
        <v>497</v>
      </c>
      <c r="C4" s="148" t="s">
        <v>498</v>
      </c>
      <c r="D4" s="148" t="s">
        <v>499</v>
      </c>
      <c r="E4" s="311" t="s">
        <v>80</v>
      </c>
      <c r="F4" s="311" t="s">
        <v>81</v>
      </c>
      <c r="G4" s="148" t="s">
        <v>500</v>
      </c>
      <c r="H4" s="148" t="s">
        <v>501</v>
      </c>
      <c r="I4" s="148" t="s">
        <v>3</v>
      </c>
      <c r="J4" s="311" t="s">
        <v>85</v>
      </c>
      <c r="K4" s="311" t="s">
        <v>86</v>
      </c>
    </row>
    <row r="5" spans="1:20" s="1" customFormat="1" x14ac:dyDescent="0.3">
      <c r="A5" s="313"/>
      <c r="B5" s="311"/>
      <c r="C5" s="148" t="s">
        <v>502</v>
      </c>
      <c r="D5" s="148" t="s">
        <v>502</v>
      </c>
      <c r="E5" s="311"/>
      <c r="F5" s="311"/>
      <c r="G5" s="148" t="s">
        <v>255</v>
      </c>
      <c r="H5" s="148" t="s">
        <v>255</v>
      </c>
      <c r="I5" s="148" t="s">
        <v>254</v>
      </c>
      <c r="J5" s="311"/>
      <c r="K5" s="311"/>
    </row>
    <row r="6" spans="1:20" s="1" customFormat="1" ht="16.5" customHeight="1" x14ac:dyDescent="0.3">
      <c r="A6" s="307" t="s">
        <v>140</v>
      </c>
      <c r="B6" s="95" t="s">
        <v>506</v>
      </c>
      <c r="C6" s="204">
        <v>0</v>
      </c>
      <c r="D6" s="204">
        <v>38</v>
      </c>
      <c r="E6" s="204">
        <v>46</v>
      </c>
      <c r="F6" s="204">
        <v>0</v>
      </c>
      <c r="G6" s="204">
        <v>0</v>
      </c>
      <c r="H6" s="204">
        <v>0</v>
      </c>
      <c r="I6" s="204">
        <v>0</v>
      </c>
      <c r="J6" s="204">
        <v>0</v>
      </c>
      <c r="K6" s="204">
        <v>84</v>
      </c>
      <c r="L6" s="90"/>
      <c r="M6" s="90"/>
      <c r="N6" s="90"/>
      <c r="O6" s="90"/>
      <c r="P6" s="90"/>
      <c r="Q6" s="90"/>
      <c r="R6" s="90"/>
      <c r="S6" s="90"/>
      <c r="T6" s="90"/>
    </row>
    <row r="7" spans="1:20" s="1" customFormat="1" ht="16.5" customHeight="1" x14ac:dyDescent="0.3">
      <c r="A7" s="323"/>
      <c r="B7" s="95" t="s">
        <v>503</v>
      </c>
      <c r="C7" s="204">
        <v>0</v>
      </c>
      <c r="D7" s="204">
        <v>16</v>
      </c>
      <c r="E7" s="204">
        <v>108</v>
      </c>
      <c r="F7" s="204">
        <v>0</v>
      </c>
      <c r="G7" s="204">
        <v>0</v>
      </c>
      <c r="H7" s="204">
        <v>0</v>
      </c>
      <c r="I7" s="204">
        <v>0</v>
      </c>
      <c r="J7" s="204">
        <v>8</v>
      </c>
      <c r="K7" s="204">
        <v>132</v>
      </c>
      <c r="L7" s="90"/>
      <c r="M7" s="90"/>
      <c r="N7" s="90"/>
      <c r="O7" s="90"/>
      <c r="P7" s="90"/>
      <c r="Q7" s="90"/>
      <c r="R7" s="90"/>
      <c r="S7" s="90"/>
      <c r="T7" s="90"/>
    </row>
    <row r="8" spans="1:20" s="1" customFormat="1" ht="16.5" customHeight="1" x14ac:dyDescent="0.3">
      <c r="A8" s="323"/>
      <c r="B8" s="95" t="s">
        <v>505</v>
      </c>
      <c r="C8" s="204">
        <v>0</v>
      </c>
      <c r="D8" s="204">
        <v>3</v>
      </c>
      <c r="E8" s="204">
        <v>57</v>
      </c>
      <c r="F8" s="204">
        <v>0</v>
      </c>
      <c r="G8" s="204">
        <v>0</v>
      </c>
      <c r="H8" s="204">
        <v>0</v>
      </c>
      <c r="I8" s="204">
        <v>0</v>
      </c>
      <c r="J8" s="204">
        <v>0</v>
      </c>
      <c r="K8" s="204">
        <v>60</v>
      </c>
      <c r="L8" s="90"/>
      <c r="M8" s="90"/>
      <c r="N8" s="90"/>
      <c r="O8" s="90"/>
      <c r="P8" s="90"/>
      <c r="Q8" s="90"/>
      <c r="R8" s="90"/>
      <c r="S8" s="90"/>
      <c r="T8" s="90"/>
    </row>
    <row r="9" spans="1:20" s="1" customFormat="1" ht="16.5" customHeight="1" x14ac:dyDescent="0.3">
      <c r="A9" s="323"/>
      <c r="B9" s="95" t="s">
        <v>507</v>
      </c>
      <c r="C9" s="204">
        <v>0</v>
      </c>
      <c r="D9" s="204">
        <v>39</v>
      </c>
      <c r="E9" s="204">
        <v>206</v>
      </c>
      <c r="F9" s="204">
        <v>0</v>
      </c>
      <c r="G9" s="204">
        <v>0</v>
      </c>
      <c r="H9" s="204">
        <v>7</v>
      </c>
      <c r="I9" s="204">
        <v>0</v>
      </c>
      <c r="J9" s="204">
        <v>0</v>
      </c>
      <c r="K9" s="204">
        <v>252</v>
      </c>
      <c r="L9" s="90"/>
      <c r="M9" s="90"/>
      <c r="N9" s="90"/>
      <c r="O9" s="90"/>
      <c r="P9" s="90"/>
      <c r="Q9" s="90"/>
      <c r="R9" s="90"/>
      <c r="S9" s="90"/>
      <c r="T9" s="90"/>
    </row>
    <row r="10" spans="1:20" s="1" customFormat="1" ht="16.5" customHeight="1" x14ac:dyDescent="0.3">
      <c r="A10" s="323"/>
      <c r="B10" s="95" t="s">
        <v>508</v>
      </c>
      <c r="C10" s="204">
        <v>0</v>
      </c>
      <c r="D10" s="204">
        <v>0</v>
      </c>
      <c r="E10" s="204">
        <v>129</v>
      </c>
      <c r="F10" s="204">
        <v>0</v>
      </c>
      <c r="G10" s="204">
        <v>0</v>
      </c>
      <c r="H10" s="204">
        <v>10</v>
      </c>
      <c r="I10" s="204">
        <v>0</v>
      </c>
      <c r="J10" s="204">
        <v>46</v>
      </c>
      <c r="K10" s="204">
        <v>185</v>
      </c>
      <c r="L10" s="90"/>
      <c r="M10" s="90"/>
      <c r="N10" s="90"/>
      <c r="O10" s="90"/>
      <c r="P10" s="90"/>
      <c r="Q10" s="90"/>
      <c r="R10" s="90"/>
      <c r="S10" s="90"/>
      <c r="T10" s="90"/>
    </row>
    <row r="11" spans="1:20" s="1" customFormat="1" ht="16.5" customHeight="1" x14ac:dyDescent="0.3">
      <c r="A11" s="323"/>
      <c r="B11" s="95" t="s">
        <v>664</v>
      </c>
      <c r="C11" s="204">
        <v>0</v>
      </c>
      <c r="D11" s="204">
        <v>50</v>
      </c>
      <c r="E11" s="204">
        <v>78</v>
      </c>
      <c r="F11" s="204">
        <v>0</v>
      </c>
      <c r="G11" s="204">
        <v>0</v>
      </c>
      <c r="H11" s="204">
        <v>7</v>
      </c>
      <c r="I11" s="204">
        <v>0</v>
      </c>
      <c r="J11" s="204">
        <v>2</v>
      </c>
      <c r="K11" s="204">
        <v>137</v>
      </c>
      <c r="L11" s="90"/>
      <c r="M11" s="90"/>
      <c r="N11" s="90"/>
      <c r="O11" s="90"/>
      <c r="P11" s="90"/>
      <c r="Q11" s="90"/>
      <c r="R11" s="90"/>
      <c r="S11" s="90"/>
      <c r="T11" s="90"/>
    </row>
    <row r="12" spans="1:20" s="1" customFormat="1" ht="16.5" customHeight="1" x14ac:dyDescent="0.3">
      <c r="A12" s="323"/>
      <c r="B12" s="95" t="s">
        <v>665</v>
      </c>
      <c r="C12" s="204">
        <v>0</v>
      </c>
      <c r="D12" s="204">
        <v>0</v>
      </c>
      <c r="E12" s="204">
        <v>83</v>
      </c>
      <c r="F12" s="204">
        <v>0</v>
      </c>
      <c r="G12" s="204">
        <v>0</v>
      </c>
      <c r="H12" s="204">
        <v>2</v>
      </c>
      <c r="I12" s="204">
        <v>0</v>
      </c>
      <c r="J12" s="204">
        <v>0</v>
      </c>
      <c r="K12" s="204">
        <v>85</v>
      </c>
      <c r="L12" s="90"/>
      <c r="M12" s="90"/>
      <c r="N12" s="90"/>
      <c r="O12" s="90"/>
      <c r="P12" s="90"/>
      <c r="Q12" s="90"/>
      <c r="R12" s="90"/>
      <c r="S12" s="90"/>
      <c r="T12" s="90"/>
    </row>
    <row r="13" spans="1:20" s="1" customFormat="1" ht="16.5" customHeight="1" x14ac:dyDescent="0.3">
      <c r="A13" s="323"/>
      <c r="B13" s="95" t="s">
        <v>666</v>
      </c>
      <c r="C13" s="204">
        <v>0</v>
      </c>
      <c r="D13" s="204">
        <v>4</v>
      </c>
      <c r="E13" s="204">
        <v>42</v>
      </c>
      <c r="F13" s="204">
        <v>0</v>
      </c>
      <c r="G13" s="204">
        <v>0</v>
      </c>
      <c r="H13" s="204">
        <v>3</v>
      </c>
      <c r="I13" s="204">
        <v>0</v>
      </c>
      <c r="J13" s="204">
        <v>0</v>
      </c>
      <c r="K13" s="204">
        <v>49</v>
      </c>
      <c r="L13" s="90"/>
      <c r="M13" s="90"/>
      <c r="N13" s="90"/>
      <c r="O13" s="90"/>
      <c r="P13" s="90"/>
      <c r="Q13" s="90"/>
      <c r="R13" s="90"/>
      <c r="S13" s="90"/>
      <c r="T13" s="90"/>
    </row>
    <row r="14" spans="1:20" s="1" customFormat="1" ht="16.5" customHeight="1" x14ac:dyDescent="0.3">
      <c r="A14" s="323"/>
      <c r="B14" s="95" t="s">
        <v>504</v>
      </c>
      <c r="C14" s="204">
        <v>0</v>
      </c>
      <c r="D14" s="204">
        <v>3</v>
      </c>
      <c r="E14" s="204">
        <v>165</v>
      </c>
      <c r="F14" s="204">
        <v>0</v>
      </c>
      <c r="G14" s="204">
        <v>0</v>
      </c>
      <c r="H14" s="204">
        <v>0</v>
      </c>
      <c r="I14" s="204">
        <v>0</v>
      </c>
      <c r="J14" s="204">
        <v>0</v>
      </c>
      <c r="K14" s="204">
        <v>168</v>
      </c>
      <c r="L14" s="90"/>
      <c r="M14" s="90"/>
      <c r="N14" s="90"/>
      <c r="O14" s="90"/>
      <c r="P14" s="90"/>
      <c r="Q14" s="90"/>
      <c r="R14" s="90"/>
      <c r="S14" s="90"/>
      <c r="T14" s="90"/>
    </row>
    <row r="15" spans="1:20" s="1" customFormat="1" ht="16.5" customHeight="1" x14ac:dyDescent="0.3">
      <c r="A15" s="323"/>
      <c r="B15" s="95" t="s">
        <v>509</v>
      </c>
      <c r="C15" s="204">
        <v>0</v>
      </c>
      <c r="D15" s="204">
        <v>1</v>
      </c>
      <c r="E15" s="204">
        <v>31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32</v>
      </c>
      <c r="L15" s="90"/>
      <c r="M15" s="90"/>
      <c r="N15" s="90"/>
      <c r="O15" s="90"/>
      <c r="P15" s="90"/>
      <c r="Q15" s="90"/>
      <c r="R15" s="90"/>
      <c r="S15" s="90"/>
      <c r="T15" s="90"/>
    </row>
    <row r="16" spans="1:20" s="1" customFormat="1" ht="16.5" customHeight="1" x14ac:dyDescent="0.3">
      <c r="A16" s="323"/>
      <c r="B16" s="95" t="s">
        <v>510</v>
      </c>
      <c r="C16" s="204">
        <v>0</v>
      </c>
      <c r="D16" s="204">
        <v>118</v>
      </c>
      <c r="E16" s="204">
        <v>32</v>
      </c>
      <c r="F16" s="204">
        <v>0</v>
      </c>
      <c r="G16" s="204">
        <v>0</v>
      </c>
      <c r="H16" s="204">
        <v>1</v>
      </c>
      <c r="I16" s="204">
        <v>0</v>
      </c>
      <c r="J16" s="204">
        <v>0</v>
      </c>
      <c r="K16" s="204">
        <v>151</v>
      </c>
      <c r="L16" s="90"/>
      <c r="M16" s="90"/>
      <c r="N16" s="90"/>
      <c r="O16" s="90"/>
      <c r="P16" s="90"/>
      <c r="Q16" s="90"/>
      <c r="R16" s="90"/>
      <c r="S16" s="90"/>
      <c r="T16" s="90"/>
    </row>
    <row r="17" spans="1:20" s="1" customFormat="1" ht="16.5" customHeight="1" x14ac:dyDescent="0.3">
      <c r="A17" s="308"/>
      <c r="B17" s="97" t="s">
        <v>86</v>
      </c>
      <c r="C17" s="207">
        <v>0</v>
      </c>
      <c r="D17" s="207">
        <v>273</v>
      </c>
      <c r="E17" s="207">
        <v>976</v>
      </c>
      <c r="F17" s="207">
        <v>0</v>
      </c>
      <c r="G17" s="207">
        <v>0</v>
      </c>
      <c r="H17" s="207">
        <v>31</v>
      </c>
      <c r="I17" s="207">
        <v>0</v>
      </c>
      <c r="J17" s="207">
        <v>57</v>
      </c>
      <c r="K17" s="207">
        <v>1337</v>
      </c>
      <c r="L17" s="90"/>
      <c r="M17" s="90"/>
      <c r="N17" s="90"/>
      <c r="O17" s="90"/>
      <c r="P17" s="90"/>
      <c r="Q17" s="90"/>
      <c r="R17" s="90"/>
      <c r="S17" s="90"/>
      <c r="T17" s="90"/>
    </row>
    <row r="18" spans="1:20" s="1" customFormat="1" ht="16.5" customHeight="1" x14ac:dyDescent="0.3">
      <c r="A18" s="304" t="s">
        <v>141</v>
      </c>
      <c r="B18" s="95" t="s">
        <v>667</v>
      </c>
      <c r="C18" s="204">
        <v>0</v>
      </c>
      <c r="D18" s="204">
        <v>330</v>
      </c>
      <c r="E18" s="204">
        <v>373</v>
      </c>
      <c r="F18" s="204">
        <v>0</v>
      </c>
      <c r="G18" s="204">
        <v>9</v>
      </c>
      <c r="H18" s="204">
        <v>131</v>
      </c>
      <c r="I18" s="204">
        <v>0</v>
      </c>
      <c r="J18" s="204">
        <v>41</v>
      </c>
      <c r="K18" s="204">
        <v>884</v>
      </c>
      <c r="L18" s="90"/>
      <c r="M18" s="90"/>
      <c r="N18" s="90"/>
      <c r="O18" s="90"/>
      <c r="P18" s="90"/>
      <c r="Q18" s="90"/>
      <c r="R18" s="90"/>
      <c r="S18" s="90"/>
      <c r="T18" s="90"/>
    </row>
    <row r="19" spans="1:20" s="1" customFormat="1" ht="16.5" customHeight="1" x14ac:dyDescent="0.3">
      <c r="A19" s="305"/>
      <c r="B19" s="95" t="s">
        <v>515</v>
      </c>
      <c r="C19" s="204">
        <v>0</v>
      </c>
      <c r="D19" s="204">
        <v>104</v>
      </c>
      <c r="E19" s="204">
        <v>55</v>
      </c>
      <c r="F19" s="204">
        <v>0</v>
      </c>
      <c r="G19" s="204">
        <v>0</v>
      </c>
      <c r="H19" s="204">
        <v>3</v>
      </c>
      <c r="I19" s="204">
        <v>0</v>
      </c>
      <c r="J19" s="204">
        <v>1</v>
      </c>
      <c r="K19" s="204">
        <v>163</v>
      </c>
      <c r="L19" s="90"/>
      <c r="M19" s="90"/>
      <c r="N19" s="90"/>
      <c r="O19" s="90"/>
      <c r="P19" s="90"/>
      <c r="Q19" s="90"/>
      <c r="R19" s="90"/>
      <c r="S19" s="90"/>
      <c r="T19" s="90"/>
    </row>
    <row r="20" spans="1:20" s="1" customFormat="1" ht="16.5" customHeight="1" x14ac:dyDescent="0.3">
      <c r="A20" s="305"/>
      <c r="B20" s="95" t="s">
        <v>513</v>
      </c>
      <c r="C20" s="204">
        <v>0</v>
      </c>
      <c r="D20" s="204">
        <v>296</v>
      </c>
      <c r="E20" s="204">
        <v>345</v>
      </c>
      <c r="F20" s="204">
        <v>2</v>
      </c>
      <c r="G20" s="204">
        <v>0</v>
      </c>
      <c r="H20" s="204">
        <v>7</v>
      </c>
      <c r="I20" s="204">
        <v>0</v>
      </c>
      <c r="J20" s="204">
        <v>19</v>
      </c>
      <c r="K20" s="204">
        <v>669</v>
      </c>
      <c r="L20" s="90"/>
      <c r="M20" s="90"/>
      <c r="N20" s="90"/>
      <c r="O20" s="90"/>
      <c r="P20" s="90"/>
      <c r="Q20" s="90"/>
      <c r="R20" s="90"/>
      <c r="S20" s="90"/>
      <c r="T20" s="90"/>
    </row>
    <row r="21" spans="1:20" s="1" customFormat="1" ht="16.5" customHeight="1" x14ac:dyDescent="0.3">
      <c r="A21" s="305"/>
      <c r="B21" s="95" t="s">
        <v>668</v>
      </c>
      <c r="C21" s="204">
        <v>0</v>
      </c>
      <c r="D21" s="204">
        <v>790</v>
      </c>
      <c r="E21" s="204">
        <v>86</v>
      </c>
      <c r="F21" s="204">
        <v>0</v>
      </c>
      <c r="G21" s="204">
        <v>0</v>
      </c>
      <c r="H21" s="204">
        <v>11</v>
      </c>
      <c r="I21" s="204">
        <v>0</v>
      </c>
      <c r="J21" s="204">
        <v>0</v>
      </c>
      <c r="K21" s="204">
        <v>887</v>
      </c>
      <c r="L21" s="90"/>
      <c r="M21" s="90"/>
      <c r="N21" s="90"/>
      <c r="O21" s="90"/>
      <c r="P21" s="90"/>
      <c r="Q21" s="90"/>
      <c r="R21" s="90"/>
      <c r="S21" s="90"/>
      <c r="T21" s="90"/>
    </row>
    <row r="22" spans="1:20" s="1" customFormat="1" ht="16.5" customHeight="1" x14ac:dyDescent="0.3">
      <c r="A22" s="305"/>
      <c r="B22" s="95" t="s">
        <v>669</v>
      </c>
      <c r="C22" s="204">
        <v>0</v>
      </c>
      <c r="D22" s="204">
        <v>520</v>
      </c>
      <c r="E22" s="204">
        <v>871</v>
      </c>
      <c r="F22" s="204">
        <v>2</v>
      </c>
      <c r="G22" s="204">
        <v>35</v>
      </c>
      <c r="H22" s="204">
        <v>66</v>
      </c>
      <c r="I22" s="204">
        <v>0</v>
      </c>
      <c r="J22" s="204">
        <v>5</v>
      </c>
      <c r="K22" s="204">
        <v>1499</v>
      </c>
      <c r="L22" s="90"/>
      <c r="M22" s="90"/>
      <c r="N22" s="90"/>
      <c r="O22" s="90"/>
      <c r="P22" s="90"/>
      <c r="Q22" s="90"/>
      <c r="R22" s="90"/>
      <c r="S22" s="90"/>
      <c r="T22" s="90"/>
    </row>
    <row r="23" spans="1:20" s="1" customFormat="1" ht="16.5" customHeight="1" x14ac:dyDescent="0.3">
      <c r="A23" s="305"/>
      <c r="B23" s="95" t="s">
        <v>511</v>
      </c>
      <c r="C23" s="204">
        <v>0</v>
      </c>
      <c r="D23" s="204">
        <v>1057</v>
      </c>
      <c r="E23" s="204">
        <v>891</v>
      </c>
      <c r="F23" s="204">
        <v>0</v>
      </c>
      <c r="G23" s="204">
        <v>0</v>
      </c>
      <c r="H23" s="204">
        <v>8</v>
      </c>
      <c r="I23" s="204">
        <v>0</v>
      </c>
      <c r="J23" s="204">
        <v>12</v>
      </c>
      <c r="K23" s="204">
        <v>1968</v>
      </c>
      <c r="L23" s="90"/>
      <c r="M23" s="90"/>
      <c r="N23" s="90"/>
      <c r="O23" s="90"/>
      <c r="P23" s="90"/>
      <c r="Q23" s="90"/>
      <c r="R23" s="90"/>
      <c r="S23" s="90"/>
      <c r="T23" s="90"/>
    </row>
    <row r="24" spans="1:20" s="1" customFormat="1" ht="16.5" customHeight="1" x14ac:dyDescent="0.3">
      <c r="A24" s="305"/>
      <c r="B24" s="95" t="s">
        <v>514</v>
      </c>
      <c r="C24" s="204">
        <v>0</v>
      </c>
      <c r="D24" s="204">
        <v>55</v>
      </c>
      <c r="E24" s="204">
        <v>48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103</v>
      </c>
      <c r="L24" s="90"/>
      <c r="M24" s="90"/>
      <c r="N24" s="90"/>
      <c r="O24" s="90"/>
      <c r="P24" s="90"/>
      <c r="Q24" s="90"/>
      <c r="R24" s="90"/>
      <c r="S24" s="90"/>
      <c r="T24" s="90"/>
    </row>
    <row r="25" spans="1:20" s="1" customFormat="1" ht="16.5" customHeight="1" x14ac:dyDescent="0.3">
      <c r="A25" s="305"/>
      <c r="B25" s="95" t="s">
        <v>512</v>
      </c>
      <c r="C25" s="204">
        <v>0</v>
      </c>
      <c r="D25" s="204">
        <v>16</v>
      </c>
      <c r="E25" s="204">
        <v>54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70</v>
      </c>
      <c r="L25" s="90"/>
      <c r="M25" s="90"/>
      <c r="N25" s="90"/>
      <c r="O25" s="90"/>
      <c r="P25" s="90"/>
      <c r="Q25" s="90"/>
      <c r="R25" s="90"/>
      <c r="S25" s="90"/>
      <c r="T25" s="90"/>
    </row>
    <row r="26" spans="1:20" s="1" customFormat="1" ht="16.5" customHeight="1" x14ac:dyDescent="0.3">
      <c r="A26" s="305"/>
      <c r="B26" s="95" t="s">
        <v>670</v>
      </c>
      <c r="C26" s="204">
        <v>0</v>
      </c>
      <c r="D26" s="204">
        <v>110</v>
      </c>
      <c r="E26" s="204">
        <v>92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202</v>
      </c>
      <c r="L26" s="90"/>
      <c r="M26" s="90"/>
      <c r="N26" s="90"/>
      <c r="O26" s="90"/>
      <c r="P26" s="90"/>
      <c r="Q26" s="90"/>
      <c r="R26" s="90"/>
      <c r="S26" s="90"/>
      <c r="T26" s="90"/>
    </row>
    <row r="27" spans="1:20" s="1" customFormat="1" ht="16.5" customHeight="1" x14ac:dyDescent="0.3">
      <c r="A27" s="305"/>
      <c r="B27" s="95" t="s">
        <v>516</v>
      </c>
      <c r="C27" s="204">
        <v>0</v>
      </c>
      <c r="D27" s="204">
        <v>79</v>
      </c>
      <c r="E27" s="204">
        <v>51</v>
      </c>
      <c r="F27" s="204">
        <v>0</v>
      </c>
      <c r="G27" s="204">
        <v>0</v>
      </c>
      <c r="H27" s="204">
        <v>0</v>
      </c>
      <c r="I27" s="204">
        <v>0</v>
      </c>
      <c r="J27" s="204">
        <v>53</v>
      </c>
      <c r="K27" s="204">
        <v>183</v>
      </c>
      <c r="L27" s="90"/>
      <c r="M27" s="90"/>
      <c r="N27" s="90"/>
      <c r="O27" s="90"/>
      <c r="P27" s="90"/>
      <c r="Q27" s="90"/>
      <c r="R27" s="90"/>
      <c r="S27" s="90"/>
      <c r="T27" s="90"/>
    </row>
    <row r="28" spans="1:20" s="1" customFormat="1" ht="16.5" customHeight="1" x14ac:dyDescent="0.3">
      <c r="A28" s="306"/>
      <c r="B28" s="97" t="s">
        <v>86</v>
      </c>
      <c r="C28" s="207">
        <v>0</v>
      </c>
      <c r="D28" s="207">
        <v>3355</v>
      </c>
      <c r="E28" s="207">
        <v>2866</v>
      </c>
      <c r="F28" s="207">
        <v>5</v>
      </c>
      <c r="G28" s="207">
        <v>44</v>
      </c>
      <c r="H28" s="207">
        <v>227</v>
      </c>
      <c r="I28" s="207">
        <v>0</v>
      </c>
      <c r="J28" s="207">
        <v>131</v>
      </c>
      <c r="K28" s="207">
        <v>6628</v>
      </c>
      <c r="L28" s="90"/>
      <c r="M28" s="90"/>
      <c r="N28" s="90"/>
      <c r="O28" s="90"/>
      <c r="P28" s="90"/>
      <c r="Q28" s="90"/>
      <c r="R28" s="90"/>
      <c r="S28" s="90"/>
      <c r="T28" s="90"/>
    </row>
    <row r="29" spans="1:20" s="1" customFormat="1" ht="16.5" customHeight="1" x14ac:dyDescent="0.3">
      <c r="A29" s="304" t="s">
        <v>142</v>
      </c>
      <c r="B29" s="95" t="s">
        <v>521</v>
      </c>
      <c r="C29" s="204">
        <v>0</v>
      </c>
      <c r="D29" s="204">
        <v>175</v>
      </c>
      <c r="E29" s="204">
        <v>168</v>
      </c>
      <c r="F29" s="204">
        <v>47</v>
      </c>
      <c r="G29" s="204">
        <v>171</v>
      </c>
      <c r="H29" s="204">
        <v>418</v>
      </c>
      <c r="I29" s="204">
        <v>0</v>
      </c>
      <c r="J29" s="204">
        <v>75</v>
      </c>
      <c r="K29" s="204">
        <v>1054</v>
      </c>
      <c r="L29" s="90"/>
      <c r="M29" s="90"/>
      <c r="N29" s="90"/>
      <c r="O29" s="90"/>
      <c r="P29" s="90"/>
      <c r="Q29" s="90"/>
      <c r="R29" s="90"/>
      <c r="S29" s="90"/>
      <c r="T29" s="90"/>
    </row>
    <row r="30" spans="1:20" s="1" customFormat="1" ht="16.5" customHeight="1" x14ac:dyDescent="0.3">
      <c r="A30" s="305"/>
      <c r="B30" s="95" t="s">
        <v>523</v>
      </c>
      <c r="C30" s="204">
        <v>0</v>
      </c>
      <c r="D30" s="204">
        <v>10</v>
      </c>
      <c r="E30" s="204">
        <v>22</v>
      </c>
      <c r="F30" s="204">
        <v>0</v>
      </c>
      <c r="G30" s="204">
        <v>0</v>
      </c>
      <c r="H30" s="204">
        <v>31</v>
      </c>
      <c r="I30" s="204">
        <v>0</v>
      </c>
      <c r="J30" s="204">
        <v>0</v>
      </c>
      <c r="K30" s="204">
        <v>63</v>
      </c>
      <c r="L30" s="90"/>
      <c r="M30" s="90"/>
      <c r="N30" s="90"/>
      <c r="O30" s="90"/>
      <c r="P30" s="90"/>
      <c r="Q30" s="90"/>
      <c r="R30" s="90"/>
      <c r="S30" s="90"/>
      <c r="T30" s="90"/>
    </row>
    <row r="31" spans="1:20" s="1" customFormat="1" ht="16.5" customHeight="1" x14ac:dyDescent="0.3">
      <c r="A31" s="305"/>
      <c r="B31" s="95" t="s">
        <v>519</v>
      </c>
      <c r="C31" s="204">
        <v>0</v>
      </c>
      <c r="D31" s="204">
        <v>24</v>
      </c>
      <c r="E31" s="204">
        <v>240</v>
      </c>
      <c r="F31" s="204">
        <v>25</v>
      </c>
      <c r="G31" s="204">
        <v>18</v>
      </c>
      <c r="H31" s="204">
        <v>49</v>
      </c>
      <c r="I31" s="204">
        <v>0</v>
      </c>
      <c r="J31" s="204">
        <v>10</v>
      </c>
      <c r="K31" s="204">
        <v>366</v>
      </c>
      <c r="L31" s="90"/>
      <c r="M31" s="90"/>
      <c r="N31" s="90"/>
      <c r="O31" s="90"/>
      <c r="P31" s="90"/>
      <c r="Q31" s="90"/>
      <c r="R31" s="90"/>
      <c r="S31" s="90"/>
      <c r="T31" s="90"/>
    </row>
    <row r="32" spans="1:20" s="1" customFormat="1" ht="16.5" customHeight="1" x14ac:dyDescent="0.3">
      <c r="A32" s="305"/>
      <c r="B32" s="95" t="s">
        <v>517</v>
      </c>
      <c r="C32" s="204">
        <v>0</v>
      </c>
      <c r="D32" s="204">
        <v>101</v>
      </c>
      <c r="E32" s="204">
        <v>249</v>
      </c>
      <c r="F32" s="204">
        <v>4</v>
      </c>
      <c r="G32" s="204">
        <v>0</v>
      </c>
      <c r="H32" s="204">
        <v>11</v>
      </c>
      <c r="I32" s="204">
        <v>0</v>
      </c>
      <c r="J32" s="204">
        <v>0</v>
      </c>
      <c r="K32" s="204">
        <v>365</v>
      </c>
      <c r="L32" s="90"/>
      <c r="M32" s="90"/>
      <c r="N32" s="90"/>
      <c r="O32" s="90"/>
      <c r="P32" s="90"/>
      <c r="Q32" s="90"/>
      <c r="R32" s="90"/>
      <c r="S32" s="90"/>
      <c r="T32" s="90"/>
    </row>
    <row r="33" spans="1:20" s="1" customFormat="1" ht="16.5" customHeight="1" x14ac:dyDescent="0.3">
      <c r="A33" s="305"/>
      <c r="B33" s="95" t="s">
        <v>520</v>
      </c>
      <c r="C33" s="204">
        <v>10</v>
      </c>
      <c r="D33" s="204">
        <v>67</v>
      </c>
      <c r="E33" s="204">
        <v>192</v>
      </c>
      <c r="F33" s="204">
        <v>1</v>
      </c>
      <c r="G33" s="204">
        <v>0</v>
      </c>
      <c r="H33" s="204">
        <v>27</v>
      </c>
      <c r="I33" s="204">
        <v>1</v>
      </c>
      <c r="J33" s="204">
        <v>36</v>
      </c>
      <c r="K33" s="204">
        <v>334</v>
      </c>
      <c r="L33" s="90"/>
      <c r="M33" s="90"/>
      <c r="N33" s="90"/>
      <c r="O33" s="90"/>
      <c r="P33" s="90"/>
      <c r="Q33" s="90"/>
      <c r="R33" s="90"/>
      <c r="S33" s="90"/>
      <c r="T33" s="90"/>
    </row>
    <row r="34" spans="1:20" s="1" customFormat="1" ht="16.5" customHeight="1" x14ac:dyDescent="0.3">
      <c r="A34" s="305"/>
      <c r="B34" s="95" t="s">
        <v>522</v>
      </c>
      <c r="C34" s="204">
        <v>0</v>
      </c>
      <c r="D34" s="204">
        <v>35</v>
      </c>
      <c r="E34" s="204">
        <v>49</v>
      </c>
      <c r="F34" s="204">
        <v>0</v>
      </c>
      <c r="G34" s="204">
        <v>0</v>
      </c>
      <c r="H34" s="204">
        <v>10</v>
      </c>
      <c r="I34" s="204">
        <v>0</v>
      </c>
      <c r="J34" s="204">
        <v>0</v>
      </c>
      <c r="K34" s="204">
        <v>94</v>
      </c>
      <c r="L34" s="90"/>
      <c r="M34" s="90"/>
      <c r="N34" s="90"/>
      <c r="O34" s="90"/>
      <c r="P34" s="90"/>
      <c r="Q34" s="90"/>
      <c r="R34" s="90"/>
      <c r="S34" s="90"/>
      <c r="T34" s="90"/>
    </row>
    <row r="35" spans="1:20" s="1" customFormat="1" ht="16.5" customHeight="1" x14ac:dyDescent="0.3">
      <c r="A35" s="305"/>
      <c r="B35" s="95" t="s">
        <v>518</v>
      </c>
      <c r="C35" s="204">
        <v>0</v>
      </c>
      <c r="D35" s="204">
        <v>139</v>
      </c>
      <c r="E35" s="204">
        <v>332</v>
      </c>
      <c r="F35" s="204">
        <v>0</v>
      </c>
      <c r="G35" s="204">
        <v>68</v>
      </c>
      <c r="H35" s="204">
        <v>90</v>
      </c>
      <c r="I35" s="204">
        <v>1</v>
      </c>
      <c r="J35" s="204">
        <v>2</v>
      </c>
      <c r="K35" s="204">
        <v>632</v>
      </c>
      <c r="L35" s="90"/>
      <c r="M35" s="90"/>
      <c r="N35" s="90"/>
      <c r="O35" s="90"/>
      <c r="P35" s="90"/>
      <c r="Q35" s="90"/>
      <c r="R35" s="90"/>
      <c r="S35" s="90"/>
      <c r="T35" s="90"/>
    </row>
    <row r="36" spans="1:20" s="1" customFormat="1" ht="16.5" customHeight="1" x14ac:dyDescent="0.3">
      <c r="A36" s="305"/>
      <c r="B36" s="95" t="s">
        <v>525</v>
      </c>
      <c r="C36" s="204">
        <v>0</v>
      </c>
      <c r="D36" s="204">
        <v>51</v>
      </c>
      <c r="E36" s="204">
        <v>76</v>
      </c>
      <c r="F36" s="204">
        <v>0</v>
      </c>
      <c r="G36" s="204">
        <v>4</v>
      </c>
      <c r="H36" s="204">
        <v>7</v>
      </c>
      <c r="I36" s="204">
        <v>0</v>
      </c>
      <c r="J36" s="204">
        <v>24</v>
      </c>
      <c r="K36" s="204">
        <v>162</v>
      </c>
      <c r="L36" s="90"/>
      <c r="M36" s="90"/>
      <c r="N36" s="90"/>
      <c r="O36" s="90"/>
      <c r="P36" s="90"/>
      <c r="Q36" s="90"/>
      <c r="R36" s="90"/>
      <c r="S36" s="90"/>
      <c r="T36" s="90"/>
    </row>
    <row r="37" spans="1:20" s="1" customFormat="1" ht="16.5" customHeight="1" x14ac:dyDescent="0.3">
      <c r="A37" s="305"/>
      <c r="B37" s="95" t="s">
        <v>671</v>
      </c>
      <c r="C37" s="204">
        <v>0</v>
      </c>
      <c r="D37" s="204">
        <v>254</v>
      </c>
      <c r="E37" s="204">
        <v>234</v>
      </c>
      <c r="F37" s="204">
        <v>17</v>
      </c>
      <c r="G37" s="204">
        <v>66</v>
      </c>
      <c r="H37" s="204">
        <v>136</v>
      </c>
      <c r="I37" s="204">
        <v>0</v>
      </c>
      <c r="J37" s="204">
        <v>308</v>
      </c>
      <c r="K37" s="204">
        <v>1015</v>
      </c>
      <c r="L37" s="90"/>
      <c r="M37" s="90"/>
      <c r="N37" s="90"/>
      <c r="O37" s="90"/>
      <c r="P37" s="90"/>
      <c r="Q37" s="90"/>
      <c r="R37" s="90"/>
      <c r="S37" s="90"/>
      <c r="T37" s="90"/>
    </row>
    <row r="38" spans="1:20" s="1" customFormat="1" ht="16.5" customHeight="1" x14ac:dyDescent="0.3">
      <c r="A38" s="305"/>
      <c r="B38" s="95" t="s">
        <v>524</v>
      </c>
      <c r="C38" s="204">
        <v>0</v>
      </c>
      <c r="D38" s="204">
        <v>81</v>
      </c>
      <c r="E38" s="204">
        <v>176</v>
      </c>
      <c r="F38" s="204">
        <v>42</v>
      </c>
      <c r="G38" s="204">
        <v>32</v>
      </c>
      <c r="H38" s="204">
        <v>153</v>
      </c>
      <c r="I38" s="204">
        <v>0</v>
      </c>
      <c r="J38" s="204">
        <v>1</v>
      </c>
      <c r="K38" s="204">
        <v>485</v>
      </c>
      <c r="L38" s="90"/>
      <c r="M38" s="90"/>
      <c r="N38" s="90"/>
      <c r="O38" s="90"/>
      <c r="P38" s="90"/>
      <c r="Q38" s="90"/>
      <c r="R38" s="90"/>
      <c r="S38" s="90"/>
      <c r="T38" s="90"/>
    </row>
    <row r="39" spans="1:20" s="1" customFormat="1" ht="16.5" customHeight="1" x14ac:dyDescent="0.3">
      <c r="A39" s="305"/>
      <c r="B39" s="95" t="s">
        <v>526</v>
      </c>
      <c r="C39" s="204">
        <v>9</v>
      </c>
      <c r="D39" s="204">
        <v>712</v>
      </c>
      <c r="E39" s="204">
        <v>68</v>
      </c>
      <c r="F39" s="204">
        <v>12</v>
      </c>
      <c r="G39" s="204">
        <v>3</v>
      </c>
      <c r="H39" s="204">
        <v>44</v>
      </c>
      <c r="I39" s="204">
        <v>0</v>
      </c>
      <c r="J39" s="204">
        <v>13</v>
      </c>
      <c r="K39" s="204">
        <v>861</v>
      </c>
      <c r="L39" s="90"/>
      <c r="M39" s="90"/>
      <c r="N39" s="90"/>
      <c r="O39" s="90"/>
      <c r="P39" s="90"/>
      <c r="Q39" s="90"/>
      <c r="R39" s="90"/>
      <c r="S39" s="90"/>
      <c r="T39" s="90"/>
    </row>
    <row r="40" spans="1:20" s="1" customFormat="1" ht="16.5" customHeight="1" x14ac:dyDescent="0.3">
      <c r="A40" s="306"/>
      <c r="B40" s="97" t="s">
        <v>86</v>
      </c>
      <c r="C40" s="207">
        <v>19</v>
      </c>
      <c r="D40" s="207">
        <v>1648</v>
      </c>
      <c r="E40" s="207">
        <v>1806</v>
      </c>
      <c r="F40" s="207">
        <v>147</v>
      </c>
      <c r="G40" s="207">
        <v>363</v>
      </c>
      <c r="H40" s="207">
        <v>974</v>
      </c>
      <c r="I40" s="207">
        <v>1</v>
      </c>
      <c r="J40" s="207">
        <v>469</v>
      </c>
      <c r="K40" s="207">
        <v>5427</v>
      </c>
      <c r="L40" s="90"/>
      <c r="M40" s="90"/>
      <c r="N40" s="90"/>
      <c r="O40" s="90"/>
      <c r="P40" s="90"/>
      <c r="Q40" s="90"/>
      <c r="R40" s="90"/>
      <c r="S40" s="90"/>
      <c r="T40" s="90"/>
    </row>
    <row r="41" spans="1:20" s="1" customFormat="1" ht="16.5" customHeight="1" x14ac:dyDescent="0.3">
      <c r="A41" s="304" t="s">
        <v>771</v>
      </c>
      <c r="B41" s="95" t="s">
        <v>535</v>
      </c>
      <c r="C41" s="204">
        <v>0</v>
      </c>
      <c r="D41" s="204">
        <v>1538</v>
      </c>
      <c r="E41" s="204">
        <v>24</v>
      </c>
      <c r="F41" s="204">
        <v>0</v>
      </c>
      <c r="G41" s="204">
        <v>0</v>
      </c>
      <c r="H41" s="204">
        <v>8</v>
      </c>
      <c r="I41" s="204">
        <v>0</v>
      </c>
      <c r="J41" s="204">
        <v>12</v>
      </c>
      <c r="K41" s="204">
        <v>1582</v>
      </c>
      <c r="L41" s="90"/>
      <c r="M41" s="90"/>
      <c r="N41" s="90"/>
      <c r="O41" s="90"/>
      <c r="P41" s="90"/>
      <c r="Q41" s="90"/>
      <c r="R41" s="90"/>
      <c r="S41" s="90"/>
      <c r="T41" s="90"/>
    </row>
    <row r="42" spans="1:20" s="1" customFormat="1" ht="16.5" customHeight="1" x14ac:dyDescent="0.3">
      <c r="A42" s="305"/>
      <c r="B42" s="95" t="s">
        <v>531</v>
      </c>
      <c r="C42" s="204">
        <v>477</v>
      </c>
      <c r="D42" s="204">
        <v>27</v>
      </c>
      <c r="E42" s="204">
        <v>63</v>
      </c>
      <c r="F42" s="204">
        <v>0</v>
      </c>
      <c r="G42" s="204">
        <v>0</v>
      </c>
      <c r="H42" s="204">
        <v>29</v>
      </c>
      <c r="I42" s="204">
        <v>56</v>
      </c>
      <c r="J42" s="204">
        <v>117</v>
      </c>
      <c r="K42" s="204">
        <v>769</v>
      </c>
      <c r="L42" s="90"/>
      <c r="M42" s="90"/>
      <c r="N42" s="90"/>
      <c r="O42" s="90"/>
      <c r="P42" s="90"/>
      <c r="Q42" s="90"/>
      <c r="R42" s="90"/>
      <c r="S42" s="90"/>
      <c r="T42" s="90"/>
    </row>
    <row r="43" spans="1:20" s="1" customFormat="1" ht="16.5" customHeight="1" x14ac:dyDescent="0.3">
      <c r="A43" s="305"/>
      <c r="B43" s="95" t="s">
        <v>672</v>
      </c>
      <c r="C43" s="204">
        <v>70</v>
      </c>
      <c r="D43" s="204">
        <v>131</v>
      </c>
      <c r="E43" s="204">
        <v>236</v>
      </c>
      <c r="F43" s="204">
        <v>14</v>
      </c>
      <c r="G43" s="204">
        <v>0</v>
      </c>
      <c r="H43" s="204">
        <v>23</v>
      </c>
      <c r="I43" s="204">
        <v>0</v>
      </c>
      <c r="J43" s="204">
        <v>89</v>
      </c>
      <c r="K43" s="204">
        <v>563</v>
      </c>
      <c r="L43" s="90"/>
      <c r="M43" s="90"/>
      <c r="N43" s="90"/>
      <c r="O43" s="90"/>
      <c r="P43" s="90"/>
      <c r="Q43" s="90"/>
      <c r="R43" s="90"/>
      <c r="S43" s="90"/>
      <c r="T43" s="90"/>
    </row>
    <row r="44" spans="1:20" s="1" customFormat="1" ht="16.5" customHeight="1" x14ac:dyDescent="0.3">
      <c r="A44" s="305"/>
      <c r="B44" s="95" t="s">
        <v>530</v>
      </c>
      <c r="C44" s="204">
        <v>6</v>
      </c>
      <c r="D44" s="204">
        <v>33</v>
      </c>
      <c r="E44" s="204">
        <v>203</v>
      </c>
      <c r="F44" s="204">
        <v>4</v>
      </c>
      <c r="G44" s="204">
        <v>0</v>
      </c>
      <c r="H44" s="204">
        <v>33</v>
      </c>
      <c r="I44" s="204">
        <v>0</v>
      </c>
      <c r="J44" s="204">
        <v>33</v>
      </c>
      <c r="K44" s="204">
        <v>312</v>
      </c>
      <c r="L44" s="90"/>
      <c r="M44" s="90"/>
      <c r="N44" s="90"/>
      <c r="O44" s="90"/>
      <c r="P44" s="90"/>
      <c r="Q44" s="90"/>
      <c r="R44" s="90"/>
      <c r="S44" s="90"/>
      <c r="T44" s="90"/>
    </row>
    <row r="45" spans="1:20" s="1" customFormat="1" ht="16.5" customHeight="1" x14ac:dyDescent="0.3">
      <c r="A45" s="305"/>
      <c r="B45" s="95" t="s">
        <v>537</v>
      </c>
      <c r="C45" s="204">
        <v>0</v>
      </c>
      <c r="D45" s="204">
        <v>547</v>
      </c>
      <c r="E45" s="204">
        <v>38</v>
      </c>
      <c r="F45" s="204">
        <v>0</v>
      </c>
      <c r="G45" s="204">
        <v>0</v>
      </c>
      <c r="H45" s="204">
        <v>4</v>
      </c>
      <c r="I45" s="204">
        <v>0</v>
      </c>
      <c r="J45" s="204">
        <v>35</v>
      </c>
      <c r="K45" s="204">
        <v>624</v>
      </c>
      <c r="L45" s="90"/>
      <c r="M45" s="90"/>
      <c r="N45" s="90"/>
      <c r="O45" s="90"/>
      <c r="P45" s="90"/>
      <c r="Q45" s="90"/>
      <c r="R45" s="90"/>
      <c r="S45" s="90"/>
      <c r="T45" s="90"/>
    </row>
    <row r="46" spans="1:20" s="1" customFormat="1" ht="16.5" customHeight="1" x14ac:dyDescent="0.3">
      <c r="A46" s="305"/>
      <c r="B46" s="95" t="s">
        <v>673</v>
      </c>
      <c r="C46" s="204">
        <v>95</v>
      </c>
      <c r="D46" s="204">
        <v>116</v>
      </c>
      <c r="E46" s="204">
        <v>155</v>
      </c>
      <c r="F46" s="204">
        <v>0</v>
      </c>
      <c r="G46" s="204">
        <v>0</v>
      </c>
      <c r="H46" s="204">
        <v>50</v>
      </c>
      <c r="I46" s="204">
        <v>51</v>
      </c>
      <c r="J46" s="204">
        <v>12</v>
      </c>
      <c r="K46" s="204">
        <v>479</v>
      </c>
      <c r="L46" s="90"/>
      <c r="M46" s="90"/>
      <c r="N46" s="90"/>
      <c r="O46" s="90"/>
      <c r="P46" s="90"/>
      <c r="Q46" s="90"/>
      <c r="R46" s="90"/>
      <c r="S46" s="90"/>
      <c r="T46" s="90"/>
    </row>
    <row r="47" spans="1:20" s="1" customFormat="1" ht="16.5" customHeight="1" x14ac:dyDescent="0.3">
      <c r="A47" s="305"/>
      <c r="B47" s="95" t="s">
        <v>528</v>
      </c>
      <c r="C47" s="204">
        <v>2</v>
      </c>
      <c r="D47" s="204">
        <v>179</v>
      </c>
      <c r="E47" s="204">
        <v>86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267</v>
      </c>
      <c r="L47" s="90"/>
      <c r="M47" s="90"/>
      <c r="N47" s="90"/>
      <c r="O47" s="90"/>
      <c r="P47" s="90"/>
      <c r="Q47" s="90"/>
      <c r="R47" s="90"/>
      <c r="S47" s="90"/>
      <c r="T47" s="90"/>
    </row>
    <row r="48" spans="1:20" s="1" customFormat="1" ht="16.5" customHeight="1" x14ac:dyDescent="0.3">
      <c r="A48" s="305"/>
      <c r="B48" s="95" t="s">
        <v>529</v>
      </c>
      <c r="C48" s="204">
        <v>1</v>
      </c>
      <c r="D48" s="204">
        <v>19</v>
      </c>
      <c r="E48" s="204">
        <v>27</v>
      </c>
      <c r="F48" s="204">
        <v>0</v>
      </c>
      <c r="G48" s="204">
        <v>0</v>
      </c>
      <c r="H48" s="204">
        <v>1</v>
      </c>
      <c r="I48" s="204">
        <v>0</v>
      </c>
      <c r="J48" s="204">
        <v>0</v>
      </c>
      <c r="K48" s="204">
        <v>48</v>
      </c>
      <c r="L48" s="90"/>
      <c r="M48" s="90"/>
      <c r="N48" s="90"/>
      <c r="O48" s="90"/>
      <c r="P48" s="90"/>
      <c r="Q48" s="90"/>
      <c r="R48" s="90"/>
      <c r="S48" s="90"/>
      <c r="T48" s="90"/>
    </row>
    <row r="49" spans="1:20" s="1" customFormat="1" ht="16.5" customHeight="1" x14ac:dyDescent="0.3">
      <c r="A49" s="305"/>
      <c r="B49" s="95" t="s">
        <v>527</v>
      </c>
      <c r="C49" s="204">
        <v>6</v>
      </c>
      <c r="D49" s="204">
        <v>560</v>
      </c>
      <c r="E49" s="204">
        <v>134</v>
      </c>
      <c r="F49" s="204">
        <v>0</v>
      </c>
      <c r="G49" s="204">
        <v>5</v>
      </c>
      <c r="H49" s="204">
        <v>9</v>
      </c>
      <c r="I49" s="204">
        <v>0</v>
      </c>
      <c r="J49" s="204">
        <v>0</v>
      </c>
      <c r="K49" s="204">
        <v>714</v>
      </c>
      <c r="L49" s="90"/>
      <c r="M49" s="90"/>
      <c r="N49" s="90"/>
      <c r="O49" s="90"/>
      <c r="P49" s="90"/>
      <c r="Q49" s="90"/>
      <c r="R49" s="90"/>
      <c r="S49" s="90"/>
      <c r="T49" s="90"/>
    </row>
    <row r="50" spans="1:20" s="1" customFormat="1" ht="16.5" customHeight="1" x14ac:dyDescent="0.3">
      <c r="A50" s="305"/>
      <c r="B50" s="95" t="s">
        <v>538</v>
      </c>
      <c r="C50" s="204">
        <v>0</v>
      </c>
      <c r="D50" s="204">
        <v>367</v>
      </c>
      <c r="E50" s="204">
        <v>8</v>
      </c>
      <c r="F50" s="204">
        <v>0</v>
      </c>
      <c r="G50" s="204">
        <v>1</v>
      </c>
      <c r="H50" s="204">
        <v>1</v>
      </c>
      <c r="I50" s="204">
        <v>0</v>
      </c>
      <c r="J50" s="204">
        <v>0</v>
      </c>
      <c r="K50" s="204">
        <v>377</v>
      </c>
      <c r="L50" s="90"/>
      <c r="M50" s="90"/>
      <c r="N50" s="90"/>
      <c r="O50" s="90"/>
      <c r="P50" s="90"/>
      <c r="Q50" s="90"/>
      <c r="R50" s="90"/>
      <c r="S50" s="90"/>
      <c r="T50" s="90"/>
    </row>
    <row r="51" spans="1:20" s="1" customFormat="1" ht="16.5" customHeight="1" x14ac:dyDescent="0.3">
      <c r="A51" s="305"/>
      <c r="B51" s="95" t="s">
        <v>536</v>
      </c>
      <c r="C51" s="204">
        <v>0</v>
      </c>
      <c r="D51" s="204">
        <v>223</v>
      </c>
      <c r="E51" s="204">
        <v>132</v>
      </c>
      <c r="F51" s="204">
        <v>0</v>
      </c>
      <c r="G51" s="204">
        <v>0</v>
      </c>
      <c r="H51" s="204">
        <v>0</v>
      </c>
      <c r="I51" s="204">
        <v>0</v>
      </c>
      <c r="J51" s="204">
        <v>1</v>
      </c>
      <c r="K51" s="204">
        <v>356</v>
      </c>
      <c r="L51" s="90"/>
      <c r="M51" s="90"/>
      <c r="N51" s="90"/>
      <c r="O51" s="90"/>
      <c r="P51" s="90"/>
      <c r="Q51" s="90"/>
      <c r="R51" s="90"/>
      <c r="S51" s="90"/>
      <c r="T51" s="90"/>
    </row>
    <row r="52" spans="1:20" s="1" customFormat="1" ht="16.5" customHeight="1" x14ac:dyDescent="0.3">
      <c r="A52" s="305"/>
      <c r="B52" s="95" t="s">
        <v>532</v>
      </c>
      <c r="C52" s="204">
        <v>0</v>
      </c>
      <c r="D52" s="204">
        <v>352</v>
      </c>
      <c r="E52" s="204">
        <v>229</v>
      </c>
      <c r="F52" s="204">
        <v>2</v>
      </c>
      <c r="G52" s="204">
        <v>0</v>
      </c>
      <c r="H52" s="204">
        <v>134</v>
      </c>
      <c r="I52" s="204">
        <v>0</v>
      </c>
      <c r="J52" s="204">
        <v>23</v>
      </c>
      <c r="K52" s="204">
        <v>740</v>
      </c>
      <c r="L52" s="90"/>
      <c r="M52" s="90"/>
      <c r="N52" s="90"/>
      <c r="O52" s="90"/>
      <c r="P52" s="90"/>
      <c r="Q52" s="90"/>
      <c r="R52" s="90"/>
      <c r="S52" s="90"/>
      <c r="T52" s="90"/>
    </row>
    <row r="53" spans="1:20" s="1" customFormat="1" ht="16.5" customHeight="1" x14ac:dyDescent="0.3">
      <c r="A53" s="305"/>
      <c r="B53" s="95" t="s">
        <v>534</v>
      </c>
      <c r="C53" s="204">
        <v>0</v>
      </c>
      <c r="D53" s="204">
        <v>131</v>
      </c>
      <c r="E53" s="204">
        <v>75</v>
      </c>
      <c r="F53" s="204">
        <v>0</v>
      </c>
      <c r="G53" s="204">
        <v>3</v>
      </c>
      <c r="H53" s="204">
        <v>40</v>
      </c>
      <c r="I53" s="204">
        <v>0</v>
      </c>
      <c r="J53" s="204">
        <v>3</v>
      </c>
      <c r="K53" s="204">
        <v>252</v>
      </c>
      <c r="L53" s="90"/>
      <c r="M53" s="90"/>
      <c r="N53" s="90"/>
      <c r="O53" s="90"/>
      <c r="P53" s="90"/>
      <c r="Q53" s="90"/>
      <c r="R53" s="90"/>
      <c r="S53" s="90"/>
      <c r="T53" s="90"/>
    </row>
    <row r="54" spans="1:20" s="1" customFormat="1" ht="16.5" customHeight="1" x14ac:dyDescent="0.3">
      <c r="A54" s="305"/>
      <c r="B54" s="95" t="s">
        <v>533</v>
      </c>
      <c r="C54" s="204">
        <v>1</v>
      </c>
      <c r="D54" s="204">
        <v>272</v>
      </c>
      <c r="E54" s="204">
        <v>36</v>
      </c>
      <c r="F54" s="204">
        <v>0</v>
      </c>
      <c r="G54" s="204">
        <v>56</v>
      </c>
      <c r="H54" s="204">
        <v>53</v>
      </c>
      <c r="I54" s="204">
        <v>0</v>
      </c>
      <c r="J54" s="204">
        <v>2</v>
      </c>
      <c r="K54" s="204">
        <v>420</v>
      </c>
      <c r="L54" s="90"/>
      <c r="M54" s="90"/>
      <c r="N54" s="90"/>
      <c r="O54" s="90"/>
      <c r="P54" s="90"/>
      <c r="Q54" s="90"/>
      <c r="R54" s="90"/>
      <c r="S54" s="90"/>
      <c r="T54" s="90"/>
    </row>
    <row r="55" spans="1:20" s="1" customFormat="1" ht="16.5" customHeight="1" x14ac:dyDescent="0.3">
      <c r="A55" s="305"/>
      <c r="B55" s="95" t="s">
        <v>539</v>
      </c>
      <c r="C55" s="204">
        <v>0</v>
      </c>
      <c r="D55" s="204">
        <v>45</v>
      </c>
      <c r="E55" s="204">
        <v>28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73</v>
      </c>
      <c r="L55" s="90"/>
      <c r="M55" s="90"/>
      <c r="N55" s="90"/>
      <c r="O55" s="90"/>
      <c r="P55" s="90"/>
      <c r="Q55" s="90"/>
      <c r="R55" s="90"/>
      <c r="S55" s="90"/>
      <c r="T55" s="90"/>
    </row>
    <row r="56" spans="1:20" s="1" customFormat="1" ht="16.5" customHeight="1" x14ac:dyDescent="0.3">
      <c r="A56" s="306"/>
      <c r="B56" s="97" t="s">
        <v>86</v>
      </c>
      <c r="C56" s="207">
        <v>659</v>
      </c>
      <c r="D56" s="207">
        <v>4541</v>
      </c>
      <c r="E56" s="207">
        <v>1473</v>
      </c>
      <c r="F56" s="207">
        <v>20</v>
      </c>
      <c r="G56" s="207">
        <v>65</v>
      </c>
      <c r="H56" s="207">
        <v>383</v>
      </c>
      <c r="I56" s="207">
        <v>107</v>
      </c>
      <c r="J56" s="207">
        <v>327</v>
      </c>
      <c r="K56" s="207">
        <v>7575</v>
      </c>
      <c r="L56" s="90"/>
      <c r="M56" s="90"/>
      <c r="N56" s="90"/>
      <c r="O56" s="90"/>
      <c r="P56" s="90"/>
      <c r="Q56" s="90"/>
      <c r="R56" s="90"/>
      <c r="S56" s="90"/>
      <c r="T56" s="90"/>
    </row>
    <row r="57" spans="1:20" s="1" customFormat="1" ht="16.5" customHeight="1" x14ac:dyDescent="0.3">
      <c r="A57" s="304" t="s">
        <v>144</v>
      </c>
      <c r="B57" s="95" t="s">
        <v>674</v>
      </c>
      <c r="C57" s="204">
        <v>10</v>
      </c>
      <c r="D57" s="204">
        <v>71</v>
      </c>
      <c r="E57" s="204">
        <v>510</v>
      </c>
      <c r="F57" s="204">
        <v>0</v>
      </c>
      <c r="G57" s="204">
        <v>1</v>
      </c>
      <c r="H57" s="204">
        <v>100</v>
      </c>
      <c r="I57" s="204">
        <v>0</v>
      </c>
      <c r="J57" s="204">
        <v>13</v>
      </c>
      <c r="K57" s="204">
        <v>705</v>
      </c>
      <c r="L57" s="90"/>
      <c r="M57" s="90"/>
      <c r="N57" s="90"/>
      <c r="O57" s="90"/>
      <c r="P57" s="90"/>
      <c r="Q57" s="90"/>
      <c r="R57" s="90"/>
      <c r="S57" s="90"/>
      <c r="T57" s="90"/>
    </row>
    <row r="58" spans="1:20" s="1" customFormat="1" ht="16.5" customHeight="1" x14ac:dyDescent="0.3">
      <c r="A58" s="305"/>
      <c r="B58" s="95" t="s">
        <v>541</v>
      </c>
      <c r="C58" s="204">
        <v>11</v>
      </c>
      <c r="D58" s="204">
        <v>252</v>
      </c>
      <c r="E58" s="204">
        <v>623</v>
      </c>
      <c r="F58" s="204">
        <v>0</v>
      </c>
      <c r="G58" s="204">
        <v>1</v>
      </c>
      <c r="H58" s="204">
        <v>34</v>
      </c>
      <c r="I58" s="204">
        <v>0</v>
      </c>
      <c r="J58" s="204">
        <v>16</v>
      </c>
      <c r="K58" s="204">
        <v>937</v>
      </c>
      <c r="L58" s="90"/>
      <c r="M58" s="90"/>
      <c r="N58" s="90"/>
      <c r="O58" s="90"/>
      <c r="P58" s="90"/>
      <c r="Q58" s="90"/>
      <c r="R58" s="90"/>
      <c r="S58" s="90"/>
      <c r="T58" s="90"/>
    </row>
    <row r="59" spans="1:20" s="1" customFormat="1" ht="16.5" customHeight="1" x14ac:dyDescent="0.3">
      <c r="A59" s="305"/>
      <c r="B59" s="95" t="s">
        <v>542</v>
      </c>
      <c r="C59" s="204">
        <v>171</v>
      </c>
      <c r="D59" s="204">
        <v>88</v>
      </c>
      <c r="E59" s="204">
        <v>338</v>
      </c>
      <c r="F59" s="204">
        <v>0</v>
      </c>
      <c r="G59" s="204">
        <v>0</v>
      </c>
      <c r="H59" s="204">
        <v>29</v>
      </c>
      <c r="I59" s="204">
        <v>0</v>
      </c>
      <c r="J59" s="204">
        <v>28</v>
      </c>
      <c r="K59" s="204">
        <v>654</v>
      </c>
      <c r="L59" s="90"/>
      <c r="M59" s="90"/>
      <c r="N59" s="90"/>
      <c r="O59" s="90"/>
      <c r="P59" s="90"/>
      <c r="Q59" s="90"/>
      <c r="R59" s="90"/>
      <c r="S59" s="90"/>
      <c r="T59" s="90"/>
    </row>
    <row r="60" spans="1:20" s="1" customFormat="1" ht="16.5" customHeight="1" x14ac:dyDescent="0.3">
      <c r="A60" s="305"/>
      <c r="B60" s="95" t="s">
        <v>540</v>
      </c>
      <c r="C60" s="204">
        <v>8</v>
      </c>
      <c r="D60" s="204">
        <v>246</v>
      </c>
      <c r="E60" s="204">
        <v>1359</v>
      </c>
      <c r="F60" s="204">
        <v>0</v>
      </c>
      <c r="G60" s="204">
        <v>0</v>
      </c>
      <c r="H60" s="204">
        <v>68</v>
      </c>
      <c r="I60" s="204">
        <v>0</v>
      </c>
      <c r="J60" s="204">
        <v>17</v>
      </c>
      <c r="K60" s="204">
        <v>1698</v>
      </c>
      <c r="L60" s="90"/>
      <c r="M60" s="90"/>
      <c r="N60" s="90"/>
      <c r="O60" s="90"/>
      <c r="P60" s="90"/>
      <c r="Q60" s="90"/>
      <c r="R60" s="90"/>
      <c r="S60" s="90"/>
      <c r="T60" s="90"/>
    </row>
    <row r="61" spans="1:20" s="1" customFormat="1" ht="16.5" customHeight="1" x14ac:dyDescent="0.3">
      <c r="A61" s="305"/>
      <c r="B61" s="95" t="s">
        <v>545</v>
      </c>
      <c r="C61" s="204">
        <v>15</v>
      </c>
      <c r="D61" s="204">
        <v>237</v>
      </c>
      <c r="E61" s="204">
        <v>263</v>
      </c>
      <c r="F61" s="204">
        <v>0</v>
      </c>
      <c r="G61" s="204">
        <v>90</v>
      </c>
      <c r="H61" s="204">
        <v>585</v>
      </c>
      <c r="I61" s="204">
        <v>0</v>
      </c>
      <c r="J61" s="204">
        <v>205</v>
      </c>
      <c r="K61" s="204">
        <v>1395</v>
      </c>
      <c r="L61" s="90"/>
      <c r="M61" s="90"/>
      <c r="N61" s="90"/>
      <c r="O61" s="90"/>
      <c r="P61" s="90"/>
      <c r="Q61" s="90"/>
      <c r="R61" s="90"/>
      <c r="S61" s="90"/>
      <c r="T61" s="90"/>
    </row>
    <row r="62" spans="1:20" s="1" customFormat="1" ht="16.5" customHeight="1" x14ac:dyDescent="0.3">
      <c r="A62" s="305"/>
      <c r="B62" s="95" t="s">
        <v>544</v>
      </c>
      <c r="C62" s="204">
        <v>9</v>
      </c>
      <c r="D62" s="204">
        <v>165</v>
      </c>
      <c r="E62" s="204">
        <v>376</v>
      </c>
      <c r="F62" s="204">
        <v>14</v>
      </c>
      <c r="G62" s="204">
        <v>3</v>
      </c>
      <c r="H62" s="204">
        <v>109</v>
      </c>
      <c r="I62" s="204">
        <v>0</v>
      </c>
      <c r="J62" s="204">
        <v>68</v>
      </c>
      <c r="K62" s="204">
        <v>744</v>
      </c>
      <c r="L62" s="90"/>
      <c r="M62" s="90"/>
      <c r="N62" s="90"/>
      <c r="O62" s="90"/>
      <c r="P62" s="90"/>
      <c r="Q62" s="90"/>
      <c r="R62" s="90"/>
      <c r="S62" s="90"/>
      <c r="T62" s="90"/>
    </row>
    <row r="63" spans="1:20" s="1" customFormat="1" ht="16.5" customHeight="1" x14ac:dyDescent="0.3">
      <c r="A63" s="305"/>
      <c r="B63" s="95" t="s">
        <v>546</v>
      </c>
      <c r="C63" s="204">
        <v>7</v>
      </c>
      <c r="D63" s="204">
        <v>71</v>
      </c>
      <c r="E63" s="204">
        <v>66</v>
      </c>
      <c r="F63" s="204">
        <v>0</v>
      </c>
      <c r="G63" s="204">
        <v>3</v>
      </c>
      <c r="H63" s="204">
        <v>9</v>
      </c>
      <c r="I63" s="204">
        <v>0</v>
      </c>
      <c r="J63" s="204">
        <v>3</v>
      </c>
      <c r="K63" s="204">
        <v>159</v>
      </c>
      <c r="L63" s="90"/>
      <c r="M63" s="90"/>
      <c r="N63" s="90"/>
      <c r="O63" s="90"/>
      <c r="P63" s="90"/>
      <c r="Q63" s="90"/>
      <c r="R63" s="90"/>
      <c r="S63" s="90"/>
      <c r="T63" s="90"/>
    </row>
    <row r="64" spans="1:20" s="1" customFormat="1" ht="16.5" customHeight="1" x14ac:dyDescent="0.3">
      <c r="A64" s="305"/>
      <c r="B64" s="95" t="s">
        <v>675</v>
      </c>
      <c r="C64" s="204">
        <v>0</v>
      </c>
      <c r="D64" s="204">
        <v>137</v>
      </c>
      <c r="E64" s="204">
        <v>362</v>
      </c>
      <c r="F64" s="204">
        <v>0</v>
      </c>
      <c r="G64" s="204">
        <v>0</v>
      </c>
      <c r="H64" s="204">
        <v>28</v>
      </c>
      <c r="I64" s="204">
        <v>0</v>
      </c>
      <c r="J64" s="204">
        <v>14</v>
      </c>
      <c r="K64" s="204">
        <v>541</v>
      </c>
      <c r="L64" s="90"/>
      <c r="M64" s="90"/>
      <c r="N64" s="90"/>
      <c r="O64" s="90"/>
      <c r="P64" s="90"/>
      <c r="Q64" s="90"/>
      <c r="R64" s="90"/>
      <c r="S64" s="90"/>
      <c r="T64" s="90"/>
    </row>
    <row r="65" spans="1:20" s="1" customFormat="1" ht="16.5" customHeight="1" x14ac:dyDescent="0.3">
      <c r="A65" s="305"/>
      <c r="B65" s="95" t="s">
        <v>676</v>
      </c>
      <c r="C65" s="204">
        <v>54</v>
      </c>
      <c r="D65" s="204">
        <v>208</v>
      </c>
      <c r="E65" s="204">
        <v>581</v>
      </c>
      <c r="F65" s="204">
        <v>0</v>
      </c>
      <c r="G65" s="204">
        <v>5</v>
      </c>
      <c r="H65" s="204">
        <v>120</v>
      </c>
      <c r="I65" s="204">
        <v>0</v>
      </c>
      <c r="J65" s="204">
        <v>60</v>
      </c>
      <c r="K65" s="204">
        <v>1028</v>
      </c>
      <c r="L65" s="90"/>
      <c r="M65" s="90"/>
      <c r="N65" s="90"/>
      <c r="O65" s="90"/>
      <c r="P65" s="90"/>
      <c r="Q65" s="90"/>
      <c r="R65" s="90"/>
      <c r="S65" s="90"/>
      <c r="T65" s="90"/>
    </row>
    <row r="66" spans="1:20" s="1" customFormat="1" ht="16.5" customHeight="1" x14ac:dyDescent="0.3">
      <c r="A66" s="305"/>
      <c r="B66" s="95" t="s">
        <v>543</v>
      </c>
      <c r="C66" s="204">
        <v>19</v>
      </c>
      <c r="D66" s="204">
        <v>461</v>
      </c>
      <c r="E66" s="204">
        <v>958</v>
      </c>
      <c r="F66" s="204">
        <v>1</v>
      </c>
      <c r="G66" s="204">
        <v>22</v>
      </c>
      <c r="H66" s="204">
        <v>324</v>
      </c>
      <c r="I66" s="204">
        <v>0</v>
      </c>
      <c r="J66" s="204">
        <v>93</v>
      </c>
      <c r="K66" s="204">
        <v>1878</v>
      </c>
      <c r="L66" s="90"/>
      <c r="M66" s="90"/>
      <c r="N66" s="90"/>
      <c r="O66" s="90"/>
      <c r="P66" s="90"/>
      <c r="Q66" s="90"/>
      <c r="R66" s="90"/>
      <c r="S66" s="90"/>
      <c r="T66" s="90"/>
    </row>
    <row r="67" spans="1:20" s="1" customFormat="1" ht="16.5" customHeight="1" x14ac:dyDescent="0.3">
      <c r="A67" s="305"/>
      <c r="B67" s="95" t="s">
        <v>547</v>
      </c>
      <c r="C67" s="204">
        <v>9</v>
      </c>
      <c r="D67" s="204">
        <v>936</v>
      </c>
      <c r="E67" s="204">
        <v>227</v>
      </c>
      <c r="F67" s="204">
        <v>0</v>
      </c>
      <c r="G67" s="204">
        <v>0</v>
      </c>
      <c r="H67" s="204">
        <v>44</v>
      </c>
      <c r="I67" s="204">
        <v>2</v>
      </c>
      <c r="J67" s="204">
        <v>163</v>
      </c>
      <c r="K67" s="204">
        <v>1381</v>
      </c>
      <c r="L67" s="90"/>
      <c r="M67" s="90"/>
      <c r="N67" s="90"/>
      <c r="O67" s="90"/>
      <c r="P67" s="90"/>
      <c r="Q67" s="90"/>
      <c r="R67" s="90"/>
      <c r="S67" s="90"/>
      <c r="T67" s="90"/>
    </row>
    <row r="68" spans="1:20" s="1" customFormat="1" ht="16.5" customHeight="1" x14ac:dyDescent="0.3">
      <c r="A68" s="306"/>
      <c r="B68" s="97" t="s">
        <v>86</v>
      </c>
      <c r="C68" s="207">
        <v>313</v>
      </c>
      <c r="D68" s="207">
        <v>2871</v>
      </c>
      <c r="E68" s="207">
        <v>5664</v>
      </c>
      <c r="F68" s="207">
        <v>15</v>
      </c>
      <c r="G68" s="207">
        <v>125</v>
      </c>
      <c r="H68" s="207">
        <v>1450</v>
      </c>
      <c r="I68" s="207">
        <v>2</v>
      </c>
      <c r="J68" s="207">
        <v>679</v>
      </c>
      <c r="K68" s="207">
        <v>11119</v>
      </c>
      <c r="L68" s="90"/>
      <c r="M68" s="90"/>
      <c r="N68" s="90"/>
      <c r="O68" s="90"/>
      <c r="P68" s="90"/>
      <c r="Q68" s="90"/>
      <c r="R68" s="90"/>
      <c r="S68" s="90"/>
      <c r="T68" s="90"/>
    </row>
    <row r="69" spans="1:20" s="1" customFormat="1" ht="16.5" customHeight="1" x14ac:dyDescent="0.3">
      <c r="A69" s="304" t="s">
        <v>548</v>
      </c>
      <c r="B69" s="95" t="s">
        <v>677</v>
      </c>
      <c r="C69" s="204">
        <v>38</v>
      </c>
      <c r="D69" s="204">
        <v>12</v>
      </c>
      <c r="E69" s="204">
        <v>20</v>
      </c>
      <c r="F69" s="204">
        <v>0</v>
      </c>
      <c r="G69" s="204">
        <v>1</v>
      </c>
      <c r="H69" s="204">
        <v>44</v>
      </c>
      <c r="I69" s="204">
        <v>62</v>
      </c>
      <c r="J69" s="204">
        <v>4</v>
      </c>
      <c r="K69" s="204">
        <v>181</v>
      </c>
      <c r="L69" s="90"/>
      <c r="M69" s="90"/>
      <c r="N69" s="90"/>
      <c r="O69" s="90"/>
      <c r="P69" s="90"/>
      <c r="Q69" s="90"/>
      <c r="R69" s="90"/>
      <c r="S69" s="90"/>
      <c r="T69" s="90"/>
    </row>
    <row r="70" spans="1:20" s="1" customFormat="1" ht="16.5" customHeight="1" x14ac:dyDescent="0.3">
      <c r="A70" s="305"/>
      <c r="B70" s="95" t="s">
        <v>678</v>
      </c>
      <c r="C70" s="204">
        <v>376</v>
      </c>
      <c r="D70" s="204">
        <v>16</v>
      </c>
      <c r="E70" s="204">
        <v>347</v>
      </c>
      <c r="F70" s="204">
        <v>1</v>
      </c>
      <c r="G70" s="204">
        <v>0</v>
      </c>
      <c r="H70" s="204">
        <v>88</v>
      </c>
      <c r="I70" s="204">
        <v>167</v>
      </c>
      <c r="J70" s="204">
        <v>59</v>
      </c>
      <c r="K70" s="204">
        <v>1054</v>
      </c>
      <c r="L70" s="90"/>
      <c r="M70" s="90"/>
      <c r="N70" s="90"/>
      <c r="O70" s="90"/>
      <c r="P70" s="90"/>
      <c r="Q70" s="90"/>
      <c r="R70" s="90"/>
      <c r="S70" s="90"/>
      <c r="T70" s="90"/>
    </row>
    <row r="71" spans="1:20" s="1" customFormat="1" ht="16.5" customHeight="1" x14ac:dyDescent="0.3">
      <c r="A71" s="305"/>
      <c r="B71" s="95" t="s">
        <v>679</v>
      </c>
      <c r="C71" s="204">
        <v>132</v>
      </c>
      <c r="D71" s="204">
        <v>31</v>
      </c>
      <c r="E71" s="204">
        <v>117</v>
      </c>
      <c r="F71" s="204">
        <v>0</v>
      </c>
      <c r="G71" s="204">
        <v>2</v>
      </c>
      <c r="H71" s="204">
        <v>54</v>
      </c>
      <c r="I71" s="204">
        <v>8</v>
      </c>
      <c r="J71" s="204">
        <v>4</v>
      </c>
      <c r="K71" s="204">
        <v>348</v>
      </c>
      <c r="L71" s="90"/>
      <c r="M71" s="90"/>
      <c r="N71" s="90"/>
      <c r="O71" s="90"/>
      <c r="P71" s="90"/>
      <c r="Q71" s="90"/>
      <c r="R71" s="90"/>
      <c r="S71" s="90"/>
      <c r="T71" s="90"/>
    </row>
    <row r="72" spans="1:20" s="1" customFormat="1" ht="16.5" customHeight="1" x14ac:dyDescent="0.3">
      <c r="A72" s="305"/>
      <c r="B72" s="95" t="s">
        <v>680</v>
      </c>
      <c r="C72" s="204">
        <v>197</v>
      </c>
      <c r="D72" s="204">
        <v>63</v>
      </c>
      <c r="E72" s="204">
        <v>223</v>
      </c>
      <c r="F72" s="204">
        <v>4</v>
      </c>
      <c r="G72" s="204">
        <v>65</v>
      </c>
      <c r="H72" s="204">
        <v>360</v>
      </c>
      <c r="I72" s="204">
        <v>67</v>
      </c>
      <c r="J72" s="204">
        <v>70</v>
      </c>
      <c r="K72" s="204">
        <v>1049</v>
      </c>
      <c r="L72" s="90"/>
      <c r="M72" s="90"/>
      <c r="N72" s="90"/>
      <c r="O72" s="90"/>
      <c r="P72" s="90"/>
      <c r="Q72" s="90"/>
      <c r="R72" s="90"/>
      <c r="S72" s="90"/>
      <c r="T72" s="90"/>
    </row>
    <row r="73" spans="1:20" s="1" customFormat="1" ht="16.5" customHeight="1" x14ac:dyDescent="0.3">
      <c r="A73" s="305"/>
      <c r="B73" s="95" t="s">
        <v>555</v>
      </c>
      <c r="C73" s="204">
        <v>232</v>
      </c>
      <c r="D73" s="204">
        <v>10</v>
      </c>
      <c r="E73" s="204">
        <v>50</v>
      </c>
      <c r="F73" s="204">
        <v>1</v>
      </c>
      <c r="G73" s="204">
        <v>0</v>
      </c>
      <c r="H73" s="204">
        <v>38</v>
      </c>
      <c r="I73" s="204">
        <v>0</v>
      </c>
      <c r="J73" s="204">
        <v>7</v>
      </c>
      <c r="K73" s="204">
        <v>338</v>
      </c>
      <c r="L73" s="90"/>
      <c r="M73" s="90"/>
      <c r="N73" s="90"/>
      <c r="O73" s="90"/>
      <c r="P73" s="90"/>
      <c r="Q73" s="90"/>
      <c r="R73" s="90"/>
      <c r="S73" s="90"/>
      <c r="T73" s="90"/>
    </row>
    <row r="74" spans="1:20" s="1" customFormat="1" ht="16.5" customHeight="1" x14ac:dyDescent="0.3">
      <c r="A74" s="305"/>
      <c r="B74" s="95" t="s">
        <v>552</v>
      </c>
      <c r="C74" s="204">
        <v>411</v>
      </c>
      <c r="D74" s="204">
        <v>21</v>
      </c>
      <c r="E74" s="204">
        <v>130</v>
      </c>
      <c r="F74" s="204">
        <v>1</v>
      </c>
      <c r="G74" s="204">
        <v>23</v>
      </c>
      <c r="H74" s="204">
        <v>31</v>
      </c>
      <c r="I74" s="204">
        <v>105</v>
      </c>
      <c r="J74" s="204">
        <v>9</v>
      </c>
      <c r="K74" s="204">
        <v>731</v>
      </c>
      <c r="L74" s="90"/>
      <c r="M74" s="90"/>
      <c r="N74" s="90"/>
      <c r="O74" s="90"/>
      <c r="P74" s="90"/>
      <c r="Q74" s="90"/>
      <c r="R74" s="90"/>
      <c r="S74" s="90"/>
      <c r="T74" s="90"/>
    </row>
    <row r="75" spans="1:20" s="1" customFormat="1" ht="16.5" customHeight="1" x14ac:dyDescent="0.3">
      <c r="A75" s="305"/>
      <c r="B75" s="95" t="s">
        <v>551</v>
      </c>
      <c r="C75" s="204">
        <v>68</v>
      </c>
      <c r="D75" s="204">
        <v>44</v>
      </c>
      <c r="E75" s="204">
        <v>118</v>
      </c>
      <c r="F75" s="204">
        <v>0</v>
      </c>
      <c r="G75" s="204">
        <v>2</v>
      </c>
      <c r="H75" s="204">
        <v>109</v>
      </c>
      <c r="I75" s="204">
        <v>8</v>
      </c>
      <c r="J75" s="204">
        <v>10</v>
      </c>
      <c r="K75" s="204">
        <v>359</v>
      </c>
      <c r="L75" s="90"/>
      <c r="M75" s="90"/>
      <c r="N75" s="90"/>
      <c r="O75" s="90"/>
      <c r="P75" s="90"/>
      <c r="Q75" s="90"/>
      <c r="R75" s="90"/>
      <c r="S75" s="90"/>
      <c r="T75" s="90"/>
    </row>
    <row r="76" spans="1:20" s="1" customFormat="1" ht="16.5" customHeight="1" x14ac:dyDescent="0.3">
      <c r="A76" s="305"/>
      <c r="B76" s="95" t="s">
        <v>553</v>
      </c>
      <c r="C76" s="204">
        <v>826</v>
      </c>
      <c r="D76" s="204">
        <v>63</v>
      </c>
      <c r="E76" s="204">
        <v>287</v>
      </c>
      <c r="F76" s="204">
        <v>2</v>
      </c>
      <c r="G76" s="204">
        <v>3</v>
      </c>
      <c r="H76" s="204">
        <v>102</v>
      </c>
      <c r="I76" s="204">
        <v>1</v>
      </c>
      <c r="J76" s="204">
        <v>26</v>
      </c>
      <c r="K76" s="204">
        <v>1310</v>
      </c>
      <c r="L76" s="90"/>
      <c r="M76" s="90"/>
      <c r="N76" s="90"/>
      <c r="O76" s="90"/>
      <c r="P76" s="90"/>
      <c r="Q76" s="90"/>
      <c r="R76" s="90"/>
      <c r="S76" s="90"/>
      <c r="T76" s="90"/>
    </row>
    <row r="77" spans="1:20" s="1" customFormat="1" ht="16.5" customHeight="1" x14ac:dyDescent="0.3">
      <c r="A77" s="305"/>
      <c r="B77" s="95" t="s">
        <v>556</v>
      </c>
      <c r="C77" s="204">
        <v>1033</v>
      </c>
      <c r="D77" s="204">
        <v>7</v>
      </c>
      <c r="E77" s="204">
        <v>126</v>
      </c>
      <c r="F77" s="204">
        <v>0</v>
      </c>
      <c r="G77" s="204">
        <v>0</v>
      </c>
      <c r="H77" s="204">
        <v>32</v>
      </c>
      <c r="I77" s="204">
        <v>0</v>
      </c>
      <c r="J77" s="204">
        <v>37</v>
      </c>
      <c r="K77" s="204">
        <v>1235</v>
      </c>
      <c r="L77" s="90"/>
      <c r="M77" s="90"/>
      <c r="N77" s="90"/>
      <c r="O77" s="90"/>
      <c r="P77" s="90"/>
      <c r="Q77" s="90"/>
      <c r="R77" s="90"/>
      <c r="S77" s="90"/>
      <c r="T77" s="90"/>
    </row>
    <row r="78" spans="1:20" s="1" customFormat="1" ht="16.5" customHeight="1" x14ac:dyDescent="0.3">
      <c r="A78" s="305"/>
      <c r="B78" s="95" t="s">
        <v>559</v>
      </c>
      <c r="C78" s="204">
        <v>252</v>
      </c>
      <c r="D78" s="204">
        <v>22</v>
      </c>
      <c r="E78" s="204">
        <v>194</v>
      </c>
      <c r="F78" s="204">
        <v>0</v>
      </c>
      <c r="G78" s="204">
        <v>1</v>
      </c>
      <c r="H78" s="204">
        <v>144</v>
      </c>
      <c r="I78" s="204">
        <v>0</v>
      </c>
      <c r="J78" s="204">
        <v>13</v>
      </c>
      <c r="K78" s="204">
        <v>626</v>
      </c>
      <c r="L78" s="90"/>
      <c r="M78" s="90"/>
      <c r="N78" s="90"/>
      <c r="O78" s="90"/>
      <c r="P78" s="90"/>
      <c r="Q78" s="90"/>
      <c r="R78" s="90"/>
      <c r="S78" s="90"/>
      <c r="T78" s="90"/>
    </row>
    <row r="79" spans="1:20" s="1" customFormat="1" ht="16.5" customHeight="1" x14ac:dyDescent="0.3">
      <c r="A79" s="305"/>
      <c r="B79" s="95" t="s">
        <v>560</v>
      </c>
      <c r="C79" s="204">
        <v>148</v>
      </c>
      <c r="D79" s="204">
        <v>4</v>
      </c>
      <c r="E79" s="204">
        <v>64</v>
      </c>
      <c r="F79" s="204">
        <v>0</v>
      </c>
      <c r="G79" s="204">
        <v>0</v>
      </c>
      <c r="H79" s="204">
        <v>46</v>
      </c>
      <c r="I79" s="204">
        <v>0</v>
      </c>
      <c r="J79" s="204">
        <v>6</v>
      </c>
      <c r="K79" s="204">
        <v>268</v>
      </c>
      <c r="L79" s="90"/>
      <c r="M79" s="90"/>
      <c r="N79" s="90"/>
      <c r="O79" s="90"/>
      <c r="P79" s="90"/>
      <c r="Q79" s="90"/>
      <c r="R79" s="90"/>
      <c r="S79" s="90"/>
      <c r="T79" s="90"/>
    </row>
    <row r="80" spans="1:20" s="1" customFormat="1" ht="16.5" customHeight="1" x14ac:dyDescent="0.3">
      <c r="A80" s="305"/>
      <c r="B80" s="95" t="s">
        <v>554</v>
      </c>
      <c r="C80" s="204">
        <v>413</v>
      </c>
      <c r="D80" s="204">
        <v>101</v>
      </c>
      <c r="E80" s="204">
        <v>325</v>
      </c>
      <c r="F80" s="204">
        <v>0</v>
      </c>
      <c r="G80" s="204">
        <v>7</v>
      </c>
      <c r="H80" s="204">
        <v>172</v>
      </c>
      <c r="I80" s="204">
        <v>0</v>
      </c>
      <c r="J80" s="204">
        <v>18</v>
      </c>
      <c r="K80" s="204">
        <v>1036</v>
      </c>
      <c r="L80" s="90"/>
      <c r="M80" s="90"/>
      <c r="N80" s="90"/>
      <c r="O80" s="90"/>
      <c r="P80" s="90"/>
      <c r="Q80" s="90"/>
      <c r="R80" s="90"/>
      <c r="S80" s="90"/>
      <c r="T80" s="90"/>
    </row>
    <row r="81" spans="1:20" s="1" customFormat="1" ht="16.5" customHeight="1" x14ac:dyDescent="0.3">
      <c r="A81" s="305"/>
      <c r="B81" s="95" t="s">
        <v>549</v>
      </c>
      <c r="C81" s="204">
        <v>1340</v>
      </c>
      <c r="D81" s="204">
        <v>44</v>
      </c>
      <c r="E81" s="204">
        <v>250</v>
      </c>
      <c r="F81" s="204">
        <v>0</v>
      </c>
      <c r="G81" s="204">
        <v>1</v>
      </c>
      <c r="H81" s="204">
        <v>43</v>
      </c>
      <c r="I81" s="204">
        <v>7</v>
      </c>
      <c r="J81" s="204">
        <v>9</v>
      </c>
      <c r="K81" s="204">
        <v>1694</v>
      </c>
      <c r="L81" s="90"/>
      <c r="M81" s="90"/>
      <c r="N81" s="90"/>
      <c r="O81" s="90"/>
      <c r="P81" s="90"/>
      <c r="Q81" s="90"/>
      <c r="R81" s="90"/>
      <c r="S81" s="90"/>
      <c r="T81" s="90"/>
    </row>
    <row r="82" spans="1:20" s="1" customFormat="1" ht="16.5" customHeight="1" x14ac:dyDescent="0.3">
      <c r="A82" s="305"/>
      <c r="B82" s="95" t="s">
        <v>562</v>
      </c>
      <c r="C82" s="204">
        <v>132</v>
      </c>
      <c r="D82" s="204">
        <v>250</v>
      </c>
      <c r="E82" s="204">
        <v>419</v>
      </c>
      <c r="F82" s="204">
        <v>5</v>
      </c>
      <c r="G82" s="204">
        <v>19</v>
      </c>
      <c r="H82" s="204">
        <v>240</v>
      </c>
      <c r="I82" s="204">
        <v>1</v>
      </c>
      <c r="J82" s="204">
        <v>28</v>
      </c>
      <c r="K82" s="204">
        <v>1094</v>
      </c>
      <c r="L82" s="90"/>
      <c r="M82" s="90"/>
      <c r="N82" s="90"/>
      <c r="O82" s="90"/>
      <c r="P82" s="90"/>
      <c r="Q82" s="90"/>
      <c r="R82" s="90"/>
      <c r="S82" s="90"/>
      <c r="T82" s="90"/>
    </row>
    <row r="83" spans="1:20" s="1" customFormat="1" ht="16.5" customHeight="1" x14ac:dyDescent="0.3">
      <c r="A83" s="305"/>
      <c r="B83" s="95" t="s">
        <v>563</v>
      </c>
      <c r="C83" s="204">
        <v>82</v>
      </c>
      <c r="D83" s="204">
        <v>90</v>
      </c>
      <c r="E83" s="204">
        <v>237</v>
      </c>
      <c r="F83" s="204">
        <v>2</v>
      </c>
      <c r="G83" s="204">
        <v>22</v>
      </c>
      <c r="H83" s="204">
        <v>248</v>
      </c>
      <c r="I83" s="204">
        <v>0</v>
      </c>
      <c r="J83" s="204">
        <v>10</v>
      </c>
      <c r="K83" s="204">
        <v>691</v>
      </c>
      <c r="L83" s="90"/>
      <c r="M83" s="90"/>
      <c r="N83" s="90"/>
      <c r="O83" s="90"/>
      <c r="P83" s="90"/>
      <c r="Q83" s="90"/>
      <c r="R83" s="90"/>
      <c r="S83" s="90"/>
      <c r="T83" s="90"/>
    </row>
    <row r="84" spans="1:20" s="1" customFormat="1" ht="16.5" customHeight="1" x14ac:dyDescent="0.3">
      <c r="A84" s="305"/>
      <c r="B84" s="95" t="s">
        <v>681</v>
      </c>
      <c r="C84" s="204">
        <v>4</v>
      </c>
      <c r="D84" s="204">
        <v>25</v>
      </c>
      <c r="E84" s="204">
        <v>11</v>
      </c>
      <c r="F84" s="204">
        <v>0</v>
      </c>
      <c r="G84" s="204">
        <v>1</v>
      </c>
      <c r="H84" s="204">
        <v>24</v>
      </c>
      <c r="I84" s="204">
        <v>0</v>
      </c>
      <c r="J84" s="204">
        <v>0</v>
      </c>
      <c r="K84" s="204">
        <v>65</v>
      </c>
      <c r="L84" s="90"/>
      <c r="M84" s="90"/>
      <c r="N84" s="90"/>
      <c r="O84" s="90"/>
      <c r="P84" s="90"/>
      <c r="Q84" s="90"/>
      <c r="R84" s="90"/>
      <c r="S84" s="90"/>
      <c r="T84" s="90"/>
    </row>
    <row r="85" spans="1:20" s="1" customFormat="1" ht="16.5" customHeight="1" x14ac:dyDescent="0.3">
      <c r="A85" s="305"/>
      <c r="B85" s="95" t="s">
        <v>561</v>
      </c>
      <c r="C85" s="204">
        <v>22</v>
      </c>
      <c r="D85" s="204">
        <v>24</v>
      </c>
      <c r="E85" s="204">
        <v>55</v>
      </c>
      <c r="F85" s="204">
        <v>0</v>
      </c>
      <c r="G85" s="204">
        <v>2</v>
      </c>
      <c r="H85" s="204">
        <v>63</v>
      </c>
      <c r="I85" s="204">
        <v>0</v>
      </c>
      <c r="J85" s="204">
        <v>45</v>
      </c>
      <c r="K85" s="204">
        <v>211</v>
      </c>
      <c r="L85" s="90"/>
      <c r="M85" s="90"/>
      <c r="N85" s="90"/>
      <c r="O85" s="90"/>
      <c r="P85" s="90"/>
      <c r="Q85" s="90"/>
      <c r="R85" s="90"/>
      <c r="S85" s="90"/>
      <c r="T85" s="90"/>
    </row>
    <row r="86" spans="1:20" s="1" customFormat="1" ht="16.5" customHeight="1" x14ac:dyDescent="0.3">
      <c r="A86" s="305"/>
      <c r="B86" s="95" t="s">
        <v>550</v>
      </c>
      <c r="C86" s="204">
        <v>1756</v>
      </c>
      <c r="D86" s="204">
        <v>33</v>
      </c>
      <c r="E86" s="204">
        <v>272</v>
      </c>
      <c r="F86" s="204">
        <v>4</v>
      </c>
      <c r="G86" s="204">
        <v>11</v>
      </c>
      <c r="H86" s="204">
        <v>179</v>
      </c>
      <c r="I86" s="204">
        <v>2</v>
      </c>
      <c r="J86" s="204">
        <v>48</v>
      </c>
      <c r="K86" s="204">
        <v>2305</v>
      </c>
      <c r="L86" s="90"/>
      <c r="M86" s="90"/>
      <c r="N86" s="90"/>
      <c r="O86" s="90"/>
      <c r="P86" s="90"/>
      <c r="Q86" s="90"/>
      <c r="R86" s="90"/>
      <c r="S86" s="90"/>
      <c r="T86" s="90"/>
    </row>
    <row r="87" spans="1:20" s="1" customFormat="1" ht="16.5" customHeight="1" x14ac:dyDescent="0.3">
      <c r="A87" s="305"/>
      <c r="B87" s="95" t="s">
        <v>558</v>
      </c>
      <c r="C87" s="204">
        <v>7</v>
      </c>
      <c r="D87" s="204">
        <v>12</v>
      </c>
      <c r="E87" s="204">
        <v>88</v>
      </c>
      <c r="F87" s="204">
        <v>0</v>
      </c>
      <c r="G87" s="204">
        <v>0</v>
      </c>
      <c r="H87" s="204">
        <v>43</v>
      </c>
      <c r="I87" s="204">
        <v>0</v>
      </c>
      <c r="J87" s="204">
        <v>16</v>
      </c>
      <c r="K87" s="204">
        <v>166</v>
      </c>
      <c r="L87" s="90"/>
      <c r="M87" s="90"/>
      <c r="N87" s="90"/>
      <c r="O87" s="90"/>
      <c r="P87" s="90"/>
      <c r="Q87" s="90"/>
      <c r="R87" s="90"/>
      <c r="S87" s="90"/>
      <c r="T87" s="90"/>
    </row>
    <row r="88" spans="1:20" s="1" customFormat="1" ht="16.5" customHeight="1" x14ac:dyDescent="0.3">
      <c r="A88" s="305"/>
      <c r="B88" s="95" t="s">
        <v>557</v>
      </c>
      <c r="C88" s="204">
        <v>30</v>
      </c>
      <c r="D88" s="204">
        <v>0</v>
      </c>
      <c r="E88" s="204">
        <v>12</v>
      </c>
      <c r="F88" s="204">
        <v>0</v>
      </c>
      <c r="G88" s="204">
        <v>0</v>
      </c>
      <c r="H88" s="204">
        <v>3</v>
      </c>
      <c r="I88" s="204">
        <v>0</v>
      </c>
      <c r="J88" s="204">
        <v>0</v>
      </c>
      <c r="K88" s="204">
        <v>45</v>
      </c>
      <c r="L88" s="90"/>
      <c r="M88" s="90"/>
      <c r="N88" s="90"/>
      <c r="O88" s="90"/>
      <c r="P88" s="90"/>
      <c r="Q88" s="90"/>
      <c r="R88" s="90"/>
      <c r="S88" s="90"/>
      <c r="T88" s="90"/>
    </row>
    <row r="89" spans="1:20" s="1" customFormat="1" ht="16.5" customHeight="1" x14ac:dyDescent="0.3">
      <c r="A89" s="305"/>
      <c r="B89" s="95" t="s">
        <v>564</v>
      </c>
      <c r="C89" s="204">
        <v>1567</v>
      </c>
      <c r="D89" s="204">
        <v>462</v>
      </c>
      <c r="E89" s="204">
        <v>146</v>
      </c>
      <c r="F89" s="204">
        <v>0</v>
      </c>
      <c r="G89" s="204">
        <v>3</v>
      </c>
      <c r="H89" s="204">
        <v>63</v>
      </c>
      <c r="I89" s="204">
        <v>89</v>
      </c>
      <c r="J89" s="204">
        <v>13</v>
      </c>
      <c r="K89" s="204">
        <v>2343</v>
      </c>
      <c r="L89" s="90"/>
      <c r="M89" s="90"/>
      <c r="N89" s="90"/>
      <c r="O89" s="90"/>
      <c r="P89" s="90"/>
      <c r="Q89" s="90"/>
      <c r="R89" s="90"/>
      <c r="S89" s="90"/>
      <c r="T89" s="90"/>
    </row>
    <row r="90" spans="1:20" s="1" customFormat="1" ht="16.5" customHeight="1" x14ac:dyDescent="0.3">
      <c r="A90" s="306"/>
      <c r="B90" s="97" t="s">
        <v>86</v>
      </c>
      <c r="C90" s="207">
        <v>9066</v>
      </c>
      <c r="D90" s="207">
        <v>1333</v>
      </c>
      <c r="E90" s="207">
        <v>3489</v>
      </c>
      <c r="F90" s="207">
        <v>21</v>
      </c>
      <c r="G90" s="207">
        <v>163</v>
      </c>
      <c r="H90" s="207">
        <v>2126</v>
      </c>
      <c r="I90" s="207">
        <v>517</v>
      </c>
      <c r="J90" s="207">
        <v>431</v>
      </c>
      <c r="K90" s="207">
        <v>17146</v>
      </c>
      <c r="L90" s="90"/>
      <c r="M90" s="90"/>
      <c r="N90" s="90"/>
      <c r="O90" s="90"/>
      <c r="P90" s="90"/>
      <c r="Q90" s="90"/>
      <c r="R90" s="90"/>
      <c r="S90" s="90"/>
      <c r="T90" s="90"/>
    </row>
    <row r="91" spans="1:20" s="1" customFormat="1" ht="16.5" customHeight="1" x14ac:dyDescent="0.3">
      <c r="A91" s="304" t="s">
        <v>145</v>
      </c>
      <c r="B91" s="95" t="s">
        <v>569</v>
      </c>
      <c r="C91" s="204">
        <v>1</v>
      </c>
      <c r="D91" s="204">
        <v>0</v>
      </c>
      <c r="E91" s="204">
        <v>228</v>
      </c>
      <c r="F91" s="204">
        <v>3</v>
      </c>
      <c r="G91" s="204">
        <v>0</v>
      </c>
      <c r="H91" s="204">
        <v>19</v>
      </c>
      <c r="I91" s="204">
        <v>0</v>
      </c>
      <c r="J91" s="204">
        <v>5</v>
      </c>
      <c r="K91" s="204">
        <v>256</v>
      </c>
      <c r="L91" s="90"/>
      <c r="M91" s="90"/>
      <c r="N91" s="90"/>
      <c r="O91" s="90"/>
      <c r="P91" s="90"/>
      <c r="Q91" s="90"/>
      <c r="R91" s="90"/>
      <c r="S91" s="90"/>
      <c r="T91" s="90"/>
    </row>
    <row r="92" spans="1:20" s="1" customFormat="1" ht="16.5" customHeight="1" x14ac:dyDescent="0.3">
      <c r="A92" s="305"/>
      <c r="B92" s="95" t="s">
        <v>682</v>
      </c>
      <c r="C92" s="204">
        <v>40</v>
      </c>
      <c r="D92" s="204">
        <v>394</v>
      </c>
      <c r="E92" s="204">
        <v>229</v>
      </c>
      <c r="F92" s="204">
        <v>0</v>
      </c>
      <c r="G92" s="204">
        <v>2</v>
      </c>
      <c r="H92" s="204">
        <v>77</v>
      </c>
      <c r="I92" s="204">
        <v>0</v>
      </c>
      <c r="J92" s="204">
        <v>55</v>
      </c>
      <c r="K92" s="204">
        <v>797</v>
      </c>
      <c r="L92" s="90"/>
      <c r="M92" s="90"/>
      <c r="N92" s="90"/>
      <c r="O92" s="90"/>
      <c r="P92" s="90"/>
      <c r="Q92" s="90"/>
      <c r="R92" s="90"/>
      <c r="S92" s="90"/>
      <c r="T92" s="90"/>
    </row>
    <row r="93" spans="1:20" s="1" customFormat="1" ht="16.5" customHeight="1" x14ac:dyDescent="0.3">
      <c r="A93" s="305"/>
      <c r="B93" s="95" t="s">
        <v>568</v>
      </c>
      <c r="C93" s="204">
        <v>58</v>
      </c>
      <c r="D93" s="204">
        <v>99</v>
      </c>
      <c r="E93" s="204">
        <v>336</v>
      </c>
      <c r="F93" s="204">
        <v>0</v>
      </c>
      <c r="G93" s="204">
        <v>0</v>
      </c>
      <c r="H93" s="204">
        <v>63</v>
      </c>
      <c r="I93" s="204">
        <v>0</v>
      </c>
      <c r="J93" s="204">
        <v>57</v>
      </c>
      <c r="K93" s="204">
        <v>613</v>
      </c>
      <c r="L93" s="90"/>
      <c r="M93" s="90"/>
      <c r="N93" s="90"/>
      <c r="O93" s="90"/>
      <c r="P93" s="90"/>
      <c r="Q93" s="90"/>
      <c r="R93" s="90"/>
      <c r="S93" s="90"/>
      <c r="T93" s="90"/>
    </row>
    <row r="94" spans="1:20" s="1" customFormat="1" ht="16.5" customHeight="1" x14ac:dyDescent="0.3">
      <c r="A94" s="305"/>
      <c r="B94" s="95" t="s">
        <v>571</v>
      </c>
      <c r="C94" s="204">
        <v>63</v>
      </c>
      <c r="D94" s="204">
        <v>11</v>
      </c>
      <c r="E94" s="204">
        <v>70</v>
      </c>
      <c r="F94" s="204">
        <v>0</v>
      </c>
      <c r="G94" s="204">
        <v>0</v>
      </c>
      <c r="H94" s="204">
        <v>15</v>
      </c>
      <c r="I94" s="204">
        <v>1</v>
      </c>
      <c r="J94" s="204">
        <v>9</v>
      </c>
      <c r="K94" s="204">
        <v>169</v>
      </c>
      <c r="L94" s="90"/>
      <c r="M94" s="90"/>
      <c r="N94" s="90"/>
      <c r="O94" s="90"/>
      <c r="P94" s="90"/>
      <c r="Q94" s="90"/>
      <c r="R94" s="90"/>
      <c r="S94" s="90"/>
      <c r="T94" s="90"/>
    </row>
    <row r="95" spans="1:20" s="1" customFormat="1" ht="16.5" customHeight="1" x14ac:dyDescent="0.3">
      <c r="A95" s="305"/>
      <c r="B95" s="95" t="s">
        <v>683</v>
      </c>
      <c r="C95" s="204">
        <v>176</v>
      </c>
      <c r="D95" s="204">
        <v>993</v>
      </c>
      <c r="E95" s="204">
        <v>2496</v>
      </c>
      <c r="F95" s="204">
        <v>7</v>
      </c>
      <c r="G95" s="204">
        <v>278</v>
      </c>
      <c r="H95" s="204">
        <v>2045</v>
      </c>
      <c r="I95" s="204">
        <v>0</v>
      </c>
      <c r="J95" s="204">
        <v>737</v>
      </c>
      <c r="K95" s="204">
        <v>6732</v>
      </c>
      <c r="L95" s="90"/>
      <c r="M95" s="90"/>
      <c r="N95" s="90"/>
      <c r="O95" s="90"/>
      <c r="P95" s="90"/>
      <c r="Q95" s="90"/>
      <c r="R95" s="90"/>
      <c r="S95" s="90"/>
      <c r="T95" s="90"/>
    </row>
    <row r="96" spans="1:20" s="1" customFormat="1" ht="16.5" customHeight="1" x14ac:dyDescent="0.3">
      <c r="A96" s="305"/>
      <c r="B96" s="95" t="s">
        <v>572</v>
      </c>
      <c r="C96" s="204">
        <v>5</v>
      </c>
      <c r="D96" s="204">
        <v>2</v>
      </c>
      <c r="E96" s="204">
        <v>23</v>
      </c>
      <c r="F96" s="204">
        <v>0</v>
      </c>
      <c r="G96" s="204">
        <v>0</v>
      </c>
      <c r="H96" s="204">
        <v>13</v>
      </c>
      <c r="I96" s="204">
        <v>0</v>
      </c>
      <c r="J96" s="204">
        <v>0</v>
      </c>
      <c r="K96" s="204">
        <v>43</v>
      </c>
      <c r="L96" s="90"/>
      <c r="M96" s="90"/>
      <c r="N96" s="90"/>
      <c r="O96" s="90"/>
      <c r="P96" s="90"/>
      <c r="Q96" s="90"/>
      <c r="R96" s="90"/>
      <c r="S96" s="90"/>
      <c r="T96" s="90"/>
    </row>
    <row r="97" spans="1:20" s="1" customFormat="1" ht="16.5" customHeight="1" x14ac:dyDescent="0.3">
      <c r="A97" s="305"/>
      <c r="B97" s="95" t="s">
        <v>684</v>
      </c>
      <c r="C97" s="204">
        <v>41</v>
      </c>
      <c r="D97" s="204">
        <v>409</v>
      </c>
      <c r="E97" s="204">
        <v>1337</v>
      </c>
      <c r="F97" s="204">
        <v>12</v>
      </c>
      <c r="G97" s="204">
        <v>85</v>
      </c>
      <c r="H97" s="204">
        <v>2807</v>
      </c>
      <c r="I97" s="204">
        <v>0</v>
      </c>
      <c r="J97" s="204">
        <v>281</v>
      </c>
      <c r="K97" s="204">
        <v>4972</v>
      </c>
      <c r="L97" s="90"/>
      <c r="M97" s="90"/>
      <c r="N97" s="90"/>
      <c r="O97" s="90"/>
      <c r="P97" s="90"/>
      <c r="Q97" s="90"/>
      <c r="R97" s="90"/>
      <c r="S97" s="90"/>
      <c r="T97" s="90"/>
    </row>
    <row r="98" spans="1:20" s="1" customFormat="1" ht="16.5" customHeight="1" x14ac:dyDescent="0.3">
      <c r="A98" s="305"/>
      <c r="B98" s="95" t="s">
        <v>685</v>
      </c>
      <c r="C98" s="204">
        <v>24</v>
      </c>
      <c r="D98" s="204">
        <v>49</v>
      </c>
      <c r="E98" s="204">
        <v>135</v>
      </c>
      <c r="F98" s="204">
        <v>0</v>
      </c>
      <c r="G98" s="204">
        <v>0</v>
      </c>
      <c r="H98" s="204">
        <v>99</v>
      </c>
      <c r="I98" s="204">
        <v>0</v>
      </c>
      <c r="J98" s="204">
        <v>149</v>
      </c>
      <c r="K98" s="204">
        <v>456</v>
      </c>
      <c r="L98" s="90"/>
      <c r="M98" s="90"/>
      <c r="N98" s="90"/>
      <c r="O98" s="90"/>
      <c r="P98" s="90"/>
      <c r="Q98" s="90"/>
      <c r="R98" s="90"/>
      <c r="S98" s="90"/>
      <c r="T98" s="90"/>
    </row>
    <row r="99" spans="1:20" s="1" customFormat="1" ht="16.5" customHeight="1" x14ac:dyDescent="0.3">
      <c r="A99" s="305"/>
      <c r="B99" s="95" t="s">
        <v>686</v>
      </c>
      <c r="C99" s="204">
        <v>4</v>
      </c>
      <c r="D99" s="204">
        <v>105</v>
      </c>
      <c r="E99" s="204">
        <v>539</v>
      </c>
      <c r="F99" s="204">
        <v>0</v>
      </c>
      <c r="G99" s="204">
        <v>12</v>
      </c>
      <c r="H99" s="204">
        <v>554</v>
      </c>
      <c r="I99" s="204">
        <v>0</v>
      </c>
      <c r="J99" s="204">
        <v>128</v>
      </c>
      <c r="K99" s="204">
        <v>1342</v>
      </c>
      <c r="L99" s="90"/>
      <c r="M99" s="90"/>
      <c r="N99" s="90"/>
      <c r="O99" s="90"/>
      <c r="P99" s="90"/>
      <c r="Q99" s="90"/>
      <c r="R99" s="90"/>
      <c r="S99" s="90"/>
      <c r="T99" s="90"/>
    </row>
    <row r="100" spans="1:20" s="1" customFormat="1" ht="16.5" customHeight="1" x14ac:dyDescent="0.3">
      <c r="A100" s="305"/>
      <c r="B100" s="95" t="s">
        <v>565</v>
      </c>
      <c r="C100" s="204">
        <v>77</v>
      </c>
      <c r="D100" s="204">
        <v>475</v>
      </c>
      <c r="E100" s="204">
        <v>2698</v>
      </c>
      <c r="F100" s="204">
        <v>0</v>
      </c>
      <c r="G100" s="204">
        <v>23</v>
      </c>
      <c r="H100" s="204">
        <v>145</v>
      </c>
      <c r="I100" s="204">
        <v>0</v>
      </c>
      <c r="J100" s="204">
        <v>155</v>
      </c>
      <c r="K100" s="204">
        <v>3573</v>
      </c>
      <c r="L100" s="90"/>
      <c r="M100" s="90"/>
      <c r="N100" s="90"/>
      <c r="O100" s="90"/>
      <c r="P100" s="90"/>
      <c r="Q100" s="90"/>
      <c r="R100" s="90"/>
      <c r="S100" s="90"/>
      <c r="T100" s="90"/>
    </row>
    <row r="101" spans="1:20" s="1" customFormat="1" ht="16.5" customHeight="1" x14ac:dyDescent="0.3">
      <c r="A101" s="305"/>
      <c r="B101" s="95" t="s">
        <v>573</v>
      </c>
      <c r="C101" s="204">
        <v>41</v>
      </c>
      <c r="D101" s="204">
        <v>11</v>
      </c>
      <c r="E101" s="204">
        <v>111</v>
      </c>
      <c r="F101" s="204">
        <v>0</v>
      </c>
      <c r="G101" s="204">
        <v>8</v>
      </c>
      <c r="H101" s="204">
        <v>57</v>
      </c>
      <c r="I101" s="204">
        <v>0</v>
      </c>
      <c r="J101" s="204">
        <v>32</v>
      </c>
      <c r="K101" s="204">
        <v>260</v>
      </c>
      <c r="L101" s="90"/>
      <c r="M101" s="90"/>
      <c r="N101" s="90"/>
      <c r="O101" s="90"/>
      <c r="P101" s="90"/>
      <c r="Q101" s="90"/>
      <c r="R101" s="90"/>
      <c r="S101" s="90"/>
      <c r="T101" s="90"/>
    </row>
    <row r="102" spans="1:20" s="1" customFormat="1" ht="16.5" customHeight="1" x14ac:dyDescent="0.3">
      <c r="A102" s="305"/>
      <c r="B102" s="95" t="s">
        <v>566</v>
      </c>
      <c r="C102" s="204">
        <v>55</v>
      </c>
      <c r="D102" s="204">
        <v>193</v>
      </c>
      <c r="E102" s="204">
        <v>2532</v>
      </c>
      <c r="F102" s="204">
        <v>3</v>
      </c>
      <c r="G102" s="204">
        <v>24</v>
      </c>
      <c r="H102" s="204">
        <v>347</v>
      </c>
      <c r="I102" s="204">
        <v>0</v>
      </c>
      <c r="J102" s="204">
        <v>402</v>
      </c>
      <c r="K102" s="204">
        <v>3556</v>
      </c>
      <c r="L102" s="90"/>
      <c r="M102" s="90"/>
      <c r="N102" s="90"/>
      <c r="O102" s="90"/>
      <c r="P102" s="90"/>
      <c r="Q102" s="90"/>
      <c r="R102" s="90"/>
      <c r="S102" s="90"/>
      <c r="T102" s="90"/>
    </row>
    <row r="103" spans="1:20" s="1" customFormat="1" ht="16.5" customHeight="1" x14ac:dyDescent="0.3">
      <c r="A103" s="305"/>
      <c r="B103" s="95" t="s">
        <v>570</v>
      </c>
      <c r="C103" s="204">
        <v>0</v>
      </c>
      <c r="D103" s="204">
        <v>2</v>
      </c>
      <c r="E103" s="204">
        <v>357</v>
      </c>
      <c r="F103" s="204">
        <v>0</v>
      </c>
      <c r="G103" s="204">
        <v>27</v>
      </c>
      <c r="H103" s="204">
        <v>112</v>
      </c>
      <c r="I103" s="204">
        <v>0</v>
      </c>
      <c r="J103" s="204">
        <v>5</v>
      </c>
      <c r="K103" s="204">
        <v>503</v>
      </c>
      <c r="L103" s="90"/>
      <c r="M103" s="90"/>
      <c r="N103" s="90"/>
      <c r="O103" s="90"/>
      <c r="P103" s="90"/>
      <c r="Q103" s="90"/>
      <c r="R103" s="90"/>
      <c r="S103" s="90"/>
      <c r="T103" s="90"/>
    </row>
    <row r="104" spans="1:20" s="1" customFormat="1" ht="16.5" customHeight="1" x14ac:dyDescent="0.3">
      <c r="A104" s="305"/>
      <c r="B104" s="95" t="s">
        <v>567</v>
      </c>
      <c r="C104" s="204">
        <v>12</v>
      </c>
      <c r="D104" s="204">
        <v>540</v>
      </c>
      <c r="E104" s="204">
        <v>419</v>
      </c>
      <c r="F104" s="204">
        <v>0</v>
      </c>
      <c r="G104" s="204">
        <v>3</v>
      </c>
      <c r="H104" s="204">
        <v>17</v>
      </c>
      <c r="I104" s="204">
        <v>0</v>
      </c>
      <c r="J104" s="204">
        <v>22</v>
      </c>
      <c r="K104" s="204">
        <v>1013</v>
      </c>
      <c r="L104" s="90"/>
      <c r="M104" s="90"/>
      <c r="N104" s="90"/>
      <c r="O104" s="90"/>
      <c r="P104" s="90"/>
      <c r="Q104" s="90"/>
      <c r="R104" s="90"/>
      <c r="S104" s="90"/>
      <c r="T104" s="90"/>
    </row>
    <row r="105" spans="1:20" s="1" customFormat="1" ht="16.5" customHeight="1" x14ac:dyDescent="0.3">
      <c r="A105" s="305"/>
      <c r="B105" s="95" t="s">
        <v>574</v>
      </c>
      <c r="C105" s="204">
        <v>1027</v>
      </c>
      <c r="D105" s="204">
        <v>1003</v>
      </c>
      <c r="E105" s="204">
        <v>794</v>
      </c>
      <c r="F105" s="204">
        <v>10</v>
      </c>
      <c r="G105" s="204">
        <v>22</v>
      </c>
      <c r="H105" s="204">
        <v>504</v>
      </c>
      <c r="I105" s="204">
        <v>0</v>
      </c>
      <c r="J105" s="204">
        <v>264</v>
      </c>
      <c r="K105" s="204">
        <v>3624</v>
      </c>
      <c r="L105" s="90"/>
      <c r="M105" s="90"/>
      <c r="N105" s="90"/>
      <c r="O105" s="90"/>
      <c r="P105" s="90"/>
      <c r="Q105" s="90"/>
      <c r="R105" s="90"/>
      <c r="S105" s="90"/>
      <c r="T105" s="90"/>
    </row>
    <row r="106" spans="1:20" s="1" customFormat="1" ht="16.5" customHeight="1" x14ac:dyDescent="0.3">
      <c r="A106" s="306"/>
      <c r="B106" s="97" t="s">
        <v>86</v>
      </c>
      <c r="C106" s="207">
        <v>1624</v>
      </c>
      <c r="D106" s="207">
        <v>4285</v>
      </c>
      <c r="E106" s="207">
        <v>12306</v>
      </c>
      <c r="F106" s="207">
        <v>34</v>
      </c>
      <c r="G106" s="207">
        <v>486</v>
      </c>
      <c r="H106" s="207">
        <v>6873</v>
      </c>
      <c r="I106" s="207">
        <v>2</v>
      </c>
      <c r="J106" s="207">
        <v>2302</v>
      </c>
      <c r="K106" s="207">
        <v>27912</v>
      </c>
      <c r="L106" s="90"/>
      <c r="M106" s="90"/>
      <c r="N106" s="90"/>
      <c r="O106" s="90"/>
      <c r="P106" s="90"/>
      <c r="Q106" s="90"/>
      <c r="R106" s="90"/>
      <c r="S106" s="90"/>
      <c r="T106" s="90"/>
    </row>
    <row r="107" spans="1:20" s="1" customFormat="1" ht="16.5" customHeight="1" x14ac:dyDescent="0.3">
      <c r="A107" s="304" t="s">
        <v>146</v>
      </c>
      <c r="B107" s="95" t="s">
        <v>687</v>
      </c>
      <c r="C107" s="204">
        <v>0</v>
      </c>
      <c r="D107" s="204">
        <v>6001</v>
      </c>
      <c r="E107" s="204">
        <v>176</v>
      </c>
      <c r="F107" s="204">
        <v>1245</v>
      </c>
      <c r="G107" s="204">
        <v>4586</v>
      </c>
      <c r="H107" s="204">
        <v>635</v>
      </c>
      <c r="I107" s="204">
        <v>0</v>
      </c>
      <c r="J107" s="204">
        <v>9</v>
      </c>
      <c r="K107" s="204">
        <v>12652</v>
      </c>
      <c r="L107" s="90"/>
      <c r="M107" s="90"/>
      <c r="N107" s="90"/>
      <c r="O107" s="90"/>
      <c r="P107" s="90"/>
      <c r="Q107" s="90"/>
      <c r="R107" s="90"/>
      <c r="S107" s="90"/>
      <c r="T107" s="90"/>
    </row>
    <row r="108" spans="1:20" s="1" customFormat="1" ht="16.5" customHeight="1" x14ac:dyDescent="0.3">
      <c r="A108" s="305"/>
      <c r="B108" s="95" t="s">
        <v>580</v>
      </c>
      <c r="C108" s="204">
        <v>0</v>
      </c>
      <c r="D108" s="204">
        <v>154</v>
      </c>
      <c r="E108" s="204">
        <v>432</v>
      </c>
      <c r="F108" s="204">
        <v>0</v>
      </c>
      <c r="G108" s="204">
        <v>36</v>
      </c>
      <c r="H108" s="204">
        <v>138</v>
      </c>
      <c r="I108" s="204">
        <v>0</v>
      </c>
      <c r="J108" s="204">
        <v>77</v>
      </c>
      <c r="K108" s="204">
        <v>837</v>
      </c>
      <c r="L108" s="90"/>
      <c r="M108" s="90"/>
      <c r="N108" s="90"/>
      <c r="O108" s="90"/>
      <c r="P108" s="90"/>
      <c r="Q108" s="90"/>
      <c r="R108" s="90"/>
      <c r="S108" s="90"/>
      <c r="T108" s="90"/>
    </row>
    <row r="109" spans="1:20" s="1" customFormat="1" ht="16.5" customHeight="1" x14ac:dyDescent="0.3">
      <c r="A109" s="305"/>
      <c r="B109" s="95" t="s">
        <v>579</v>
      </c>
      <c r="C109" s="204">
        <v>6</v>
      </c>
      <c r="D109" s="204">
        <v>724</v>
      </c>
      <c r="E109" s="204">
        <v>640</v>
      </c>
      <c r="F109" s="204">
        <v>98</v>
      </c>
      <c r="G109" s="204">
        <v>259</v>
      </c>
      <c r="H109" s="204">
        <v>1528</v>
      </c>
      <c r="I109" s="204">
        <v>0</v>
      </c>
      <c r="J109" s="204">
        <v>573</v>
      </c>
      <c r="K109" s="204">
        <v>3828</v>
      </c>
      <c r="L109" s="90"/>
      <c r="M109" s="90"/>
      <c r="N109" s="90"/>
      <c r="O109" s="90"/>
      <c r="P109" s="90"/>
      <c r="Q109" s="90"/>
      <c r="R109" s="90"/>
      <c r="S109" s="90"/>
      <c r="T109" s="90"/>
    </row>
    <row r="110" spans="1:20" s="1" customFormat="1" ht="16.5" customHeight="1" x14ac:dyDescent="0.3">
      <c r="A110" s="305"/>
      <c r="B110" s="95" t="s">
        <v>582</v>
      </c>
      <c r="C110" s="204">
        <v>2</v>
      </c>
      <c r="D110" s="204">
        <v>117</v>
      </c>
      <c r="E110" s="204">
        <v>87</v>
      </c>
      <c r="F110" s="204">
        <v>17</v>
      </c>
      <c r="G110" s="204">
        <v>65</v>
      </c>
      <c r="H110" s="204">
        <v>723</v>
      </c>
      <c r="I110" s="204">
        <v>0</v>
      </c>
      <c r="J110" s="204">
        <v>172</v>
      </c>
      <c r="K110" s="204">
        <v>1183</v>
      </c>
      <c r="L110" s="90"/>
      <c r="M110" s="90"/>
      <c r="N110" s="90"/>
      <c r="O110" s="90"/>
      <c r="P110" s="90"/>
      <c r="Q110" s="90"/>
      <c r="R110" s="90"/>
      <c r="S110" s="90"/>
      <c r="T110" s="90"/>
    </row>
    <row r="111" spans="1:20" s="1" customFormat="1" ht="16.5" customHeight="1" x14ac:dyDescent="0.3">
      <c r="A111" s="305"/>
      <c r="B111" s="95" t="s">
        <v>576</v>
      </c>
      <c r="C111" s="204">
        <v>4</v>
      </c>
      <c r="D111" s="204">
        <v>475</v>
      </c>
      <c r="E111" s="204">
        <v>290</v>
      </c>
      <c r="F111" s="204">
        <v>18</v>
      </c>
      <c r="G111" s="204">
        <v>37</v>
      </c>
      <c r="H111" s="204">
        <v>484</v>
      </c>
      <c r="I111" s="204">
        <v>0</v>
      </c>
      <c r="J111" s="204">
        <v>125</v>
      </c>
      <c r="K111" s="204">
        <v>1433</v>
      </c>
      <c r="L111" s="90"/>
      <c r="M111" s="90"/>
      <c r="N111" s="90"/>
      <c r="O111" s="90"/>
      <c r="P111" s="90"/>
      <c r="Q111" s="90"/>
      <c r="R111" s="90"/>
      <c r="S111" s="90"/>
      <c r="T111" s="90"/>
    </row>
    <row r="112" spans="1:20" s="1" customFormat="1" ht="16.5" customHeight="1" x14ac:dyDescent="0.3">
      <c r="A112" s="305"/>
      <c r="B112" s="95" t="s">
        <v>581</v>
      </c>
      <c r="C112" s="204">
        <v>4</v>
      </c>
      <c r="D112" s="204">
        <v>686</v>
      </c>
      <c r="E112" s="204">
        <v>333</v>
      </c>
      <c r="F112" s="204">
        <v>163</v>
      </c>
      <c r="G112" s="204">
        <v>111</v>
      </c>
      <c r="H112" s="204">
        <v>979</v>
      </c>
      <c r="I112" s="204">
        <v>0</v>
      </c>
      <c r="J112" s="204">
        <v>92</v>
      </c>
      <c r="K112" s="204">
        <v>2368</v>
      </c>
      <c r="L112" s="90"/>
      <c r="M112" s="90"/>
      <c r="N112" s="90"/>
      <c r="O112" s="90"/>
      <c r="P112" s="90"/>
      <c r="Q112" s="90"/>
      <c r="R112" s="90"/>
      <c r="S112" s="90"/>
      <c r="T112" s="90"/>
    </row>
    <row r="113" spans="1:20" s="1" customFormat="1" ht="16.5" customHeight="1" x14ac:dyDescent="0.3">
      <c r="A113" s="305"/>
      <c r="B113" s="95" t="s">
        <v>577</v>
      </c>
      <c r="C113" s="204">
        <v>0</v>
      </c>
      <c r="D113" s="204">
        <v>56</v>
      </c>
      <c r="E113" s="204">
        <v>55</v>
      </c>
      <c r="F113" s="204">
        <v>18</v>
      </c>
      <c r="G113" s="204">
        <v>68</v>
      </c>
      <c r="H113" s="204">
        <v>496</v>
      </c>
      <c r="I113" s="204">
        <v>0</v>
      </c>
      <c r="J113" s="204">
        <v>44</v>
      </c>
      <c r="K113" s="204">
        <v>737</v>
      </c>
      <c r="L113" s="90"/>
      <c r="M113" s="90"/>
      <c r="N113" s="90"/>
      <c r="O113" s="90"/>
      <c r="P113" s="90"/>
      <c r="Q113" s="90"/>
      <c r="R113" s="90"/>
      <c r="S113" s="90"/>
      <c r="T113" s="90"/>
    </row>
    <row r="114" spans="1:20" s="1" customFormat="1" ht="16.5" customHeight="1" x14ac:dyDescent="0.3">
      <c r="A114" s="305"/>
      <c r="B114" s="95" t="s">
        <v>688</v>
      </c>
      <c r="C114" s="204">
        <v>31</v>
      </c>
      <c r="D114" s="204">
        <v>3979</v>
      </c>
      <c r="E114" s="204">
        <v>126</v>
      </c>
      <c r="F114" s="204">
        <v>29</v>
      </c>
      <c r="G114" s="204">
        <v>372</v>
      </c>
      <c r="H114" s="204">
        <v>378</v>
      </c>
      <c r="I114" s="204">
        <v>14</v>
      </c>
      <c r="J114" s="204">
        <v>3</v>
      </c>
      <c r="K114" s="204">
        <v>4932</v>
      </c>
      <c r="L114" s="90"/>
      <c r="M114" s="90"/>
      <c r="N114" s="90"/>
      <c r="O114" s="90"/>
      <c r="P114" s="90"/>
      <c r="Q114" s="90"/>
      <c r="R114" s="90"/>
      <c r="S114" s="90"/>
      <c r="T114" s="90"/>
    </row>
    <row r="115" spans="1:20" s="1" customFormat="1" ht="16.5" customHeight="1" x14ac:dyDescent="0.3">
      <c r="A115" s="305"/>
      <c r="B115" s="95" t="s">
        <v>583</v>
      </c>
      <c r="C115" s="204">
        <v>5</v>
      </c>
      <c r="D115" s="204">
        <v>351</v>
      </c>
      <c r="E115" s="204">
        <v>337</v>
      </c>
      <c r="F115" s="204">
        <v>428</v>
      </c>
      <c r="G115" s="204">
        <v>1467</v>
      </c>
      <c r="H115" s="204">
        <v>2098</v>
      </c>
      <c r="I115" s="204">
        <v>0</v>
      </c>
      <c r="J115" s="204">
        <v>1791</v>
      </c>
      <c r="K115" s="204">
        <v>6477</v>
      </c>
      <c r="L115" s="90"/>
      <c r="M115" s="90"/>
      <c r="N115" s="90"/>
      <c r="O115" s="90"/>
      <c r="P115" s="90"/>
      <c r="Q115" s="90"/>
      <c r="R115" s="90"/>
      <c r="S115" s="90"/>
      <c r="T115" s="90"/>
    </row>
    <row r="116" spans="1:20" s="1" customFormat="1" ht="16.5" customHeight="1" x14ac:dyDescent="0.3">
      <c r="A116" s="305"/>
      <c r="B116" s="95" t="s">
        <v>689</v>
      </c>
      <c r="C116" s="204">
        <v>27</v>
      </c>
      <c r="D116" s="204">
        <v>160</v>
      </c>
      <c r="E116" s="204">
        <v>37</v>
      </c>
      <c r="F116" s="204">
        <v>18</v>
      </c>
      <c r="G116" s="204">
        <v>53</v>
      </c>
      <c r="H116" s="204">
        <v>202</v>
      </c>
      <c r="I116" s="204">
        <v>0</v>
      </c>
      <c r="J116" s="204">
        <v>87</v>
      </c>
      <c r="K116" s="204">
        <v>584</v>
      </c>
      <c r="L116" s="90"/>
      <c r="M116" s="90"/>
      <c r="N116" s="90"/>
      <c r="O116" s="90"/>
      <c r="P116" s="90"/>
      <c r="Q116" s="90"/>
      <c r="R116" s="90"/>
      <c r="S116" s="90"/>
      <c r="T116" s="90"/>
    </row>
    <row r="117" spans="1:20" s="1" customFormat="1" ht="16.5" customHeight="1" x14ac:dyDescent="0.3">
      <c r="A117" s="305"/>
      <c r="B117" s="95" t="s">
        <v>578</v>
      </c>
      <c r="C117" s="204">
        <v>0</v>
      </c>
      <c r="D117" s="204">
        <v>388</v>
      </c>
      <c r="E117" s="204">
        <v>122</v>
      </c>
      <c r="F117" s="204">
        <v>54</v>
      </c>
      <c r="G117" s="204">
        <v>75</v>
      </c>
      <c r="H117" s="204">
        <v>450</v>
      </c>
      <c r="I117" s="204">
        <v>0</v>
      </c>
      <c r="J117" s="204">
        <v>65</v>
      </c>
      <c r="K117" s="204">
        <v>1154</v>
      </c>
      <c r="L117" s="90"/>
      <c r="M117" s="90"/>
      <c r="N117" s="90"/>
      <c r="O117" s="90"/>
      <c r="P117" s="90"/>
      <c r="Q117" s="90"/>
      <c r="R117" s="90"/>
      <c r="S117" s="90"/>
      <c r="T117" s="90"/>
    </row>
    <row r="118" spans="1:20" s="1" customFormat="1" ht="16.5" customHeight="1" x14ac:dyDescent="0.3">
      <c r="A118" s="305"/>
      <c r="B118" s="95" t="s">
        <v>584</v>
      </c>
      <c r="C118" s="204">
        <v>0</v>
      </c>
      <c r="D118" s="204">
        <v>813</v>
      </c>
      <c r="E118" s="204">
        <v>308</v>
      </c>
      <c r="F118" s="204">
        <v>144</v>
      </c>
      <c r="G118" s="204">
        <v>112</v>
      </c>
      <c r="H118" s="204">
        <v>1066</v>
      </c>
      <c r="I118" s="204">
        <v>0</v>
      </c>
      <c r="J118" s="204">
        <v>570</v>
      </c>
      <c r="K118" s="204">
        <v>3013</v>
      </c>
      <c r="L118" s="90"/>
      <c r="M118" s="90"/>
      <c r="N118" s="90"/>
      <c r="O118" s="90"/>
      <c r="P118" s="90"/>
      <c r="Q118" s="90"/>
      <c r="R118" s="90"/>
      <c r="S118" s="90"/>
      <c r="T118" s="90"/>
    </row>
    <row r="119" spans="1:20" s="1" customFormat="1" ht="16.5" customHeight="1" x14ac:dyDescent="0.3">
      <c r="A119" s="305"/>
      <c r="B119" s="95" t="s">
        <v>575</v>
      </c>
      <c r="C119" s="204">
        <v>34</v>
      </c>
      <c r="D119" s="204">
        <v>972</v>
      </c>
      <c r="E119" s="204">
        <v>118</v>
      </c>
      <c r="F119" s="204">
        <v>31</v>
      </c>
      <c r="G119" s="204">
        <v>20</v>
      </c>
      <c r="H119" s="204">
        <v>128</v>
      </c>
      <c r="I119" s="204">
        <v>0</v>
      </c>
      <c r="J119" s="204">
        <v>118</v>
      </c>
      <c r="K119" s="204">
        <v>1421</v>
      </c>
      <c r="L119" s="90"/>
      <c r="M119" s="90"/>
      <c r="N119" s="90"/>
      <c r="O119" s="90"/>
      <c r="P119" s="90"/>
      <c r="Q119" s="90"/>
      <c r="R119" s="90"/>
      <c r="S119" s="90"/>
      <c r="T119" s="90"/>
    </row>
    <row r="120" spans="1:20" s="1" customFormat="1" ht="16.5" customHeight="1" x14ac:dyDescent="0.3">
      <c r="A120" s="305"/>
      <c r="B120" s="95" t="s">
        <v>585</v>
      </c>
      <c r="C120" s="204">
        <v>0</v>
      </c>
      <c r="D120" s="204">
        <v>640</v>
      </c>
      <c r="E120" s="204">
        <v>277</v>
      </c>
      <c r="F120" s="204">
        <v>195</v>
      </c>
      <c r="G120" s="204">
        <v>1421</v>
      </c>
      <c r="H120" s="204">
        <v>654</v>
      </c>
      <c r="I120" s="204">
        <v>0</v>
      </c>
      <c r="J120" s="204">
        <v>67</v>
      </c>
      <c r="K120" s="204">
        <v>3254</v>
      </c>
      <c r="L120" s="90"/>
      <c r="M120" s="90"/>
      <c r="N120" s="90"/>
      <c r="O120" s="90"/>
      <c r="P120" s="90"/>
      <c r="Q120" s="90"/>
      <c r="R120" s="90"/>
      <c r="S120" s="90"/>
      <c r="T120" s="90"/>
    </row>
    <row r="121" spans="1:20" s="1" customFormat="1" ht="16.5" customHeight="1" x14ac:dyDescent="0.3">
      <c r="A121" s="305"/>
      <c r="B121" s="95" t="s">
        <v>586</v>
      </c>
      <c r="C121" s="204">
        <v>3</v>
      </c>
      <c r="D121" s="204">
        <v>1737</v>
      </c>
      <c r="E121" s="204">
        <v>339</v>
      </c>
      <c r="F121" s="204">
        <v>9</v>
      </c>
      <c r="G121" s="204">
        <v>0</v>
      </c>
      <c r="H121" s="204">
        <v>73</v>
      </c>
      <c r="I121" s="204">
        <v>0</v>
      </c>
      <c r="J121" s="204">
        <v>230</v>
      </c>
      <c r="K121" s="204">
        <v>2391</v>
      </c>
      <c r="L121" s="90"/>
      <c r="M121" s="90"/>
      <c r="N121" s="90"/>
      <c r="O121" s="90"/>
      <c r="P121" s="90"/>
      <c r="Q121" s="90"/>
      <c r="R121" s="90"/>
      <c r="S121" s="90"/>
      <c r="T121" s="90"/>
    </row>
    <row r="122" spans="1:20" s="1" customFormat="1" ht="16.5" customHeight="1" x14ac:dyDescent="0.3">
      <c r="A122" s="306"/>
      <c r="B122" s="97" t="s">
        <v>86</v>
      </c>
      <c r="C122" s="207">
        <v>115</v>
      </c>
      <c r="D122" s="207">
        <v>17253</v>
      </c>
      <c r="E122" s="207">
        <v>3677</v>
      </c>
      <c r="F122" s="207">
        <v>2468</v>
      </c>
      <c r="G122" s="207">
        <v>8681</v>
      </c>
      <c r="H122" s="207">
        <v>10033</v>
      </c>
      <c r="I122" s="207">
        <v>14</v>
      </c>
      <c r="J122" s="207">
        <v>4024</v>
      </c>
      <c r="K122" s="207">
        <v>46265</v>
      </c>
      <c r="L122" s="90"/>
      <c r="M122" s="90"/>
      <c r="N122" s="90"/>
      <c r="O122" s="90"/>
      <c r="P122" s="90"/>
      <c r="Q122" s="90"/>
      <c r="R122" s="90"/>
      <c r="S122" s="90"/>
      <c r="T122" s="90"/>
    </row>
    <row r="123" spans="1:20" s="1" customFormat="1" ht="16.5" customHeight="1" x14ac:dyDescent="0.3">
      <c r="A123" s="304" t="s">
        <v>147</v>
      </c>
      <c r="B123" s="95" t="s">
        <v>589</v>
      </c>
      <c r="C123" s="204">
        <v>0</v>
      </c>
      <c r="D123" s="204">
        <v>328</v>
      </c>
      <c r="E123" s="204">
        <v>709</v>
      </c>
      <c r="F123" s="204">
        <v>63</v>
      </c>
      <c r="G123" s="204">
        <v>227</v>
      </c>
      <c r="H123" s="204">
        <v>884</v>
      </c>
      <c r="I123" s="204">
        <v>0</v>
      </c>
      <c r="J123" s="204">
        <v>129</v>
      </c>
      <c r="K123" s="204">
        <v>2340</v>
      </c>
      <c r="L123" s="90"/>
      <c r="M123" s="90"/>
      <c r="N123" s="90"/>
      <c r="O123" s="90"/>
      <c r="P123" s="90"/>
      <c r="Q123" s="90"/>
      <c r="R123" s="90"/>
      <c r="S123" s="90"/>
      <c r="T123" s="90"/>
    </row>
    <row r="124" spans="1:20" s="1" customFormat="1" ht="16.5" customHeight="1" x14ac:dyDescent="0.3">
      <c r="A124" s="305"/>
      <c r="B124" s="95" t="s">
        <v>593</v>
      </c>
      <c r="C124" s="204">
        <v>0</v>
      </c>
      <c r="D124" s="204">
        <v>330</v>
      </c>
      <c r="E124" s="204">
        <v>63</v>
      </c>
      <c r="F124" s="204">
        <v>106</v>
      </c>
      <c r="G124" s="204">
        <v>29</v>
      </c>
      <c r="H124" s="204">
        <v>166</v>
      </c>
      <c r="I124" s="204">
        <v>0</v>
      </c>
      <c r="J124" s="204">
        <v>19</v>
      </c>
      <c r="K124" s="204">
        <v>713</v>
      </c>
      <c r="L124" s="90"/>
      <c r="M124" s="90"/>
      <c r="N124" s="90"/>
      <c r="O124" s="90"/>
      <c r="P124" s="90"/>
      <c r="Q124" s="90"/>
      <c r="R124" s="90"/>
      <c r="S124" s="90"/>
      <c r="T124" s="90"/>
    </row>
    <row r="125" spans="1:20" s="1" customFormat="1" ht="16.5" customHeight="1" x14ac:dyDescent="0.3">
      <c r="A125" s="305"/>
      <c r="B125" s="95" t="s">
        <v>587</v>
      </c>
      <c r="C125" s="204">
        <v>2</v>
      </c>
      <c r="D125" s="204">
        <v>961</v>
      </c>
      <c r="E125" s="204">
        <v>614</v>
      </c>
      <c r="F125" s="204">
        <v>679</v>
      </c>
      <c r="G125" s="204">
        <v>269</v>
      </c>
      <c r="H125" s="204">
        <v>1014</v>
      </c>
      <c r="I125" s="204">
        <v>0</v>
      </c>
      <c r="J125" s="204">
        <v>96</v>
      </c>
      <c r="K125" s="204">
        <v>3635</v>
      </c>
      <c r="L125" s="90"/>
      <c r="M125" s="90"/>
      <c r="N125" s="90"/>
      <c r="O125" s="90"/>
      <c r="P125" s="90"/>
      <c r="Q125" s="90"/>
      <c r="R125" s="90"/>
      <c r="S125" s="90"/>
      <c r="T125" s="90"/>
    </row>
    <row r="126" spans="1:20" s="1" customFormat="1" ht="16.5" customHeight="1" x14ac:dyDescent="0.3">
      <c r="A126" s="305"/>
      <c r="B126" s="95" t="s">
        <v>690</v>
      </c>
      <c r="C126" s="204">
        <v>0</v>
      </c>
      <c r="D126" s="204">
        <v>153</v>
      </c>
      <c r="E126" s="204">
        <v>162</v>
      </c>
      <c r="F126" s="204">
        <v>21</v>
      </c>
      <c r="G126" s="204">
        <v>2</v>
      </c>
      <c r="H126" s="204">
        <v>72</v>
      </c>
      <c r="I126" s="204">
        <v>0</v>
      </c>
      <c r="J126" s="204">
        <v>25</v>
      </c>
      <c r="K126" s="204">
        <v>435</v>
      </c>
      <c r="L126" s="90"/>
      <c r="M126" s="90"/>
      <c r="N126" s="90"/>
      <c r="O126" s="90"/>
      <c r="P126" s="90"/>
      <c r="Q126" s="90"/>
      <c r="R126" s="90"/>
      <c r="S126" s="90"/>
      <c r="T126" s="90"/>
    </row>
    <row r="127" spans="1:20" s="1" customFormat="1" ht="16.5" customHeight="1" x14ac:dyDescent="0.3">
      <c r="A127" s="305"/>
      <c r="B127" s="95" t="s">
        <v>588</v>
      </c>
      <c r="C127" s="204">
        <v>10</v>
      </c>
      <c r="D127" s="204">
        <v>478</v>
      </c>
      <c r="E127" s="204">
        <v>522</v>
      </c>
      <c r="F127" s="204">
        <v>28</v>
      </c>
      <c r="G127" s="204">
        <v>203</v>
      </c>
      <c r="H127" s="204">
        <v>429</v>
      </c>
      <c r="I127" s="204">
        <v>0</v>
      </c>
      <c r="J127" s="204">
        <v>93</v>
      </c>
      <c r="K127" s="204">
        <v>1763</v>
      </c>
      <c r="L127" s="90"/>
      <c r="M127" s="90"/>
      <c r="N127" s="90"/>
      <c r="O127" s="90"/>
      <c r="P127" s="90"/>
      <c r="Q127" s="90"/>
      <c r="R127" s="90"/>
      <c r="S127" s="90"/>
      <c r="T127" s="90"/>
    </row>
    <row r="128" spans="1:20" s="1" customFormat="1" ht="16.5" customHeight="1" x14ac:dyDescent="0.3">
      <c r="A128" s="305"/>
      <c r="B128" s="95" t="s">
        <v>591</v>
      </c>
      <c r="C128" s="204">
        <v>0</v>
      </c>
      <c r="D128" s="204">
        <v>181</v>
      </c>
      <c r="E128" s="204">
        <v>26</v>
      </c>
      <c r="F128" s="204">
        <v>11</v>
      </c>
      <c r="G128" s="204">
        <v>133</v>
      </c>
      <c r="H128" s="204">
        <v>595</v>
      </c>
      <c r="I128" s="204">
        <v>0</v>
      </c>
      <c r="J128" s="204">
        <v>25</v>
      </c>
      <c r="K128" s="204">
        <v>971</v>
      </c>
      <c r="L128" s="90"/>
      <c r="M128" s="90"/>
      <c r="N128" s="90"/>
      <c r="O128" s="90"/>
      <c r="P128" s="90"/>
      <c r="Q128" s="90"/>
      <c r="R128" s="90"/>
      <c r="S128" s="90"/>
      <c r="T128" s="90"/>
    </row>
    <row r="129" spans="1:20" s="1" customFormat="1" ht="16.5" customHeight="1" x14ac:dyDescent="0.3">
      <c r="A129" s="305"/>
      <c r="B129" s="95" t="s">
        <v>592</v>
      </c>
      <c r="C129" s="204">
        <v>0</v>
      </c>
      <c r="D129" s="204">
        <v>92</v>
      </c>
      <c r="E129" s="204">
        <v>90</v>
      </c>
      <c r="F129" s="204">
        <v>11</v>
      </c>
      <c r="G129" s="204">
        <v>93</v>
      </c>
      <c r="H129" s="204">
        <v>305</v>
      </c>
      <c r="I129" s="204">
        <v>0</v>
      </c>
      <c r="J129" s="204">
        <v>60</v>
      </c>
      <c r="K129" s="204">
        <v>651</v>
      </c>
      <c r="L129" s="90"/>
      <c r="M129" s="90"/>
      <c r="N129" s="90"/>
      <c r="O129" s="90"/>
      <c r="P129" s="90"/>
      <c r="Q129" s="90"/>
      <c r="R129" s="90"/>
      <c r="S129" s="90"/>
      <c r="T129" s="90"/>
    </row>
    <row r="130" spans="1:20" s="1" customFormat="1" ht="16.5" customHeight="1" x14ac:dyDescent="0.3">
      <c r="A130" s="305"/>
      <c r="B130" s="95" t="s">
        <v>590</v>
      </c>
      <c r="C130" s="204">
        <v>0</v>
      </c>
      <c r="D130" s="204">
        <v>71</v>
      </c>
      <c r="E130" s="204">
        <v>10</v>
      </c>
      <c r="F130" s="204">
        <v>15</v>
      </c>
      <c r="G130" s="204">
        <v>199</v>
      </c>
      <c r="H130" s="204">
        <v>384</v>
      </c>
      <c r="I130" s="204">
        <v>0</v>
      </c>
      <c r="J130" s="204">
        <v>17</v>
      </c>
      <c r="K130" s="204">
        <v>696</v>
      </c>
      <c r="L130" s="90"/>
      <c r="M130" s="90"/>
      <c r="N130" s="90"/>
      <c r="O130" s="90"/>
      <c r="P130" s="90"/>
      <c r="Q130" s="90"/>
      <c r="R130" s="90"/>
      <c r="S130" s="90"/>
      <c r="T130" s="90"/>
    </row>
    <row r="131" spans="1:20" s="1" customFormat="1" ht="16.5" customHeight="1" x14ac:dyDescent="0.3">
      <c r="A131" s="305"/>
      <c r="B131" s="95" t="s">
        <v>594</v>
      </c>
      <c r="C131" s="204">
        <v>0</v>
      </c>
      <c r="D131" s="204">
        <v>522</v>
      </c>
      <c r="E131" s="204">
        <v>170</v>
      </c>
      <c r="F131" s="204">
        <v>1</v>
      </c>
      <c r="G131" s="204">
        <v>0</v>
      </c>
      <c r="H131" s="204">
        <v>27</v>
      </c>
      <c r="I131" s="204">
        <v>0</v>
      </c>
      <c r="J131" s="204">
        <v>32</v>
      </c>
      <c r="K131" s="204">
        <v>752</v>
      </c>
      <c r="L131" s="90"/>
      <c r="M131" s="90"/>
      <c r="N131" s="90"/>
      <c r="O131" s="90"/>
      <c r="P131" s="90"/>
      <c r="Q131" s="90"/>
      <c r="R131" s="90"/>
      <c r="S131" s="90"/>
      <c r="T131" s="90"/>
    </row>
    <row r="132" spans="1:20" s="1" customFormat="1" ht="16.5" customHeight="1" x14ac:dyDescent="0.3">
      <c r="A132" s="306"/>
      <c r="B132" s="97" t="s">
        <v>86</v>
      </c>
      <c r="C132" s="207">
        <v>12</v>
      </c>
      <c r="D132" s="207">
        <v>3116</v>
      </c>
      <c r="E132" s="207">
        <v>2365</v>
      </c>
      <c r="F132" s="207">
        <v>935</v>
      </c>
      <c r="G132" s="207">
        <v>1155</v>
      </c>
      <c r="H132" s="207">
        <v>3876</v>
      </c>
      <c r="I132" s="207">
        <v>0</v>
      </c>
      <c r="J132" s="207">
        <v>495</v>
      </c>
      <c r="K132" s="207">
        <v>11954</v>
      </c>
      <c r="L132" s="90"/>
      <c r="M132" s="90"/>
      <c r="N132" s="90"/>
      <c r="O132" s="90"/>
      <c r="P132" s="90"/>
      <c r="Q132" s="90"/>
      <c r="R132" s="90"/>
      <c r="S132" s="90"/>
      <c r="T132" s="90"/>
    </row>
    <row r="133" spans="1:20" s="1" customFormat="1" ht="16.5" customHeight="1" x14ac:dyDescent="0.3">
      <c r="A133" s="304" t="s">
        <v>148</v>
      </c>
      <c r="B133" s="95" t="s">
        <v>597</v>
      </c>
      <c r="C133" s="204">
        <v>0</v>
      </c>
      <c r="D133" s="204">
        <v>44</v>
      </c>
      <c r="E133" s="204">
        <v>281</v>
      </c>
      <c r="F133" s="204">
        <v>18</v>
      </c>
      <c r="G133" s="204">
        <v>49</v>
      </c>
      <c r="H133" s="204">
        <v>249</v>
      </c>
      <c r="I133" s="204">
        <v>0</v>
      </c>
      <c r="J133" s="204">
        <v>34</v>
      </c>
      <c r="K133" s="204">
        <v>675</v>
      </c>
      <c r="L133" s="90"/>
      <c r="M133" s="90"/>
      <c r="N133" s="90"/>
      <c r="O133" s="90"/>
      <c r="P133" s="90"/>
      <c r="Q133" s="90"/>
      <c r="R133" s="90"/>
      <c r="S133" s="90"/>
      <c r="T133" s="90"/>
    </row>
    <row r="134" spans="1:20" s="1" customFormat="1" ht="16.5" customHeight="1" x14ac:dyDescent="0.3">
      <c r="A134" s="305"/>
      <c r="B134" s="95" t="s">
        <v>596</v>
      </c>
      <c r="C134" s="204">
        <v>0</v>
      </c>
      <c r="D134" s="204">
        <v>269</v>
      </c>
      <c r="E134" s="204">
        <v>518</v>
      </c>
      <c r="F134" s="204">
        <v>0</v>
      </c>
      <c r="G134" s="204">
        <v>26</v>
      </c>
      <c r="H134" s="204">
        <v>166</v>
      </c>
      <c r="I134" s="204">
        <v>0</v>
      </c>
      <c r="J134" s="204">
        <v>66</v>
      </c>
      <c r="K134" s="204">
        <v>1045</v>
      </c>
      <c r="L134" s="90"/>
      <c r="M134" s="90"/>
      <c r="N134" s="90"/>
      <c r="O134" s="90"/>
      <c r="P134" s="90"/>
      <c r="Q134" s="90"/>
      <c r="R134" s="90"/>
      <c r="S134" s="90"/>
      <c r="T134" s="90"/>
    </row>
    <row r="135" spans="1:20" s="1" customFormat="1" ht="16.5" customHeight="1" x14ac:dyDescent="0.3">
      <c r="A135" s="305"/>
      <c r="B135" s="95" t="s">
        <v>605</v>
      </c>
      <c r="C135" s="204">
        <v>0</v>
      </c>
      <c r="D135" s="204">
        <v>370</v>
      </c>
      <c r="E135" s="204">
        <v>24</v>
      </c>
      <c r="F135" s="204">
        <v>145</v>
      </c>
      <c r="G135" s="204">
        <v>9</v>
      </c>
      <c r="H135" s="204">
        <v>171</v>
      </c>
      <c r="I135" s="204">
        <v>0</v>
      </c>
      <c r="J135" s="204">
        <v>15</v>
      </c>
      <c r="K135" s="204">
        <v>734</v>
      </c>
      <c r="L135" s="90"/>
      <c r="M135" s="90"/>
      <c r="N135" s="90"/>
      <c r="O135" s="90"/>
      <c r="P135" s="90"/>
      <c r="Q135" s="90"/>
      <c r="R135" s="90"/>
      <c r="S135" s="90"/>
      <c r="T135" s="90"/>
    </row>
    <row r="136" spans="1:20" s="1" customFormat="1" ht="16.5" customHeight="1" x14ac:dyDescent="0.3">
      <c r="A136" s="305"/>
      <c r="B136" s="95" t="s">
        <v>598</v>
      </c>
      <c r="C136" s="204">
        <v>0</v>
      </c>
      <c r="D136" s="204">
        <v>29</v>
      </c>
      <c r="E136" s="204">
        <v>359</v>
      </c>
      <c r="F136" s="204">
        <v>2</v>
      </c>
      <c r="G136" s="204">
        <v>4</v>
      </c>
      <c r="H136" s="204">
        <v>30</v>
      </c>
      <c r="I136" s="204">
        <v>0</v>
      </c>
      <c r="J136" s="204">
        <v>0</v>
      </c>
      <c r="K136" s="204">
        <v>424</v>
      </c>
      <c r="L136" s="90"/>
      <c r="M136" s="90"/>
      <c r="N136" s="90"/>
      <c r="O136" s="90"/>
      <c r="P136" s="90"/>
      <c r="Q136" s="90"/>
      <c r="R136" s="90"/>
      <c r="S136" s="90"/>
      <c r="T136" s="90"/>
    </row>
    <row r="137" spans="1:20" s="1" customFormat="1" ht="16.5" customHeight="1" x14ac:dyDescent="0.3">
      <c r="A137" s="305"/>
      <c r="B137" s="95" t="s">
        <v>601</v>
      </c>
      <c r="C137" s="204">
        <v>0</v>
      </c>
      <c r="D137" s="204">
        <v>17</v>
      </c>
      <c r="E137" s="204">
        <v>31</v>
      </c>
      <c r="F137" s="204">
        <v>8</v>
      </c>
      <c r="G137" s="204">
        <v>38</v>
      </c>
      <c r="H137" s="204">
        <v>356</v>
      </c>
      <c r="I137" s="204">
        <v>0</v>
      </c>
      <c r="J137" s="204">
        <v>65</v>
      </c>
      <c r="K137" s="204">
        <v>515</v>
      </c>
      <c r="L137" s="90"/>
      <c r="M137" s="90"/>
      <c r="N137" s="90"/>
      <c r="O137" s="90"/>
      <c r="P137" s="90"/>
      <c r="Q137" s="90"/>
      <c r="R137" s="90"/>
      <c r="S137" s="90"/>
      <c r="T137" s="90"/>
    </row>
    <row r="138" spans="1:20" s="1" customFormat="1" ht="16.5" customHeight="1" x14ac:dyDescent="0.3">
      <c r="A138" s="305"/>
      <c r="B138" s="95" t="s">
        <v>603</v>
      </c>
      <c r="C138" s="204">
        <v>0</v>
      </c>
      <c r="D138" s="204">
        <v>39</v>
      </c>
      <c r="E138" s="204">
        <v>34</v>
      </c>
      <c r="F138" s="204">
        <v>35</v>
      </c>
      <c r="G138" s="204">
        <v>105</v>
      </c>
      <c r="H138" s="204">
        <v>608</v>
      </c>
      <c r="I138" s="204">
        <v>0</v>
      </c>
      <c r="J138" s="204">
        <v>161</v>
      </c>
      <c r="K138" s="204">
        <v>982</v>
      </c>
      <c r="L138" s="90"/>
      <c r="M138" s="90"/>
      <c r="N138" s="90"/>
      <c r="O138" s="90"/>
      <c r="P138" s="90"/>
      <c r="Q138" s="90"/>
      <c r="R138" s="90"/>
      <c r="S138" s="90"/>
      <c r="T138" s="90"/>
    </row>
    <row r="139" spans="1:20" s="1" customFormat="1" ht="16.5" customHeight="1" x14ac:dyDescent="0.3">
      <c r="A139" s="305"/>
      <c r="B139" s="95" t="s">
        <v>602</v>
      </c>
      <c r="C139" s="204">
        <v>0</v>
      </c>
      <c r="D139" s="204">
        <v>1</v>
      </c>
      <c r="E139" s="204">
        <v>2</v>
      </c>
      <c r="F139" s="204">
        <v>0</v>
      </c>
      <c r="G139" s="204">
        <v>15</v>
      </c>
      <c r="H139" s="204">
        <v>59</v>
      </c>
      <c r="I139" s="204">
        <v>0</v>
      </c>
      <c r="J139" s="204">
        <v>9</v>
      </c>
      <c r="K139" s="204">
        <v>86</v>
      </c>
      <c r="L139" s="90"/>
      <c r="M139" s="90"/>
      <c r="N139" s="90"/>
      <c r="O139" s="90"/>
      <c r="P139" s="90"/>
      <c r="Q139" s="90"/>
      <c r="R139" s="90"/>
      <c r="S139" s="90"/>
      <c r="T139" s="90"/>
    </row>
    <row r="140" spans="1:20" s="1" customFormat="1" ht="16.5" customHeight="1" x14ac:dyDescent="0.3">
      <c r="A140" s="305"/>
      <c r="B140" s="95" t="s">
        <v>599</v>
      </c>
      <c r="C140" s="204">
        <v>0</v>
      </c>
      <c r="D140" s="204">
        <v>39</v>
      </c>
      <c r="E140" s="204">
        <v>102</v>
      </c>
      <c r="F140" s="204">
        <v>27</v>
      </c>
      <c r="G140" s="204">
        <v>179</v>
      </c>
      <c r="H140" s="204">
        <v>555</v>
      </c>
      <c r="I140" s="204">
        <v>0</v>
      </c>
      <c r="J140" s="204">
        <v>83</v>
      </c>
      <c r="K140" s="204">
        <v>985</v>
      </c>
      <c r="L140" s="90"/>
      <c r="M140" s="90"/>
      <c r="N140" s="90"/>
      <c r="O140" s="90"/>
      <c r="P140" s="90"/>
      <c r="Q140" s="90"/>
      <c r="R140" s="90"/>
      <c r="S140" s="90"/>
      <c r="T140" s="90"/>
    </row>
    <row r="141" spans="1:20" s="1" customFormat="1" ht="16.5" customHeight="1" x14ac:dyDescent="0.3">
      <c r="A141" s="305"/>
      <c r="B141" s="95" t="s">
        <v>595</v>
      </c>
      <c r="C141" s="204">
        <v>1</v>
      </c>
      <c r="D141" s="204">
        <v>551</v>
      </c>
      <c r="E141" s="204">
        <v>445</v>
      </c>
      <c r="F141" s="204">
        <v>149</v>
      </c>
      <c r="G141" s="204">
        <v>63</v>
      </c>
      <c r="H141" s="204">
        <v>332</v>
      </c>
      <c r="I141" s="204">
        <v>0</v>
      </c>
      <c r="J141" s="204">
        <v>132</v>
      </c>
      <c r="K141" s="204">
        <v>1673</v>
      </c>
      <c r="L141" s="90"/>
      <c r="M141" s="90"/>
      <c r="N141" s="90"/>
      <c r="O141" s="90"/>
      <c r="P141" s="90"/>
      <c r="Q141" s="90"/>
      <c r="R141" s="90"/>
      <c r="S141" s="90"/>
      <c r="T141" s="90"/>
    </row>
    <row r="142" spans="1:20" s="1" customFormat="1" ht="16.5" customHeight="1" x14ac:dyDescent="0.3">
      <c r="A142" s="305"/>
      <c r="B142" s="95" t="s">
        <v>604</v>
      </c>
      <c r="C142" s="204">
        <v>0</v>
      </c>
      <c r="D142" s="204">
        <v>20</v>
      </c>
      <c r="E142" s="204">
        <v>29</v>
      </c>
      <c r="F142" s="204">
        <v>20</v>
      </c>
      <c r="G142" s="204">
        <v>0</v>
      </c>
      <c r="H142" s="204">
        <v>16</v>
      </c>
      <c r="I142" s="204">
        <v>0</v>
      </c>
      <c r="J142" s="204">
        <v>11</v>
      </c>
      <c r="K142" s="204">
        <v>96</v>
      </c>
      <c r="L142" s="90"/>
      <c r="M142" s="90"/>
      <c r="N142" s="90"/>
      <c r="O142" s="90"/>
      <c r="P142" s="90"/>
      <c r="Q142" s="90"/>
      <c r="R142" s="90"/>
      <c r="S142" s="90"/>
      <c r="T142" s="90"/>
    </row>
    <row r="143" spans="1:20" s="1" customFormat="1" ht="16.5" customHeight="1" x14ac:dyDescent="0.3">
      <c r="A143" s="305"/>
      <c r="B143" s="95" t="s">
        <v>600</v>
      </c>
      <c r="C143" s="204">
        <v>1</v>
      </c>
      <c r="D143" s="204">
        <v>9</v>
      </c>
      <c r="E143" s="204">
        <v>6</v>
      </c>
      <c r="F143" s="204">
        <v>10</v>
      </c>
      <c r="G143" s="204">
        <v>16</v>
      </c>
      <c r="H143" s="204">
        <v>174</v>
      </c>
      <c r="I143" s="204">
        <v>0</v>
      </c>
      <c r="J143" s="204">
        <v>31</v>
      </c>
      <c r="K143" s="204">
        <v>247</v>
      </c>
      <c r="L143" s="90"/>
      <c r="M143" s="90"/>
      <c r="N143" s="90"/>
      <c r="O143" s="90"/>
      <c r="P143" s="90"/>
      <c r="Q143" s="90"/>
      <c r="R143" s="90"/>
      <c r="S143" s="90"/>
      <c r="T143" s="90"/>
    </row>
    <row r="144" spans="1:20" s="1" customFormat="1" ht="16.5" customHeight="1" x14ac:dyDescent="0.3">
      <c r="A144" s="305"/>
      <c r="B144" s="95" t="s">
        <v>606</v>
      </c>
      <c r="C144" s="204">
        <v>1</v>
      </c>
      <c r="D144" s="204">
        <v>1</v>
      </c>
      <c r="E144" s="204">
        <v>67</v>
      </c>
      <c r="F144" s="204">
        <v>0</v>
      </c>
      <c r="G144" s="204">
        <v>1</v>
      </c>
      <c r="H144" s="204">
        <v>9</v>
      </c>
      <c r="I144" s="204">
        <v>0</v>
      </c>
      <c r="J144" s="204">
        <v>93</v>
      </c>
      <c r="K144" s="204">
        <v>172</v>
      </c>
      <c r="L144" s="90"/>
      <c r="M144" s="90"/>
      <c r="N144" s="90"/>
      <c r="O144" s="90"/>
      <c r="P144" s="90"/>
      <c r="Q144" s="90"/>
      <c r="R144" s="90"/>
      <c r="S144" s="90"/>
      <c r="T144" s="90"/>
    </row>
    <row r="145" spans="1:20" s="1" customFormat="1" ht="16.5" customHeight="1" x14ac:dyDescent="0.3">
      <c r="A145" s="306"/>
      <c r="B145" s="97" t="s">
        <v>86</v>
      </c>
      <c r="C145" s="207">
        <v>3</v>
      </c>
      <c r="D145" s="207">
        <v>1388</v>
      </c>
      <c r="E145" s="207">
        <v>1900</v>
      </c>
      <c r="F145" s="207">
        <v>413</v>
      </c>
      <c r="G145" s="207">
        <v>505</v>
      </c>
      <c r="H145" s="207">
        <v>2723</v>
      </c>
      <c r="I145" s="207">
        <v>0</v>
      </c>
      <c r="J145" s="207">
        <v>700</v>
      </c>
      <c r="K145" s="207">
        <v>7632</v>
      </c>
      <c r="L145" s="90"/>
      <c r="M145" s="90"/>
      <c r="N145" s="90"/>
      <c r="O145" s="90"/>
      <c r="P145" s="90"/>
      <c r="Q145" s="90"/>
      <c r="R145" s="90"/>
      <c r="S145" s="90"/>
      <c r="T145" s="90"/>
    </row>
    <row r="146" spans="1:20" s="1" customFormat="1" ht="16.5" customHeight="1" x14ac:dyDescent="0.3">
      <c r="A146" s="304" t="s">
        <v>152</v>
      </c>
      <c r="B146" s="95" t="s">
        <v>691</v>
      </c>
      <c r="C146" s="204">
        <v>0</v>
      </c>
      <c r="D146" s="204">
        <v>65</v>
      </c>
      <c r="E146" s="204">
        <v>43</v>
      </c>
      <c r="F146" s="204">
        <v>0</v>
      </c>
      <c r="G146" s="204">
        <v>47</v>
      </c>
      <c r="H146" s="204">
        <v>292</v>
      </c>
      <c r="I146" s="204">
        <v>0</v>
      </c>
      <c r="J146" s="204">
        <v>110</v>
      </c>
      <c r="K146" s="204">
        <v>557</v>
      </c>
      <c r="L146" s="90"/>
      <c r="M146" s="90"/>
      <c r="N146" s="90"/>
      <c r="O146" s="90"/>
      <c r="P146" s="90"/>
      <c r="Q146" s="90"/>
      <c r="R146" s="90"/>
      <c r="S146" s="90"/>
      <c r="T146" s="90"/>
    </row>
    <row r="147" spans="1:20" s="1" customFormat="1" ht="16.5" customHeight="1" x14ac:dyDescent="0.3">
      <c r="A147" s="305"/>
      <c r="B147" s="95" t="s">
        <v>611</v>
      </c>
      <c r="C147" s="204">
        <v>1</v>
      </c>
      <c r="D147" s="204">
        <v>155</v>
      </c>
      <c r="E147" s="204">
        <v>108</v>
      </c>
      <c r="F147" s="204">
        <v>8</v>
      </c>
      <c r="G147" s="204">
        <v>13</v>
      </c>
      <c r="H147" s="204">
        <v>598</v>
      </c>
      <c r="I147" s="204">
        <v>0</v>
      </c>
      <c r="J147" s="204">
        <v>47</v>
      </c>
      <c r="K147" s="204">
        <v>930</v>
      </c>
      <c r="L147" s="90"/>
      <c r="M147" s="90"/>
      <c r="N147" s="90"/>
      <c r="O147" s="90"/>
      <c r="P147" s="90"/>
      <c r="Q147" s="90"/>
      <c r="R147" s="90"/>
      <c r="S147" s="90"/>
      <c r="T147" s="90"/>
    </row>
    <row r="148" spans="1:20" s="1" customFormat="1" ht="16.5" customHeight="1" x14ac:dyDescent="0.3">
      <c r="A148" s="305"/>
      <c r="B148" s="95" t="s">
        <v>607</v>
      </c>
      <c r="C148" s="204">
        <v>0</v>
      </c>
      <c r="D148" s="204">
        <v>259</v>
      </c>
      <c r="E148" s="204">
        <v>276</v>
      </c>
      <c r="F148" s="204">
        <v>26</v>
      </c>
      <c r="G148" s="204">
        <v>179</v>
      </c>
      <c r="H148" s="204">
        <v>651</v>
      </c>
      <c r="I148" s="204">
        <v>0</v>
      </c>
      <c r="J148" s="204">
        <v>66</v>
      </c>
      <c r="K148" s="204">
        <v>1457</v>
      </c>
      <c r="L148" s="90"/>
      <c r="M148" s="90"/>
      <c r="N148" s="90"/>
      <c r="O148" s="90"/>
      <c r="P148" s="90"/>
      <c r="Q148" s="90"/>
      <c r="R148" s="90"/>
      <c r="S148" s="90"/>
      <c r="T148" s="90"/>
    </row>
    <row r="149" spans="1:20" s="1" customFormat="1" ht="16.5" customHeight="1" x14ac:dyDescent="0.3">
      <c r="A149" s="305"/>
      <c r="B149" s="95" t="s">
        <v>614</v>
      </c>
      <c r="C149" s="204">
        <v>0</v>
      </c>
      <c r="D149" s="204">
        <v>190</v>
      </c>
      <c r="E149" s="204">
        <v>227</v>
      </c>
      <c r="F149" s="204">
        <v>98</v>
      </c>
      <c r="G149" s="204">
        <v>564</v>
      </c>
      <c r="H149" s="204">
        <v>1536</v>
      </c>
      <c r="I149" s="204">
        <v>0</v>
      </c>
      <c r="J149" s="204">
        <v>362</v>
      </c>
      <c r="K149" s="204">
        <v>2977</v>
      </c>
      <c r="L149" s="90"/>
      <c r="M149" s="90"/>
      <c r="N149" s="90"/>
      <c r="O149" s="90"/>
      <c r="P149" s="90"/>
      <c r="Q149" s="90"/>
      <c r="R149" s="90"/>
      <c r="S149" s="90"/>
      <c r="T149" s="90"/>
    </row>
    <row r="150" spans="1:20" s="1" customFormat="1" ht="16.5" customHeight="1" x14ac:dyDescent="0.3">
      <c r="A150" s="305"/>
      <c r="B150" s="95" t="s">
        <v>615</v>
      </c>
      <c r="C150" s="204">
        <v>0</v>
      </c>
      <c r="D150" s="204">
        <v>3275</v>
      </c>
      <c r="E150" s="204">
        <v>177</v>
      </c>
      <c r="F150" s="204">
        <v>428</v>
      </c>
      <c r="G150" s="204">
        <v>1985</v>
      </c>
      <c r="H150" s="204">
        <v>539</v>
      </c>
      <c r="I150" s="204">
        <v>0</v>
      </c>
      <c r="J150" s="204">
        <v>23</v>
      </c>
      <c r="K150" s="204">
        <v>6427</v>
      </c>
      <c r="L150" s="90"/>
      <c r="M150" s="90"/>
      <c r="N150" s="90"/>
      <c r="O150" s="90"/>
      <c r="P150" s="90"/>
      <c r="Q150" s="90"/>
      <c r="R150" s="90"/>
      <c r="S150" s="90"/>
      <c r="T150" s="90"/>
    </row>
    <row r="151" spans="1:20" s="1" customFormat="1" ht="16.5" customHeight="1" x14ac:dyDescent="0.3">
      <c r="A151" s="305"/>
      <c r="B151" s="95" t="s">
        <v>692</v>
      </c>
      <c r="C151" s="204">
        <v>0</v>
      </c>
      <c r="D151" s="204">
        <v>971</v>
      </c>
      <c r="E151" s="204">
        <v>1823</v>
      </c>
      <c r="F151" s="204">
        <v>76</v>
      </c>
      <c r="G151" s="204">
        <v>462</v>
      </c>
      <c r="H151" s="204">
        <v>1648</v>
      </c>
      <c r="I151" s="204">
        <v>0</v>
      </c>
      <c r="J151" s="204">
        <v>730</v>
      </c>
      <c r="K151" s="204">
        <v>5710</v>
      </c>
      <c r="L151" s="90"/>
      <c r="M151" s="90"/>
      <c r="N151" s="90"/>
      <c r="O151" s="90"/>
      <c r="P151" s="90"/>
      <c r="Q151" s="90"/>
      <c r="R151" s="90"/>
      <c r="S151" s="90"/>
      <c r="T151" s="90"/>
    </row>
    <row r="152" spans="1:20" s="1" customFormat="1" ht="16.5" customHeight="1" x14ac:dyDescent="0.3">
      <c r="A152" s="305"/>
      <c r="B152" s="95" t="s">
        <v>608</v>
      </c>
      <c r="C152" s="204">
        <v>0</v>
      </c>
      <c r="D152" s="204">
        <v>293</v>
      </c>
      <c r="E152" s="204">
        <v>213</v>
      </c>
      <c r="F152" s="204">
        <v>49</v>
      </c>
      <c r="G152" s="204">
        <v>468</v>
      </c>
      <c r="H152" s="204">
        <v>1102</v>
      </c>
      <c r="I152" s="204">
        <v>0</v>
      </c>
      <c r="J152" s="204">
        <v>116</v>
      </c>
      <c r="K152" s="204">
        <v>2241</v>
      </c>
      <c r="L152" s="90"/>
      <c r="M152" s="90"/>
      <c r="N152" s="90"/>
      <c r="O152" s="90"/>
      <c r="P152" s="90"/>
      <c r="Q152" s="90"/>
      <c r="R152" s="90"/>
      <c r="S152" s="90"/>
      <c r="T152" s="90"/>
    </row>
    <row r="153" spans="1:20" s="1" customFormat="1" ht="16.5" customHeight="1" x14ac:dyDescent="0.3">
      <c r="A153" s="305"/>
      <c r="B153" s="95" t="s">
        <v>612</v>
      </c>
      <c r="C153" s="204">
        <v>0</v>
      </c>
      <c r="D153" s="204">
        <v>148</v>
      </c>
      <c r="E153" s="204">
        <v>75</v>
      </c>
      <c r="F153" s="204">
        <v>0</v>
      </c>
      <c r="G153" s="204">
        <v>32</v>
      </c>
      <c r="H153" s="204">
        <v>144</v>
      </c>
      <c r="I153" s="204">
        <v>0</v>
      </c>
      <c r="J153" s="204">
        <v>78</v>
      </c>
      <c r="K153" s="204">
        <v>477</v>
      </c>
      <c r="L153" s="90"/>
      <c r="M153" s="90"/>
      <c r="N153" s="90"/>
      <c r="O153" s="90"/>
      <c r="P153" s="90"/>
      <c r="Q153" s="90"/>
      <c r="R153" s="90"/>
      <c r="S153" s="90"/>
      <c r="T153" s="90"/>
    </row>
    <row r="154" spans="1:20" s="1" customFormat="1" ht="16.5" customHeight="1" x14ac:dyDescent="0.3">
      <c r="A154" s="305"/>
      <c r="B154" s="95" t="s">
        <v>610</v>
      </c>
      <c r="C154" s="204">
        <v>0</v>
      </c>
      <c r="D154" s="204">
        <v>245</v>
      </c>
      <c r="E154" s="204">
        <v>163</v>
      </c>
      <c r="F154" s="204">
        <v>30</v>
      </c>
      <c r="G154" s="204">
        <v>252</v>
      </c>
      <c r="H154" s="204">
        <v>984</v>
      </c>
      <c r="I154" s="204">
        <v>0</v>
      </c>
      <c r="J154" s="204">
        <v>196</v>
      </c>
      <c r="K154" s="204">
        <v>1870</v>
      </c>
      <c r="L154" s="90"/>
      <c r="M154" s="90"/>
      <c r="N154" s="90"/>
      <c r="O154" s="90"/>
      <c r="P154" s="90"/>
      <c r="Q154" s="90"/>
      <c r="R154" s="90"/>
      <c r="S154" s="90"/>
      <c r="T154" s="90"/>
    </row>
    <row r="155" spans="1:20" s="1" customFormat="1" ht="16.5" customHeight="1" x14ac:dyDescent="0.3">
      <c r="A155" s="305"/>
      <c r="B155" s="95" t="s">
        <v>613</v>
      </c>
      <c r="C155" s="204">
        <v>0</v>
      </c>
      <c r="D155" s="204">
        <v>479</v>
      </c>
      <c r="E155" s="204">
        <v>340</v>
      </c>
      <c r="F155" s="204">
        <v>123</v>
      </c>
      <c r="G155" s="204">
        <v>210</v>
      </c>
      <c r="H155" s="204">
        <v>937</v>
      </c>
      <c r="I155" s="204">
        <v>0</v>
      </c>
      <c r="J155" s="204">
        <v>513</v>
      </c>
      <c r="K155" s="204">
        <v>2602</v>
      </c>
      <c r="L155" s="90"/>
      <c r="M155" s="90"/>
      <c r="N155" s="90"/>
      <c r="O155" s="90"/>
      <c r="P155" s="90"/>
      <c r="Q155" s="90"/>
      <c r="R155" s="90"/>
      <c r="S155" s="90"/>
      <c r="T155" s="90"/>
    </row>
    <row r="156" spans="1:20" s="1" customFormat="1" ht="16.5" customHeight="1" x14ac:dyDescent="0.3">
      <c r="A156" s="305"/>
      <c r="B156" s="95" t="s">
        <v>609</v>
      </c>
      <c r="C156" s="204">
        <v>0</v>
      </c>
      <c r="D156" s="204">
        <v>354</v>
      </c>
      <c r="E156" s="204">
        <v>157</v>
      </c>
      <c r="F156" s="204">
        <v>213</v>
      </c>
      <c r="G156" s="204">
        <v>58</v>
      </c>
      <c r="H156" s="204">
        <v>833</v>
      </c>
      <c r="I156" s="204">
        <v>0</v>
      </c>
      <c r="J156" s="204">
        <v>251</v>
      </c>
      <c r="K156" s="204">
        <v>1866</v>
      </c>
      <c r="L156" s="90"/>
      <c r="M156" s="90"/>
      <c r="N156" s="90"/>
      <c r="O156" s="90"/>
      <c r="P156" s="90"/>
      <c r="Q156" s="90"/>
      <c r="R156" s="90"/>
      <c r="S156" s="90"/>
      <c r="T156" s="90"/>
    </row>
    <row r="157" spans="1:20" s="1" customFormat="1" ht="16.5" customHeight="1" x14ac:dyDescent="0.3">
      <c r="A157" s="305"/>
      <c r="B157" s="95" t="s">
        <v>616</v>
      </c>
      <c r="C157" s="204">
        <v>87</v>
      </c>
      <c r="D157" s="204">
        <v>9100</v>
      </c>
      <c r="E157" s="204">
        <v>210</v>
      </c>
      <c r="F157" s="204">
        <v>0</v>
      </c>
      <c r="G157" s="204">
        <v>112</v>
      </c>
      <c r="H157" s="204">
        <v>179</v>
      </c>
      <c r="I157" s="204">
        <v>0</v>
      </c>
      <c r="J157" s="204">
        <v>178</v>
      </c>
      <c r="K157" s="204">
        <v>9866</v>
      </c>
      <c r="L157" s="90"/>
      <c r="M157" s="90"/>
      <c r="N157" s="90"/>
      <c r="O157" s="90"/>
      <c r="P157" s="90"/>
      <c r="Q157" s="90"/>
      <c r="R157" s="90"/>
      <c r="S157" s="90"/>
      <c r="T157" s="90"/>
    </row>
    <row r="158" spans="1:20" s="1" customFormat="1" ht="16.5" customHeight="1" x14ac:dyDescent="0.3">
      <c r="A158" s="306"/>
      <c r="B158" s="97" t="s">
        <v>86</v>
      </c>
      <c r="C158" s="207">
        <v>88</v>
      </c>
      <c r="D158" s="207">
        <v>15533</v>
      </c>
      <c r="E158" s="207">
        <v>3810</v>
      </c>
      <c r="F158" s="207">
        <v>1051</v>
      </c>
      <c r="G158" s="207">
        <v>4381</v>
      </c>
      <c r="H158" s="207">
        <v>9443</v>
      </c>
      <c r="I158" s="207">
        <v>0</v>
      </c>
      <c r="J158" s="207">
        <v>2672</v>
      </c>
      <c r="K158" s="207">
        <v>36978</v>
      </c>
      <c r="L158" s="90"/>
      <c r="M158" s="90"/>
      <c r="N158" s="90"/>
      <c r="O158" s="90"/>
      <c r="P158" s="90"/>
      <c r="Q158" s="90"/>
      <c r="R158" s="90"/>
      <c r="S158" s="90"/>
      <c r="T158" s="90"/>
    </row>
    <row r="159" spans="1:20" s="1" customFormat="1" ht="16.5" customHeight="1" x14ac:dyDescent="0.3">
      <c r="A159" s="304" t="s">
        <v>153</v>
      </c>
      <c r="B159" s="95" t="s">
        <v>620</v>
      </c>
      <c r="C159" s="204">
        <v>0</v>
      </c>
      <c r="D159" s="204">
        <v>1978</v>
      </c>
      <c r="E159" s="204">
        <v>102</v>
      </c>
      <c r="F159" s="204">
        <v>312</v>
      </c>
      <c r="G159" s="204">
        <v>450</v>
      </c>
      <c r="H159" s="204">
        <v>411</v>
      </c>
      <c r="I159" s="204">
        <v>0</v>
      </c>
      <c r="J159" s="204">
        <v>158</v>
      </c>
      <c r="K159" s="204">
        <v>3411</v>
      </c>
      <c r="L159" s="90"/>
      <c r="M159" s="90"/>
      <c r="N159" s="90"/>
      <c r="O159" s="90"/>
      <c r="P159" s="90"/>
      <c r="Q159" s="90"/>
      <c r="R159" s="90"/>
      <c r="S159" s="90"/>
      <c r="T159" s="90"/>
    </row>
    <row r="160" spans="1:20" s="1" customFormat="1" ht="16.5" customHeight="1" x14ac:dyDescent="0.3">
      <c r="A160" s="305"/>
      <c r="B160" s="95" t="s">
        <v>694</v>
      </c>
      <c r="C160" s="204">
        <v>0</v>
      </c>
      <c r="D160" s="204">
        <v>301</v>
      </c>
      <c r="E160" s="204">
        <v>38</v>
      </c>
      <c r="F160" s="204">
        <v>0</v>
      </c>
      <c r="G160" s="204">
        <v>0</v>
      </c>
      <c r="H160" s="204">
        <v>114</v>
      </c>
      <c r="I160" s="204">
        <v>0</v>
      </c>
      <c r="J160" s="204">
        <v>30</v>
      </c>
      <c r="K160" s="204">
        <v>483</v>
      </c>
      <c r="L160" s="90"/>
      <c r="M160" s="90"/>
      <c r="N160" s="90"/>
      <c r="O160" s="90"/>
      <c r="P160" s="90"/>
      <c r="Q160" s="90"/>
      <c r="R160" s="90"/>
      <c r="S160" s="90"/>
      <c r="T160" s="90"/>
    </row>
    <row r="161" spans="1:20" s="1" customFormat="1" ht="16.5" customHeight="1" x14ac:dyDescent="0.3">
      <c r="A161" s="305"/>
      <c r="B161" s="95" t="s">
        <v>695</v>
      </c>
      <c r="C161" s="204">
        <v>3</v>
      </c>
      <c r="D161" s="204">
        <v>606</v>
      </c>
      <c r="E161" s="204">
        <v>370</v>
      </c>
      <c r="F161" s="204">
        <v>50</v>
      </c>
      <c r="G161" s="204">
        <v>174</v>
      </c>
      <c r="H161" s="204">
        <v>288</v>
      </c>
      <c r="I161" s="204">
        <v>0</v>
      </c>
      <c r="J161" s="204">
        <v>183</v>
      </c>
      <c r="K161" s="204">
        <v>1674</v>
      </c>
      <c r="L161" s="90"/>
      <c r="M161" s="90"/>
      <c r="N161" s="90"/>
      <c r="O161" s="90"/>
      <c r="P161" s="90"/>
      <c r="Q161" s="90"/>
      <c r="R161" s="90"/>
      <c r="S161" s="90"/>
      <c r="T161" s="90"/>
    </row>
    <row r="162" spans="1:20" s="1" customFormat="1" ht="16.5" customHeight="1" x14ac:dyDescent="0.3">
      <c r="A162" s="305"/>
      <c r="B162" s="95" t="s">
        <v>617</v>
      </c>
      <c r="C162" s="204">
        <v>2</v>
      </c>
      <c r="D162" s="204">
        <v>880</v>
      </c>
      <c r="E162" s="204">
        <v>1009</v>
      </c>
      <c r="F162" s="204">
        <v>48</v>
      </c>
      <c r="G162" s="204">
        <v>273</v>
      </c>
      <c r="H162" s="204">
        <v>4258</v>
      </c>
      <c r="I162" s="204">
        <v>2</v>
      </c>
      <c r="J162" s="204">
        <v>530</v>
      </c>
      <c r="K162" s="204">
        <v>7002</v>
      </c>
      <c r="L162" s="90"/>
      <c r="M162" s="90"/>
      <c r="N162" s="90"/>
      <c r="O162" s="90"/>
      <c r="P162" s="90"/>
      <c r="Q162" s="90"/>
      <c r="R162" s="90"/>
      <c r="S162" s="90"/>
      <c r="T162" s="90"/>
    </row>
    <row r="163" spans="1:20" s="1" customFormat="1" ht="16.5" customHeight="1" x14ac:dyDescent="0.3">
      <c r="A163" s="305"/>
      <c r="B163" s="95" t="s">
        <v>619</v>
      </c>
      <c r="C163" s="204">
        <v>77</v>
      </c>
      <c r="D163" s="204">
        <v>2631</v>
      </c>
      <c r="E163" s="204">
        <v>236</v>
      </c>
      <c r="F163" s="204">
        <v>164</v>
      </c>
      <c r="G163" s="204">
        <v>54</v>
      </c>
      <c r="H163" s="204">
        <v>149</v>
      </c>
      <c r="I163" s="204">
        <v>0</v>
      </c>
      <c r="J163" s="204">
        <v>42</v>
      </c>
      <c r="K163" s="204">
        <v>3353</v>
      </c>
      <c r="L163" s="90"/>
      <c r="M163" s="90"/>
      <c r="N163" s="90"/>
      <c r="O163" s="90"/>
      <c r="P163" s="90"/>
      <c r="Q163" s="90"/>
      <c r="R163" s="90"/>
      <c r="S163" s="90"/>
      <c r="T163" s="90"/>
    </row>
    <row r="164" spans="1:20" s="1" customFormat="1" ht="16.5" customHeight="1" x14ac:dyDescent="0.3">
      <c r="A164" s="305"/>
      <c r="B164" s="95" t="s">
        <v>696</v>
      </c>
      <c r="C164" s="204">
        <v>0</v>
      </c>
      <c r="D164" s="204">
        <v>363</v>
      </c>
      <c r="E164" s="204">
        <v>72</v>
      </c>
      <c r="F164" s="204">
        <v>0</v>
      </c>
      <c r="G164" s="204">
        <v>4</v>
      </c>
      <c r="H164" s="204">
        <v>68</v>
      </c>
      <c r="I164" s="204">
        <v>0</v>
      </c>
      <c r="J164" s="204">
        <v>140</v>
      </c>
      <c r="K164" s="204">
        <v>647</v>
      </c>
      <c r="L164" s="90"/>
      <c r="M164" s="90"/>
      <c r="N164" s="90"/>
      <c r="O164" s="90"/>
      <c r="P164" s="90"/>
      <c r="Q164" s="90"/>
      <c r="R164" s="90"/>
      <c r="S164" s="90"/>
      <c r="T164" s="90"/>
    </row>
    <row r="165" spans="1:20" s="1" customFormat="1" ht="16.5" customHeight="1" x14ac:dyDescent="0.3">
      <c r="A165" s="305"/>
      <c r="B165" s="95" t="s">
        <v>697</v>
      </c>
      <c r="C165" s="204">
        <v>24</v>
      </c>
      <c r="D165" s="204">
        <v>211</v>
      </c>
      <c r="E165" s="204">
        <v>166</v>
      </c>
      <c r="F165" s="204">
        <v>2</v>
      </c>
      <c r="G165" s="204">
        <v>0</v>
      </c>
      <c r="H165" s="204">
        <v>212</v>
      </c>
      <c r="I165" s="204">
        <v>0</v>
      </c>
      <c r="J165" s="204">
        <v>73</v>
      </c>
      <c r="K165" s="204">
        <v>688</v>
      </c>
      <c r="L165" s="90"/>
      <c r="M165" s="90"/>
      <c r="N165" s="90"/>
      <c r="O165" s="90"/>
      <c r="P165" s="90"/>
      <c r="Q165" s="90"/>
      <c r="R165" s="90"/>
      <c r="S165" s="90"/>
      <c r="T165" s="90"/>
    </row>
    <row r="166" spans="1:20" s="1" customFormat="1" ht="16.5" customHeight="1" x14ac:dyDescent="0.3">
      <c r="A166" s="305"/>
      <c r="B166" s="95" t="s">
        <v>618</v>
      </c>
      <c r="C166" s="204">
        <v>3</v>
      </c>
      <c r="D166" s="204">
        <v>1486</v>
      </c>
      <c r="E166" s="204">
        <v>569</v>
      </c>
      <c r="F166" s="204">
        <v>46</v>
      </c>
      <c r="G166" s="204">
        <v>24</v>
      </c>
      <c r="H166" s="204">
        <v>597</v>
      </c>
      <c r="I166" s="204">
        <v>0</v>
      </c>
      <c r="J166" s="204">
        <v>180</v>
      </c>
      <c r="K166" s="204">
        <v>2905</v>
      </c>
      <c r="L166" s="90"/>
      <c r="M166" s="90"/>
      <c r="N166" s="90"/>
      <c r="O166" s="90"/>
      <c r="P166" s="90"/>
      <c r="Q166" s="90"/>
      <c r="R166" s="90"/>
      <c r="S166" s="90"/>
      <c r="T166" s="90"/>
    </row>
    <row r="167" spans="1:20" s="1" customFormat="1" ht="16.5" customHeight="1" x14ac:dyDescent="0.3">
      <c r="A167" s="305"/>
      <c r="B167" s="95" t="s">
        <v>698</v>
      </c>
      <c r="C167" s="204">
        <v>5</v>
      </c>
      <c r="D167" s="204">
        <v>1603</v>
      </c>
      <c r="E167" s="204">
        <v>2687</v>
      </c>
      <c r="F167" s="204">
        <v>195</v>
      </c>
      <c r="G167" s="204">
        <v>108</v>
      </c>
      <c r="H167" s="204">
        <v>1948</v>
      </c>
      <c r="I167" s="204">
        <v>1</v>
      </c>
      <c r="J167" s="204">
        <v>381</v>
      </c>
      <c r="K167" s="204">
        <v>6928</v>
      </c>
      <c r="L167" s="90"/>
      <c r="M167" s="90"/>
      <c r="N167" s="90"/>
      <c r="O167" s="90"/>
      <c r="P167" s="90"/>
      <c r="Q167" s="90"/>
      <c r="R167" s="90"/>
      <c r="S167" s="90"/>
      <c r="T167" s="90"/>
    </row>
    <row r="168" spans="1:20" s="1" customFormat="1" ht="16.5" customHeight="1" x14ac:dyDescent="0.3">
      <c r="A168" s="305"/>
      <c r="B168" s="95" t="s">
        <v>699</v>
      </c>
      <c r="C168" s="204">
        <v>0</v>
      </c>
      <c r="D168" s="204">
        <v>363</v>
      </c>
      <c r="E168" s="204">
        <v>198</v>
      </c>
      <c r="F168" s="204">
        <v>63</v>
      </c>
      <c r="G168" s="204">
        <v>95</v>
      </c>
      <c r="H168" s="204">
        <v>564</v>
      </c>
      <c r="I168" s="204">
        <v>0</v>
      </c>
      <c r="J168" s="204">
        <v>76</v>
      </c>
      <c r="K168" s="204">
        <v>1359</v>
      </c>
      <c r="L168" s="90"/>
      <c r="M168" s="90"/>
      <c r="N168" s="90"/>
      <c r="O168" s="90"/>
      <c r="P168" s="90"/>
      <c r="Q168" s="90"/>
      <c r="R168" s="90"/>
      <c r="S168" s="90"/>
      <c r="T168" s="90"/>
    </row>
    <row r="169" spans="1:20" s="1" customFormat="1" ht="16.5" customHeight="1" x14ac:dyDescent="0.3">
      <c r="A169" s="305"/>
      <c r="B169" s="95" t="s">
        <v>700</v>
      </c>
      <c r="C169" s="204">
        <v>0</v>
      </c>
      <c r="D169" s="204">
        <v>110</v>
      </c>
      <c r="E169" s="204">
        <v>54</v>
      </c>
      <c r="F169" s="204">
        <v>9</v>
      </c>
      <c r="G169" s="204">
        <v>17</v>
      </c>
      <c r="H169" s="204">
        <v>192</v>
      </c>
      <c r="I169" s="204">
        <v>0</v>
      </c>
      <c r="J169" s="204">
        <v>54</v>
      </c>
      <c r="K169" s="204">
        <v>436</v>
      </c>
      <c r="L169" s="90"/>
      <c r="M169" s="90"/>
      <c r="N169" s="90"/>
      <c r="O169" s="90"/>
      <c r="P169" s="90"/>
      <c r="Q169" s="90"/>
      <c r="R169" s="90"/>
      <c r="S169" s="90"/>
      <c r="T169" s="90"/>
    </row>
    <row r="170" spans="1:20" s="1" customFormat="1" ht="16.5" customHeight="1" x14ac:dyDescent="0.3">
      <c r="A170" s="305"/>
      <c r="B170" s="95" t="s">
        <v>701</v>
      </c>
      <c r="C170" s="204">
        <v>0</v>
      </c>
      <c r="D170" s="204">
        <v>137</v>
      </c>
      <c r="E170" s="204">
        <v>187</v>
      </c>
      <c r="F170" s="204">
        <v>22</v>
      </c>
      <c r="G170" s="204">
        <v>14</v>
      </c>
      <c r="H170" s="204">
        <v>476</v>
      </c>
      <c r="I170" s="204">
        <v>0</v>
      </c>
      <c r="J170" s="204">
        <v>72</v>
      </c>
      <c r="K170" s="204">
        <v>908</v>
      </c>
      <c r="L170" s="90"/>
      <c r="M170" s="90"/>
      <c r="N170" s="90"/>
      <c r="O170" s="90"/>
      <c r="P170" s="90"/>
      <c r="Q170" s="90"/>
      <c r="R170" s="90"/>
      <c r="S170" s="90"/>
      <c r="T170" s="90"/>
    </row>
    <row r="171" spans="1:20" s="1" customFormat="1" ht="16.5" customHeight="1" x14ac:dyDescent="0.3">
      <c r="A171" s="305"/>
      <c r="B171" s="95" t="s">
        <v>693</v>
      </c>
      <c r="C171" s="204">
        <v>35</v>
      </c>
      <c r="D171" s="204">
        <v>1929</v>
      </c>
      <c r="E171" s="204">
        <v>394</v>
      </c>
      <c r="F171" s="204">
        <v>8</v>
      </c>
      <c r="G171" s="204">
        <v>4</v>
      </c>
      <c r="H171" s="204">
        <v>142</v>
      </c>
      <c r="I171" s="204">
        <v>0</v>
      </c>
      <c r="J171" s="204">
        <v>382</v>
      </c>
      <c r="K171" s="204">
        <v>2894</v>
      </c>
      <c r="L171" s="90"/>
      <c r="M171" s="90"/>
      <c r="N171" s="90"/>
      <c r="O171" s="90"/>
      <c r="P171" s="90"/>
      <c r="Q171" s="90"/>
      <c r="R171" s="90"/>
      <c r="S171" s="90"/>
      <c r="T171" s="90"/>
    </row>
    <row r="172" spans="1:20" s="1" customFormat="1" ht="16.5" customHeight="1" x14ac:dyDescent="0.3">
      <c r="A172" s="306"/>
      <c r="B172" s="97" t="s">
        <v>86</v>
      </c>
      <c r="C172" s="207">
        <v>150</v>
      </c>
      <c r="D172" s="207">
        <v>12597</v>
      </c>
      <c r="E172" s="207">
        <v>6083</v>
      </c>
      <c r="F172" s="207">
        <v>920</v>
      </c>
      <c r="G172" s="207">
        <v>1219</v>
      </c>
      <c r="H172" s="207">
        <v>9419</v>
      </c>
      <c r="I172" s="207">
        <v>3</v>
      </c>
      <c r="J172" s="207">
        <v>2301</v>
      </c>
      <c r="K172" s="207">
        <v>32692</v>
      </c>
      <c r="L172" s="90"/>
      <c r="M172" s="90"/>
      <c r="N172" s="90"/>
      <c r="O172" s="90"/>
      <c r="P172" s="90"/>
      <c r="Q172" s="90"/>
      <c r="R172" s="90"/>
      <c r="S172" s="90"/>
      <c r="T172" s="90"/>
    </row>
    <row r="173" spans="1:20" s="1" customFormat="1" ht="16.5" customHeight="1" x14ac:dyDescent="0.3">
      <c r="A173" s="307" t="s">
        <v>154</v>
      </c>
      <c r="B173" s="95" t="s">
        <v>625</v>
      </c>
      <c r="C173" s="204">
        <v>0</v>
      </c>
      <c r="D173" s="204">
        <v>32</v>
      </c>
      <c r="E173" s="204">
        <v>16</v>
      </c>
      <c r="F173" s="204">
        <v>23</v>
      </c>
      <c r="G173" s="204">
        <v>39</v>
      </c>
      <c r="H173" s="204">
        <v>180</v>
      </c>
      <c r="I173" s="204">
        <v>0</v>
      </c>
      <c r="J173" s="204">
        <v>97</v>
      </c>
      <c r="K173" s="204">
        <v>387</v>
      </c>
      <c r="L173" s="90"/>
      <c r="M173" s="90"/>
      <c r="N173" s="90"/>
      <c r="O173" s="90"/>
      <c r="P173" s="90"/>
      <c r="Q173" s="90"/>
      <c r="R173" s="90"/>
      <c r="S173" s="90"/>
      <c r="T173" s="90"/>
    </row>
    <row r="174" spans="1:20" s="1" customFormat="1" ht="16.5" customHeight="1" x14ac:dyDescent="0.3">
      <c r="A174" s="323"/>
      <c r="B174" s="95" t="s">
        <v>623</v>
      </c>
      <c r="C174" s="204">
        <v>0</v>
      </c>
      <c r="D174" s="204">
        <v>83</v>
      </c>
      <c r="E174" s="204">
        <v>36</v>
      </c>
      <c r="F174" s="204">
        <v>151</v>
      </c>
      <c r="G174" s="204">
        <v>24</v>
      </c>
      <c r="H174" s="204">
        <v>139</v>
      </c>
      <c r="I174" s="204">
        <v>0</v>
      </c>
      <c r="J174" s="204">
        <v>12</v>
      </c>
      <c r="K174" s="204">
        <v>445</v>
      </c>
      <c r="L174" s="90"/>
      <c r="M174" s="90"/>
      <c r="N174" s="90"/>
      <c r="O174" s="90"/>
      <c r="P174" s="90"/>
      <c r="Q174" s="90"/>
      <c r="R174" s="90"/>
      <c r="S174" s="90"/>
      <c r="T174" s="90"/>
    </row>
    <row r="175" spans="1:20" s="1" customFormat="1" ht="16.5" customHeight="1" x14ac:dyDescent="0.3">
      <c r="A175" s="323"/>
      <c r="B175" s="95" t="s">
        <v>702</v>
      </c>
      <c r="C175" s="204">
        <v>0</v>
      </c>
      <c r="D175" s="204">
        <v>320</v>
      </c>
      <c r="E175" s="204">
        <v>149</v>
      </c>
      <c r="F175" s="204">
        <v>73</v>
      </c>
      <c r="G175" s="204">
        <v>18</v>
      </c>
      <c r="H175" s="204">
        <v>434</v>
      </c>
      <c r="I175" s="204">
        <v>0</v>
      </c>
      <c r="J175" s="204">
        <v>142</v>
      </c>
      <c r="K175" s="204">
        <v>1136</v>
      </c>
      <c r="L175" s="90"/>
      <c r="M175" s="90"/>
      <c r="N175" s="90"/>
      <c r="O175" s="90"/>
      <c r="P175" s="90"/>
      <c r="Q175" s="90"/>
      <c r="R175" s="90"/>
      <c r="S175" s="90"/>
      <c r="T175" s="90"/>
    </row>
    <row r="176" spans="1:20" s="1" customFormat="1" ht="16.5" customHeight="1" x14ac:dyDescent="0.3">
      <c r="A176" s="323"/>
      <c r="B176" s="95" t="s">
        <v>624</v>
      </c>
      <c r="C176" s="204">
        <v>8</v>
      </c>
      <c r="D176" s="204">
        <v>1824</v>
      </c>
      <c r="E176" s="204">
        <v>938</v>
      </c>
      <c r="F176" s="204">
        <v>862</v>
      </c>
      <c r="G176" s="204">
        <v>563</v>
      </c>
      <c r="H176" s="204">
        <v>1938</v>
      </c>
      <c r="I176" s="204">
        <v>0</v>
      </c>
      <c r="J176" s="204">
        <v>678</v>
      </c>
      <c r="K176" s="204">
        <v>6811</v>
      </c>
      <c r="L176" s="90"/>
      <c r="M176" s="90"/>
      <c r="N176" s="90"/>
      <c r="O176" s="90"/>
      <c r="P176" s="90"/>
      <c r="Q176" s="90"/>
      <c r="R176" s="90"/>
      <c r="S176" s="90"/>
      <c r="T176" s="90"/>
    </row>
    <row r="177" spans="1:20" s="1" customFormat="1" ht="16.5" customHeight="1" x14ac:dyDescent="0.3">
      <c r="A177" s="323"/>
      <c r="B177" s="95" t="s">
        <v>621</v>
      </c>
      <c r="C177" s="204">
        <v>0</v>
      </c>
      <c r="D177" s="204">
        <v>407</v>
      </c>
      <c r="E177" s="204">
        <v>106</v>
      </c>
      <c r="F177" s="204">
        <v>273</v>
      </c>
      <c r="G177" s="204">
        <v>51</v>
      </c>
      <c r="H177" s="204">
        <v>133</v>
      </c>
      <c r="I177" s="204">
        <v>0</v>
      </c>
      <c r="J177" s="204">
        <v>102</v>
      </c>
      <c r="K177" s="204">
        <v>1072</v>
      </c>
      <c r="L177" s="90"/>
      <c r="M177" s="90"/>
      <c r="N177" s="90"/>
      <c r="O177" s="90"/>
      <c r="P177" s="90"/>
      <c r="Q177" s="90"/>
      <c r="R177" s="90"/>
      <c r="S177" s="90"/>
      <c r="T177" s="90"/>
    </row>
    <row r="178" spans="1:20" s="1" customFormat="1" ht="16.5" customHeight="1" x14ac:dyDescent="0.3">
      <c r="A178" s="323"/>
      <c r="B178" s="95" t="s">
        <v>622</v>
      </c>
      <c r="C178" s="204">
        <v>0</v>
      </c>
      <c r="D178" s="204">
        <v>597</v>
      </c>
      <c r="E178" s="204">
        <v>71</v>
      </c>
      <c r="F178" s="204">
        <v>0</v>
      </c>
      <c r="G178" s="204">
        <v>1</v>
      </c>
      <c r="H178" s="204">
        <v>111</v>
      </c>
      <c r="I178" s="204">
        <v>0</v>
      </c>
      <c r="J178" s="204">
        <v>20</v>
      </c>
      <c r="K178" s="204">
        <v>800</v>
      </c>
      <c r="L178" s="90"/>
      <c r="M178" s="90"/>
      <c r="N178" s="90"/>
      <c r="O178" s="90"/>
      <c r="P178" s="90"/>
      <c r="Q178" s="90"/>
      <c r="R178" s="90"/>
      <c r="S178" s="90"/>
      <c r="T178" s="90"/>
    </row>
    <row r="179" spans="1:20" s="1" customFormat="1" ht="16.5" customHeight="1" x14ac:dyDescent="0.3">
      <c r="A179" s="323"/>
      <c r="B179" s="95" t="s">
        <v>703</v>
      </c>
      <c r="C179" s="204">
        <v>0</v>
      </c>
      <c r="D179" s="204">
        <v>394</v>
      </c>
      <c r="E179" s="204">
        <v>128</v>
      </c>
      <c r="F179" s="204">
        <v>76</v>
      </c>
      <c r="G179" s="204">
        <v>37</v>
      </c>
      <c r="H179" s="204">
        <v>262</v>
      </c>
      <c r="I179" s="204">
        <v>0</v>
      </c>
      <c r="J179" s="204">
        <v>74</v>
      </c>
      <c r="K179" s="204">
        <v>971</v>
      </c>
      <c r="L179" s="90"/>
      <c r="M179" s="90"/>
      <c r="N179" s="90"/>
      <c r="O179" s="90"/>
      <c r="P179" s="90"/>
      <c r="Q179" s="90"/>
      <c r="R179" s="90"/>
      <c r="S179" s="90"/>
      <c r="T179" s="90"/>
    </row>
    <row r="180" spans="1:20" s="1" customFormat="1" ht="16.5" customHeight="1" x14ac:dyDescent="0.3">
      <c r="A180" s="323"/>
      <c r="B180" s="95" t="s">
        <v>626</v>
      </c>
      <c r="C180" s="204">
        <v>0</v>
      </c>
      <c r="D180" s="204">
        <v>874</v>
      </c>
      <c r="E180" s="204">
        <v>116</v>
      </c>
      <c r="F180" s="204">
        <v>24</v>
      </c>
      <c r="G180" s="204">
        <v>7</v>
      </c>
      <c r="H180" s="204">
        <v>118</v>
      </c>
      <c r="I180" s="204">
        <v>0</v>
      </c>
      <c r="J180" s="204">
        <v>64</v>
      </c>
      <c r="K180" s="204">
        <v>1203</v>
      </c>
      <c r="L180" s="90"/>
      <c r="M180" s="90"/>
      <c r="N180" s="90"/>
      <c r="O180" s="90"/>
      <c r="P180" s="90"/>
      <c r="Q180" s="90"/>
      <c r="R180" s="90"/>
      <c r="S180" s="90"/>
      <c r="T180" s="90"/>
    </row>
    <row r="181" spans="1:20" s="1" customFormat="1" ht="16.5" customHeight="1" x14ac:dyDescent="0.3">
      <c r="A181" s="308"/>
      <c r="B181" s="97" t="s">
        <v>86</v>
      </c>
      <c r="C181" s="207">
        <v>8</v>
      </c>
      <c r="D181" s="207">
        <v>4530</v>
      </c>
      <c r="E181" s="207">
        <v>1559</v>
      </c>
      <c r="F181" s="207">
        <v>1481</v>
      </c>
      <c r="G181" s="207">
        <v>741</v>
      </c>
      <c r="H181" s="207">
        <v>3314</v>
      </c>
      <c r="I181" s="207">
        <v>0</v>
      </c>
      <c r="J181" s="207">
        <v>1190</v>
      </c>
      <c r="K181" s="207">
        <v>12823</v>
      </c>
      <c r="L181" s="90"/>
      <c r="M181" s="90"/>
      <c r="N181" s="90"/>
      <c r="O181" s="90"/>
      <c r="P181" s="90"/>
      <c r="Q181" s="90"/>
      <c r="R181" s="90"/>
      <c r="S181" s="90"/>
      <c r="T181" s="90"/>
    </row>
    <row r="182" spans="1:20" s="1" customFormat="1" ht="16.5" customHeight="1" x14ac:dyDescent="0.3">
      <c r="A182" s="304" t="s">
        <v>149</v>
      </c>
      <c r="B182" s="95" t="s">
        <v>630</v>
      </c>
      <c r="C182" s="204">
        <v>0</v>
      </c>
      <c r="D182" s="204">
        <v>346</v>
      </c>
      <c r="E182" s="204">
        <v>101</v>
      </c>
      <c r="F182" s="204">
        <v>11</v>
      </c>
      <c r="G182" s="204">
        <v>2</v>
      </c>
      <c r="H182" s="204">
        <v>99</v>
      </c>
      <c r="I182" s="204">
        <v>0</v>
      </c>
      <c r="J182" s="204">
        <v>82</v>
      </c>
      <c r="K182" s="204">
        <v>641</v>
      </c>
      <c r="L182" s="90"/>
      <c r="M182" s="90"/>
      <c r="N182" s="90"/>
      <c r="O182" s="90"/>
      <c r="P182" s="90"/>
      <c r="Q182" s="90"/>
      <c r="R182" s="90"/>
      <c r="S182" s="90"/>
      <c r="T182" s="90"/>
    </row>
    <row r="183" spans="1:20" s="1" customFormat="1" ht="16.5" customHeight="1" x14ac:dyDescent="0.3">
      <c r="A183" s="305"/>
      <c r="B183" s="95" t="s">
        <v>704</v>
      </c>
      <c r="C183" s="204">
        <v>0</v>
      </c>
      <c r="D183" s="204">
        <v>166</v>
      </c>
      <c r="E183" s="204">
        <v>67</v>
      </c>
      <c r="F183" s="204">
        <v>0</v>
      </c>
      <c r="G183" s="204">
        <v>0</v>
      </c>
      <c r="H183" s="204">
        <v>24</v>
      </c>
      <c r="I183" s="204">
        <v>0</v>
      </c>
      <c r="J183" s="204">
        <v>8</v>
      </c>
      <c r="K183" s="204">
        <v>265</v>
      </c>
      <c r="L183" s="90"/>
      <c r="M183" s="90"/>
      <c r="N183" s="90"/>
      <c r="O183" s="90"/>
      <c r="P183" s="90"/>
      <c r="Q183" s="90"/>
      <c r="R183" s="90"/>
      <c r="S183" s="90"/>
      <c r="T183" s="90"/>
    </row>
    <row r="184" spans="1:20" s="1" customFormat="1" ht="16.5" customHeight="1" x14ac:dyDescent="0.3">
      <c r="A184" s="305"/>
      <c r="B184" s="95" t="s">
        <v>705</v>
      </c>
      <c r="C184" s="204">
        <v>0</v>
      </c>
      <c r="D184" s="204">
        <v>94</v>
      </c>
      <c r="E184" s="204">
        <v>33</v>
      </c>
      <c r="F184" s="204">
        <v>3</v>
      </c>
      <c r="G184" s="204">
        <v>9</v>
      </c>
      <c r="H184" s="204">
        <v>117</v>
      </c>
      <c r="I184" s="204">
        <v>0</v>
      </c>
      <c r="J184" s="204">
        <v>0</v>
      </c>
      <c r="K184" s="204">
        <v>256</v>
      </c>
      <c r="L184" s="90"/>
      <c r="M184" s="90"/>
      <c r="N184" s="90"/>
      <c r="O184" s="90"/>
      <c r="P184" s="90"/>
      <c r="Q184" s="90"/>
      <c r="R184" s="90"/>
      <c r="S184" s="90"/>
      <c r="T184" s="90"/>
    </row>
    <row r="185" spans="1:20" s="1" customFormat="1" ht="16.5" customHeight="1" x14ac:dyDescent="0.3">
      <c r="A185" s="305"/>
      <c r="B185" s="95" t="s">
        <v>706</v>
      </c>
      <c r="C185" s="204">
        <v>0</v>
      </c>
      <c r="D185" s="204">
        <v>474</v>
      </c>
      <c r="E185" s="204">
        <v>3</v>
      </c>
      <c r="F185" s="204">
        <v>18</v>
      </c>
      <c r="G185" s="204">
        <v>0</v>
      </c>
      <c r="H185" s="204">
        <v>32</v>
      </c>
      <c r="I185" s="204">
        <v>0</v>
      </c>
      <c r="J185" s="204">
        <v>26</v>
      </c>
      <c r="K185" s="204">
        <v>553</v>
      </c>
      <c r="L185" s="90"/>
      <c r="M185" s="90"/>
      <c r="N185" s="90"/>
      <c r="O185" s="90"/>
      <c r="P185" s="90"/>
      <c r="Q185" s="90"/>
      <c r="R185" s="90"/>
      <c r="S185" s="90"/>
      <c r="T185" s="90"/>
    </row>
    <row r="186" spans="1:20" s="1" customFormat="1" ht="16.5" customHeight="1" x14ac:dyDescent="0.3">
      <c r="A186" s="305"/>
      <c r="B186" s="95" t="s">
        <v>628</v>
      </c>
      <c r="C186" s="204">
        <v>0</v>
      </c>
      <c r="D186" s="204">
        <v>670</v>
      </c>
      <c r="E186" s="204">
        <v>149</v>
      </c>
      <c r="F186" s="204">
        <v>60</v>
      </c>
      <c r="G186" s="204">
        <v>0</v>
      </c>
      <c r="H186" s="204">
        <v>216</v>
      </c>
      <c r="I186" s="204">
        <v>0</v>
      </c>
      <c r="J186" s="204">
        <v>10</v>
      </c>
      <c r="K186" s="204">
        <v>1105</v>
      </c>
      <c r="L186" s="90"/>
      <c r="M186" s="90"/>
      <c r="N186" s="90"/>
      <c r="O186" s="90"/>
      <c r="P186" s="90"/>
      <c r="Q186" s="90"/>
      <c r="R186" s="90"/>
      <c r="S186" s="90"/>
      <c r="T186" s="90"/>
    </row>
    <row r="187" spans="1:20" s="1" customFormat="1" ht="16.5" customHeight="1" x14ac:dyDescent="0.3">
      <c r="A187" s="305"/>
      <c r="B187" s="95" t="s">
        <v>627</v>
      </c>
      <c r="C187" s="204">
        <v>0</v>
      </c>
      <c r="D187" s="204">
        <v>128</v>
      </c>
      <c r="E187" s="204">
        <v>30</v>
      </c>
      <c r="F187" s="204">
        <v>14</v>
      </c>
      <c r="G187" s="204">
        <v>5</v>
      </c>
      <c r="H187" s="204">
        <v>23</v>
      </c>
      <c r="I187" s="204">
        <v>0</v>
      </c>
      <c r="J187" s="204">
        <v>4</v>
      </c>
      <c r="K187" s="204">
        <v>204</v>
      </c>
      <c r="L187" s="90"/>
      <c r="M187" s="90"/>
      <c r="N187" s="90"/>
      <c r="O187" s="90"/>
      <c r="P187" s="90"/>
      <c r="Q187" s="90"/>
      <c r="R187" s="90"/>
      <c r="S187" s="90"/>
      <c r="T187" s="90"/>
    </row>
    <row r="188" spans="1:20" s="1" customFormat="1" ht="16.5" customHeight="1" x14ac:dyDescent="0.3">
      <c r="A188" s="305"/>
      <c r="B188" s="95" t="s">
        <v>707</v>
      </c>
      <c r="C188" s="204">
        <v>0</v>
      </c>
      <c r="D188" s="204">
        <v>78</v>
      </c>
      <c r="E188" s="204">
        <v>24</v>
      </c>
      <c r="F188" s="204">
        <v>6</v>
      </c>
      <c r="G188" s="204">
        <v>0</v>
      </c>
      <c r="H188" s="204">
        <v>0</v>
      </c>
      <c r="I188" s="204">
        <v>0</v>
      </c>
      <c r="J188" s="204">
        <v>5</v>
      </c>
      <c r="K188" s="204">
        <v>113</v>
      </c>
      <c r="L188" s="90"/>
      <c r="M188" s="90"/>
      <c r="N188" s="90"/>
      <c r="O188" s="90"/>
      <c r="P188" s="90"/>
      <c r="Q188" s="90"/>
      <c r="R188" s="90"/>
      <c r="S188" s="90"/>
      <c r="T188" s="90"/>
    </row>
    <row r="189" spans="1:20" s="1" customFormat="1" ht="16.5" customHeight="1" x14ac:dyDescent="0.3">
      <c r="A189" s="305"/>
      <c r="B189" s="95" t="s">
        <v>629</v>
      </c>
      <c r="C189" s="204">
        <v>0</v>
      </c>
      <c r="D189" s="204">
        <v>195</v>
      </c>
      <c r="E189" s="204">
        <v>47</v>
      </c>
      <c r="F189" s="204">
        <v>7</v>
      </c>
      <c r="G189" s="204">
        <v>0</v>
      </c>
      <c r="H189" s="204">
        <v>33</v>
      </c>
      <c r="I189" s="204">
        <v>0</v>
      </c>
      <c r="J189" s="204">
        <v>55</v>
      </c>
      <c r="K189" s="204">
        <v>337</v>
      </c>
      <c r="L189" s="90"/>
      <c r="M189" s="90"/>
      <c r="N189" s="90"/>
      <c r="O189" s="90"/>
      <c r="P189" s="90"/>
      <c r="Q189" s="90"/>
      <c r="R189" s="90"/>
      <c r="S189" s="90"/>
      <c r="T189" s="90"/>
    </row>
    <row r="190" spans="1:20" s="1" customFormat="1" ht="16.5" customHeight="1" x14ac:dyDescent="0.3">
      <c r="A190" s="305"/>
      <c r="B190" s="95" t="s">
        <v>708</v>
      </c>
      <c r="C190" s="204">
        <v>0</v>
      </c>
      <c r="D190" s="204">
        <v>686</v>
      </c>
      <c r="E190" s="204">
        <v>58</v>
      </c>
      <c r="F190" s="204">
        <v>14</v>
      </c>
      <c r="G190" s="204">
        <v>20</v>
      </c>
      <c r="H190" s="204">
        <v>245</v>
      </c>
      <c r="I190" s="204">
        <v>0</v>
      </c>
      <c r="J190" s="204">
        <v>352</v>
      </c>
      <c r="K190" s="204">
        <v>1375</v>
      </c>
      <c r="L190" s="90"/>
      <c r="M190" s="90"/>
      <c r="N190" s="90"/>
      <c r="O190" s="90"/>
      <c r="P190" s="90"/>
      <c r="Q190" s="90"/>
      <c r="R190" s="90"/>
      <c r="S190" s="90"/>
      <c r="T190" s="90"/>
    </row>
    <row r="191" spans="1:20" s="1" customFormat="1" ht="16.5" customHeight="1" x14ac:dyDescent="0.3">
      <c r="A191" s="305"/>
      <c r="B191" s="95" t="s">
        <v>631</v>
      </c>
      <c r="C191" s="204">
        <v>0</v>
      </c>
      <c r="D191" s="204">
        <v>1318</v>
      </c>
      <c r="E191" s="204">
        <v>41</v>
      </c>
      <c r="F191" s="204">
        <v>0</v>
      </c>
      <c r="G191" s="204">
        <v>0</v>
      </c>
      <c r="H191" s="204">
        <v>1</v>
      </c>
      <c r="I191" s="204">
        <v>0</v>
      </c>
      <c r="J191" s="204">
        <v>0</v>
      </c>
      <c r="K191" s="204">
        <v>1360</v>
      </c>
      <c r="L191" s="90"/>
      <c r="M191" s="90"/>
      <c r="N191" s="90"/>
      <c r="O191" s="90"/>
      <c r="P191" s="90"/>
      <c r="Q191" s="90"/>
      <c r="R191" s="90"/>
      <c r="S191" s="90"/>
      <c r="T191" s="90"/>
    </row>
    <row r="192" spans="1:20" s="1" customFormat="1" ht="16.5" customHeight="1" x14ac:dyDescent="0.3">
      <c r="A192" s="305"/>
      <c r="B192" s="95" t="s">
        <v>632</v>
      </c>
      <c r="C192" s="204">
        <v>0</v>
      </c>
      <c r="D192" s="204">
        <v>1429</v>
      </c>
      <c r="E192" s="204">
        <v>17</v>
      </c>
      <c r="F192" s="204">
        <v>5</v>
      </c>
      <c r="G192" s="204">
        <v>1</v>
      </c>
      <c r="H192" s="204">
        <v>47</v>
      </c>
      <c r="I192" s="204">
        <v>0</v>
      </c>
      <c r="J192" s="204">
        <v>117</v>
      </c>
      <c r="K192" s="204">
        <v>1616</v>
      </c>
      <c r="L192" s="90"/>
      <c r="M192" s="90"/>
      <c r="N192" s="90"/>
      <c r="O192" s="90"/>
      <c r="P192" s="90"/>
      <c r="Q192" s="90"/>
      <c r="R192" s="90"/>
      <c r="S192" s="90"/>
      <c r="T192" s="90"/>
    </row>
    <row r="193" spans="1:20" s="1" customFormat="1" ht="16.5" customHeight="1" x14ac:dyDescent="0.3">
      <c r="A193" s="306"/>
      <c r="B193" s="97" t="s">
        <v>86</v>
      </c>
      <c r="C193" s="207">
        <v>0</v>
      </c>
      <c r="D193" s="207">
        <v>5584</v>
      </c>
      <c r="E193" s="207">
        <v>571</v>
      </c>
      <c r="F193" s="207">
        <v>139</v>
      </c>
      <c r="G193" s="207">
        <v>37</v>
      </c>
      <c r="H193" s="207">
        <v>837</v>
      </c>
      <c r="I193" s="207">
        <v>0</v>
      </c>
      <c r="J193" s="207">
        <v>658</v>
      </c>
      <c r="K193" s="207">
        <v>7826</v>
      </c>
      <c r="L193" s="90"/>
      <c r="M193" s="90"/>
      <c r="N193" s="90"/>
      <c r="O193" s="90"/>
      <c r="P193" s="90"/>
      <c r="Q193" s="90"/>
      <c r="R193" s="90"/>
      <c r="S193" s="90"/>
      <c r="T193" s="90"/>
    </row>
    <row r="194" spans="1:20" s="1" customFormat="1" ht="16.5" customHeight="1" x14ac:dyDescent="0.3">
      <c r="A194" s="304" t="s">
        <v>150</v>
      </c>
      <c r="B194" s="95" t="s">
        <v>633</v>
      </c>
      <c r="C194" s="204">
        <v>47</v>
      </c>
      <c r="D194" s="204">
        <v>331</v>
      </c>
      <c r="E194" s="204">
        <v>225</v>
      </c>
      <c r="F194" s="204">
        <v>1</v>
      </c>
      <c r="G194" s="204">
        <v>84</v>
      </c>
      <c r="H194" s="204">
        <v>300</v>
      </c>
      <c r="I194" s="204">
        <v>0</v>
      </c>
      <c r="J194" s="204">
        <v>81</v>
      </c>
      <c r="K194" s="204">
        <v>1069</v>
      </c>
      <c r="L194" s="90"/>
      <c r="M194" s="90"/>
      <c r="N194" s="90"/>
      <c r="O194" s="90"/>
      <c r="P194" s="90"/>
      <c r="Q194" s="90"/>
      <c r="R194" s="90"/>
      <c r="S194" s="90"/>
      <c r="T194" s="90"/>
    </row>
    <row r="195" spans="1:20" s="1" customFormat="1" ht="16.5" customHeight="1" x14ac:dyDescent="0.3">
      <c r="A195" s="305"/>
      <c r="B195" s="95" t="s">
        <v>634</v>
      </c>
      <c r="C195" s="204">
        <v>461</v>
      </c>
      <c r="D195" s="204">
        <v>119</v>
      </c>
      <c r="E195" s="204">
        <v>244</v>
      </c>
      <c r="F195" s="204">
        <v>20</v>
      </c>
      <c r="G195" s="204">
        <v>12</v>
      </c>
      <c r="H195" s="204">
        <v>287</v>
      </c>
      <c r="I195" s="204">
        <v>0</v>
      </c>
      <c r="J195" s="204">
        <v>18</v>
      </c>
      <c r="K195" s="204">
        <v>1161</v>
      </c>
      <c r="L195" s="90"/>
      <c r="M195" s="90"/>
      <c r="N195" s="90"/>
      <c r="O195" s="90"/>
      <c r="P195" s="90"/>
      <c r="Q195" s="90"/>
      <c r="R195" s="90"/>
      <c r="S195" s="90"/>
      <c r="T195" s="90"/>
    </row>
    <row r="196" spans="1:20" s="1" customFormat="1" ht="16.5" customHeight="1" x14ac:dyDescent="0.3">
      <c r="A196" s="305"/>
      <c r="B196" s="95" t="s">
        <v>636</v>
      </c>
      <c r="C196" s="204">
        <v>5</v>
      </c>
      <c r="D196" s="204">
        <v>14</v>
      </c>
      <c r="E196" s="204">
        <v>101</v>
      </c>
      <c r="F196" s="204">
        <v>9</v>
      </c>
      <c r="G196" s="204">
        <v>0</v>
      </c>
      <c r="H196" s="204">
        <v>17</v>
      </c>
      <c r="I196" s="204">
        <v>0</v>
      </c>
      <c r="J196" s="204">
        <v>3</v>
      </c>
      <c r="K196" s="204">
        <v>149</v>
      </c>
      <c r="L196" s="90"/>
      <c r="M196" s="90"/>
      <c r="N196" s="90"/>
      <c r="O196" s="90"/>
      <c r="P196" s="90"/>
      <c r="Q196" s="90"/>
      <c r="R196" s="90"/>
      <c r="S196" s="90"/>
      <c r="T196" s="90"/>
    </row>
    <row r="197" spans="1:20" s="1" customFormat="1" ht="16.5" customHeight="1" x14ac:dyDescent="0.3">
      <c r="A197" s="305"/>
      <c r="B197" s="95" t="s">
        <v>709</v>
      </c>
      <c r="C197" s="204">
        <v>1</v>
      </c>
      <c r="D197" s="204">
        <v>8</v>
      </c>
      <c r="E197" s="204">
        <v>6</v>
      </c>
      <c r="F197" s="204">
        <v>6</v>
      </c>
      <c r="G197" s="204">
        <v>2</v>
      </c>
      <c r="H197" s="204">
        <v>24</v>
      </c>
      <c r="I197" s="204">
        <v>0</v>
      </c>
      <c r="J197" s="204">
        <v>0</v>
      </c>
      <c r="K197" s="204">
        <v>47</v>
      </c>
      <c r="L197" s="90"/>
      <c r="M197" s="90"/>
      <c r="N197" s="90"/>
      <c r="O197" s="90"/>
      <c r="P197" s="90"/>
      <c r="Q197" s="90"/>
      <c r="R197" s="90"/>
      <c r="S197" s="90"/>
      <c r="T197" s="90"/>
    </row>
    <row r="198" spans="1:20" s="1" customFormat="1" ht="16.5" customHeight="1" x14ac:dyDescent="0.3">
      <c r="A198" s="305"/>
      <c r="B198" s="95" t="s">
        <v>710</v>
      </c>
      <c r="C198" s="204">
        <v>6</v>
      </c>
      <c r="D198" s="204">
        <v>69</v>
      </c>
      <c r="E198" s="204">
        <v>84</v>
      </c>
      <c r="F198" s="204">
        <v>0</v>
      </c>
      <c r="G198" s="204">
        <v>0</v>
      </c>
      <c r="H198" s="204">
        <v>18</v>
      </c>
      <c r="I198" s="204">
        <v>0</v>
      </c>
      <c r="J198" s="204">
        <v>19</v>
      </c>
      <c r="K198" s="204">
        <v>196</v>
      </c>
      <c r="L198" s="90"/>
      <c r="M198" s="90"/>
      <c r="N198" s="90"/>
      <c r="O198" s="90"/>
      <c r="P198" s="90"/>
      <c r="Q198" s="90"/>
      <c r="R198" s="90"/>
      <c r="S198" s="90"/>
      <c r="T198" s="90"/>
    </row>
    <row r="199" spans="1:20" s="1" customFormat="1" ht="16.5" customHeight="1" x14ac:dyDescent="0.3">
      <c r="A199" s="305"/>
      <c r="B199" s="95" t="s">
        <v>643</v>
      </c>
      <c r="C199" s="204">
        <v>0</v>
      </c>
      <c r="D199" s="204">
        <v>1</v>
      </c>
      <c r="E199" s="204">
        <v>17</v>
      </c>
      <c r="F199" s="204">
        <v>0</v>
      </c>
      <c r="G199" s="204">
        <v>0</v>
      </c>
      <c r="H199" s="204">
        <v>26</v>
      </c>
      <c r="I199" s="204">
        <v>0</v>
      </c>
      <c r="J199" s="204">
        <v>0</v>
      </c>
      <c r="K199" s="204">
        <v>44</v>
      </c>
      <c r="L199" s="90"/>
      <c r="M199" s="90"/>
      <c r="N199" s="90"/>
      <c r="O199" s="90"/>
      <c r="P199" s="90"/>
      <c r="Q199" s="90"/>
      <c r="R199" s="90"/>
      <c r="S199" s="90"/>
      <c r="T199" s="90"/>
    </row>
    <row r="200" spans="1:20" s="1" customFormat="1" ht="16.5" customHeight="1" x14ac:dyDescent="0.3">
      <c r="A200" s="305"/>
      <c r="B200" s="95" t="s">
        <v>711</v>
      </c>
      <c r="C200" s="204">
        <v>0</v>
      </c>
      <c r="D200" s="204">
        <v>38</v>
      </c>
      <c r="E200" s="204">
        <v>16</v>
      </c>
      <c r="F200" s="204">
        <v>16</v>
      </c>
      <c r="G200" s="204">
        <v>56</v>
      </c>
      <c r="H200" s="204">
        <v>217</v>
      </c>
      <c r="I200" s="204">
        <v>0</v>
      </c>
      <c r="J200" s="204">
        <v>16</v>
      </c>
      <c r="K200" s="204">
        <v>359</v>
      </c>
      <c r="L200" s="90"/>
      <c r="M200" s="90"/>
      <c r="N200" s="90"/>
      <c r="O200" s="90"/>
      <c r="P200" s="90"/>
      <c r="Q200" s="90"/>
      <c r="R200" s="90"/>
      <c r="S200" s="90"/>
      <c r="T200" s="90"/>
    </row>
    <row r="201" spans="1:20" s="1" customFormat="1" ht="16.5" customHeight="1" x14ac:dyDescent="0.3">
      <c r="A201" s="305"/>
      <c r="B201" s="95" t="s">
        <v>642</v>
      </c>
      <c r="C201" s="204">
        <v>5</v>
      </c>
      <c r="D201" s="204">
        <v>57</v>
      </c>
      <c r="E201" s="204">
        <v>50</v>
      </c>
      <c r="F201" s="204">
        <v>7</v>
      </c>
      <c r="G201" s="204">
        <v>0</v>
      </c>
      <c r="H201" s="204">
        <v>115</v>
      </c>
      <c r="I201" s="204">
        <v>0</v>
      </c>
      <c r="J201" s="204">
        <v>9</v>
      </c>
      <c r="K201" s="204">
        <v>243</v>
      </c>
      <c r="L201" s="90"/>
      <c r="M201" s="90"/>
      <c r="N201" s="90"/>
      <c r="O201" s="90"/>
      <c r="P201" s="90"/>
      <c r="Q201" s="90"/>
      <c r="R201" s="90"/>
      <c r="S201" s="90"/>
      <c r="T201" s="90"/>
    </row>
    <row r="202" spans="1:20" s="1" customFormat="1" ht="16.5" customHeight="1" x14ac:dyDescent="0.3">
      <c r="A202" s="305"/>
      <c r="B202" s="95" t="s">
        <v>641</v>
      </c>
      <c r="C202" s="204">
        <v>0</v>
      </c>
      <c r="D202" s="204">
        <v>38</v>
      </c>
      <c r="E202" s="204">
        <v>57</v>
      </c>
      <c r="F202" s="204">
        <v>8</v>
      </c>
      <c r="G202" s="204">
        <v>12</v>
      </c>
      <c r="H202" s="204">
        <v>139</v>
      </c>
      <c r="I202" s="204">
        <v>0</v>
      </c>
      <c r="J202" s="204">
        <v>30</v>
      </c>
      <c r="K202" s="204">
        <v>284</v>
      </c>
      <c r="L202" s="90"/>
      <c r="M202" s="90"/>
      <c r="N202" s="90"/>
      <c r="O202" s="90"/>
      <c r="P202" s="90"/>
      <c r="Q202" s="90"/>
      <c r="R202" s="90"/>
      <c r="S202" s="90"/>
      <c r="T202" s="90"/>
    </row>
    <row r="203" spans="1:20" s="1" customFormat="1" ht="16.5" customHeight="1" x14ac:dyDescent="0.3">
      <c r="A203" s="305"/>
      <c r="B203" s="95" t="s">
        <v>640</v>
      </c>
      <c r="C203" s="204">
        <v>0</v>
      </c>
      <c r="D203" s="204">
        <v>93</v>
      </c>
      <c r="E203" s="204">
        <v>59</v>
      </c>
      <c r="F203" s="204">
        <v>5</v>
      </c>
      <c r="G203" s="204">
        <v>8</v>
      </c>
      <c r="H203" s="204">
        <v>175</v>
      </c>
      <c r="I203" s="204">
        <v>0</v>
      </c>
      <c r="J203" s="204">
        <v>17</v>
      </c>
      <c r="K203" s="204">
        <v>357</v>
      </c>
      <c r="L203" s="90"/>
      <c r="M203" s="90"/>
      <c r="N203" s="90"/>
      <c r="O203" s="90"/>
      <c r="P203" s="90"/>
      <c r="Q203" s="90"/>
      <c r="R203" s="90"/>
      <c r="S203" s="90"/>
      <c r="T203" s="90"/>
    </row>
    <row r="204" spans="1:20" s="1" customFormat="1" ht="16.5" customHeight="1" x14ac:dyDescent="0.3">
      <c r="A204" s="305"/>
      <c r="B204" s="95" t="s">
        <v>635</v>
      </c>
      <c r="C204" s="204">
        <v>16</v>
      </c>
      <c r="D204" s="204">
        <v>58</v>
      </c>
      <c r="E204" s="204">
        <v>89</v>
      </c>
      <c r="F204" s="204">
        <v>0</v>
      </c>
      <c r="G204" s="204">
        <v>5</v>
      </c>
      <c r="H204" s="204">
        <v>75</v>
      </c>
      <c r="I204" s="204">
        <v>0</v>
      </c>
      <c r="J204" s="204">
        <v>16</v>
      </c>
      <c r="K204" s="204">
        <v>259</v>
      </c>
      <c r="L204" s="90"/>
      <c r="M204" s="90"/>
      <c r="N204" s="90"/>
      <c r="O204" s="90"/>
      <c r="P204" s="90"/>
      <c r="Q204" s="90"/>
      <c r="R204" s="90"/>
      <c r="S204" s="90"/>
      <c r="T204" s="90"/>
    </row>
    <row r="205" spans="1:20" s="1" customFormat="1" ht="16.5" customHeight="1" x14ac:dyDescent="0.3">
      <c r="A205" s="305"/>
      <c r="B205" s="95" t="s">
        <v>712</v>
      </c>
      <c r="C205" s="204">
        <v>21</v>
      </c>
      <c r="D205" s="204">
        <v>178</v>
      </c>
      <c r="E205" s="204">
        <v>182</v>
      </c>
      <c r="F205" s="204">
        <v>57</v>
      </c>
      <c r="G205" s="204">
        <v>96</v>
      </c>
      <c r="H205" s="204">
        <v>566</v>
      </c>
      <c r="I205" s="204">
        <v>0</v>
      </c>
      <c r="J205" s="204">
        <v>160</v>
      </c>
      <c r="K205" s="204">
        <v>1260</v>
      </c>
      <c r="L205" s="90"/>
      <c r="M205" s="90"/>
      <c r="N205" s="90"/>
      <c r="O205" s="90"/>
      <c r="P205" s="90"/>
      <c r="Q205" s="90"/>
      <c r="R205" s="90"/>
      <c r="S205" s="90"/>
      <c r="T205" s="90"/>
    </row>
    <row r="206" spans="1:20" s="1" customFormat="1" ht="16.5" customHeight="1" x14ac:dyDescent="0.3">
      <c r="A206" s="305"/>
      <c r="B206" s="95" t="s">
        <v>637</v>
      </c>
      <c r="C206" s="204">
        <v>16</v>
      </c>
      <c r="D206" s="204">
        <v>321</v>
      </c>
      <c r="E206" s="204">
        <v>223</v>
      </c>
      <c r="F206" s="204">
        <v>11</v>
      </c>
      <c r="G206" s="204">
        <v>15</v>
      </c>
      <c r="H206" s="204">
        <v>253</v>
      </c>
      <c r="I206" s="204">
        <v>0</v>
      </c>
      <c r="J206" s="204">
        <v>55</v>
      </c>
      <c r="K206" s="204">
        <v>894</v>
      </c>
      <c r="L206" s="90"/>
      <c r="M206" s="90"/>
      <c r="N206" s="90"/>
      <c r="O206" s="90"/>
      <c r="P206" s="90"/>
      <c r="Q206" s="90"/>
      <c r="R206" s="90"/>
      <c r="S206" s="90"/>
      <c r="T206" s="90"/>
    </row>
    <row r="207" spans="1:20" s="1" customFormat="1" ht="16.5" customHeight="1" x14ac:dyDescent="0.3">
      <c r="A207" s="305"/>
      <c r="B207" s="95" t="s">
        <v>638</v>
      </c>
      <c r="C207" s="204">
        <v>34</v>
      </c>
      <c r="D207" s="204">
        <v>151</v>
      </c>
      <c r="E207" s="204">
        <v>385</v>
      </c>
      <c r="F207" s="204">
        <v>0</v>
      </c>
      <c r="G207" s="204">
        <v>4</v>
      </c>
      <c r="H207" s="204">
        <v>49</v>
      </c>
      <c r="I207" s="204">
        <v>0</v>
      </c>
      <c r="J207" s="204">
        <v>9</v>
      </c>
      <c r="K207" s="204">
        <v>632</v>
      </c>
      <c r="L207" s="90"/>
      <c r="M207" s="90"/>
      <c r="N207" s="90"/>
      <c r="O207" s="90"/>
      <c r="P207" s="90"/>
      <c r="Q207" s="90"/>
      <c r="R207" s="90"/>
      <c r="S207" s="90"/>
      <c r="T207" s="90"/>
    </row>
    <row r="208" spans="1:20" s="1" customFormat="1" ht="16.5" customHeight="1" x14ac:dyDescent="0.3">
      <c r="A208" s="305"/>
      <c r="B208" s="95" t="s">
        <v>639</v>
      </c>
      <c r="C208" s="204">
        <v>19</v>
      </c>
      <c r="D208" s="204">
        <v>48</v>
      </c>
      <c r="E208" s="204">
        <v>135</v>
      </c>
      <c r="F208" s="204">
        <v>9</v>
      </c>
      <c r="G208" s="204">
        <v>2</v>
      </c>
      <c r="H208" s="204">
        <v>88</v>
      </c>
      <c r="I208" s="204">
        <v>0</v>
      </c>
      <c r="J208" s="204">
        <v>46</v>
      </c>
      <c r="K208" s="204">
        <v>347</v>
      </c>
      <c r="L208" s="90"/>
      <c r="M208" s="90"/>
      <c r="N208" s="90"/>
      <c r="O208" s="90"/>
      <c r="P208" s="90"/>
      <c r="Q208" s="90"/>
      <c r="R208" s="90"/>
      <c r="S208" s="90"/>
      <c r="T208" s="90"/>
    </row>
    <row r="209" spans="1:20" s="1" customFormat="1" ht="16.5" customHeight="1" x14ac:dyDescent="0.3">
      <c r="A209" s="305"/>
      <c r="B209" s="95" t="s">
        <v>644</v>
      </c>
      <c r="C209" s="204">
        <v>145</v>
      </c>
      <c r="D209" s="204">
        <v>198</v>
      </c>
      <c r="E209" s="204">
        <v>104</v>
      </c>
      <c r="F209" s="204">
        <v>18</v>
      </c>
      <c r="G209" s="204">
        <v>0</v>
      </c>
      <c r="H209" s="204">
        <v>49</v>
      </c>
      <c r="I209" s="204">
        <v>0</v>
      </c>
      <c r="J209" s="204">
        <v>3</v>
      </c>
      <c r="K209" s="204">
        <v>517</v>
      </c>
      <c r="L209" s="90"/>
      <c r="M209" s="90"/>
      <c r="N209" s="90"/>
      <c r="O209" s="90"/>
      <c r="P209" s="90"/>
      <c r="Q209" s="90"/>
      <c r="R209" s="90"/>
      <c r="S209" s="90"/>
      <c r="T209" s="90"/>
    </row>
    <row r="210" spans="1:20" s="1" customFormat="1" ht="16.5" customHeight="1" x14ac:dyDescent="0.3">
      <c r="A210" s="306"/>
      <c r="B210" s="97" t="s">
        <v>86</v>
      </c>
      <c r="C210" s="207">
        <v>777</v>
      </c>
      <c r="D210" s="207">
        <v>1722</v>
      </c>
      <c r="E210" s="207">
        <v>1977</v>
      </c>
      <c r="F210" s="207">
        <v>167</v>
      </c>
      <c r="G210" s="207">
        <v>294</v>
      </c>
      <c r="H210" s="207">
        <v>2399</v>
      </c>
      <c r="I210" s="207">
        <v>0</v>
      </c>
      <c r="J210" s="207">
        <v>482</v>
      </c>
      <c r="K210" s="207">
        <v>7818</v>
      </c>
      <c r="L210" s="90"/>
      <c r="M210" s="90"/>
      <c r="N210" s="90"/>
      <c r="O210" s="90"/>
      <c r="P210" s="90"/>
      <c r="Q210" s="90"/>
      <c r="R210" s="90"/>
      <c r="S210" s="90"/>
      <c r="T210" s="90"/>
    </row>
    <row r="211" spans="1:20" s="1" customFormat="1" ht="16.5" customHeight="1" x14ac:dyDescent="0.3">
      <c r="A211" s="307" t="s">
        <v>155</v>
      </c>
      <c r="B211" s="95" t="s">
        <v>651</v>
      </c>
      <c r="C211" s="204">
        <v>0</v>
      </c>
      <c r="D211" s="204">
        <v>321</v>
      </c>
      <c r="E211" s="204">
        <v>254</v>
      </c>
      <c r="F211" s="204">
        <v>30</v>
      </c>
      <c r="G211" s="204">
        <v>1</v>
      </c>
      <c r="H211" s="204">
        <v>114</v>
      </c>
      <c r="I211" s="204">
        <v>0</v>
      </c>
      <c r="J211" s="204">
        <v>55</v>
      </c>
      <c r="K211" s="204">
        <v>775</v>
      </c>
      <c r="L211" s="90"/>
      <c r="M211" s="90"/>
      <c r="N211" s="90"/>
      <c r="O211" s="90"/>
      <c r="P211" s="90"/>
      <c r="Q211" s="90"/>
      <c r="R211" s="90"/>
      <c r="S211" s="90"/>
      <c r="T211" s="90"/>
    </row>
    <row r="212" spans="1:20" s="1" customFormat="1" ht="16.5" customHeight="1" x14ac:dyDescent="0.3">
      <c r="A212" s="323"/>
      <c r="B212" s="95" t="s">
        <v>713</v>
      </c>
      <c r="C212" s="204">
        <v>0</v>
      </c>
      <c r="D212" s="204">
        <v>297</v>
      </c>
      <c r="E212" s="204">
        <v>538</v>
      </c>
      <c r="F212" s="204">
        <v>77</v>
      </c>
      <c r="G212" s="204">
        <v>24</v>
      </c>
      <c r="H212" s="204">
        <v>279</v>
      </c>
      <c r="I212" s="204">
        <v>0</v>
      </c>
      <c r="J212" s="204">
        <v>60</v>
      </c>
      <c r="K212" s="204">
        <v>1275</v>
      </c>
      <c r="L212" s="90"/>
      <c r="M212" s="90"/>
      <c r="N212" s="90"/>
      <c r="O212" s="90"/>
      <c r="P212" s="90"/>
      <c r="Q212" s="90"/>
      <c r="R212" s="90"/>
      <c r="S212" s="90"/>
      <c r="T212" s="90"/>
    </row>
    <row r="213" spans="1:20" s="1" customFormat="1" ht="16.5" customHeight="1" x14ac:dyDescent="0.3">
      <c r="A213" s="323"/>
      <c r="B213" s="95" t="s">
        <v>645</v>
      </c>
      <c r="C213" s="204">
        <v>0</v>
      </c>
      <c r="D213" s="204">
        <v>146</v>
      </c>
      <c r="E213" s="204">
        <v>173</v>
      </c>
      <c r="F213" s="204">
        <v>21</v>
      </c>
      <c r="G213" s="204">
        <v>2</v>
      </c>
      <c r="H213" s="204">
        <v>55</v>
      </c>
      <c r="I213" s="204">
        <v>0</v>
      </c>
      <c r="J213" s="204">
        <v>35</v>
      </c>
      <c r="K213" s="204">
        <v>432</v>
      </c>
      <c r="L213" s="90"/>
      <c r="M213" s="90"/>
      <c r="N213" s="90"/>
      <c r="O213" s="90"/>
      <c r="P213" s="90"/>
      <c r="Q213" s="90"/>
      <c r="R213" s="90"/>
      <c r="S213" s="90"/>
      <c r="T213" s="90"/>
    </row>
    <row r="214" spans="1:20" s="1" customFormat="1" ht="16.5" customHeight="1" x14ac:dyDescent="0.3">
      <c r="A214" s="323"/>
      <c r="B214" s="95" t="s">
        <v>714</v>
      </c>
      <c r="C214" s="204">
        <v>470</v>
      </c>
      <c r="D214" s="204">
        <v>79</v>
      </c>
      <c r="E214" s="204">
        <v>82</v>
      </c>
      <c r="F214" s="204">
        <v>0</v>
      </c>
      <c r="G214" s="204">
        <v>0</v>
      </c>
      <c r="H214" s="204">
        <v>8</v>
      </c>
      <c r="I214" s="204">
        <v>0</v>
      </c>
      <c r="J214" s="204">
        <v>2</v>
      </c>
      <c r="K214" s="204">
        <v>641</v>
      </c>
      <c r="L214" s="90"/>
      <c r="M214" s="90"/>
      <c r="N214" s="90"/>
      <c r="O214" s="90"/>
      <c r="P214" s="90"/>
      <c r="Q214" s="90"/>
      <c r="R214" s="90"/>
      <c r="S214" s="90"/>
      <c r="T214" s="90"/>
    </row>
    <row r="215" spans="1:20" s="1" customFormat="1" ht="16.5" customHeight="1" x14ac:dyDescent="0.3">
      <c r="A215" s="323"/>
      <c r="B215" s="95" t="s">
        <v>646</v>
      </c>
      <c r="C215" s="204">
        <v>0</v>
      </c>
      <c r="D215" s="204">
        <v>217</v>
      </c>
      <c r="E215" s="204">
        <v>118</v>
      </c>
      <c r="F215" s="204">
        <v>42</v>
      </c>
      <c r="G215" s="204">
        <v>24</v>
      </c>
      <c r="H215" s="204">
        <v>185</v>
      </c>
      <c r="I215" s="204">
        <v>0</v>
      </c>
      <c r="J215" s="204">
        <v>388</v>
      </c>
      <c r="K215" s="204">
        <v>974</v>
      </c>
      <c r="L215" s="90"/>
      <c r="M215" s="90"/>
      <c r="N215" s="90"/>
      <c r="O215" s="90"/>
      <c r="P215" s="90"/>
      <c r="Q215" s="90"/>
      <c r="R215" s="90"/>
      <c r="S215" s="90"/>
      <c r="T215" s="90"/>
    </row>
    <row r="216" spans="1:20" s="1" customFormat="1" ht="16.5" customHeight="1" x14ac:dyDescent="0.3">
      <c r="A216" s="323"/>
      <c r="B216" s="95" t="s">
        <v>650</v>
      </c>
      <c r="C216" s="204">
        <v>0</v>
      </c>
      <c r="D216" s="204">
        <v>229</v>
      </c>
      <c r="E216" s="204">
        <v>58</v>
      </c>
      <c r="F216" s="204">
        <v>1</v>
      </c>
      <c r="G216" s="204">
        <v>12</v>
      </c>
      <c r="H216" s="204">
        <v>205</v>
      </c>
      <c r="I216" s="204">
        <v>0</v>
      </c>
      <c r="J216" s="204">
        <v>136</v>
      </c>
      <c r="K216" s="204">
        <v>641</v>
      </c>
      <c r="L216" s="90"/>
      <c r="M216" s="90"/>
      <c r="N216" s="90"/>
      <c r="O216" s="90"/>
      <c r="P216" s="90"/>
      <c r="Q216" s="90"/>
      <c r="R216" s="90"/>
      <c r="S216" s="90"/>
      <c r="T216" s="90"/>
    </row>
    <row r="217" spans="1:20" s="1" customFormat="1" ht="16.5" customHeight="1" x14ac:dyDescent="0.3">
      <c r="A217" s="323"/>
      <c r="B217" s="95" t="s">
        <v>649</v>
      </c>
      <c r="C217" s="204">
        <v>0</v>
      </c>
      <c r="D217" s="204">
        <v>64</v>
      </c>
      <c r="E217" s="204">
        <v>176</v>
      </c>
      <c r="F217" s="204">
        <v>0</v>
      </c>
      <c r="G217" s="204">
        <v>0</v>
      </c>
      <c r="H217" s="204">
        <v>41</v>
      </c>
      <c r="I217" s="204">
        <v>0</v>
      </c>
      <c r="J217" s="204">
        <v>8</v>
      </c>
      <c r="K217" s="204">
        <v>289</v>
      </c>
      <c r="L217" s="90"/>
      <c r="M217" s="90"/>
      <c r="N217" s="90"/>
      <c r="O217" s="90"/>
      <c r="P217" s="90"/>
      <c r="Q217" s="90"/>
      <c r="R217" s="90"/>
      <c r="S217" s="90"/>
      <c r="T217" s="90"/>
    </row>
    <row r="218" spans="1:20" s="1" customFormat="1" ht="16.5" customHeight="1" x14ac:dyDescent="0.3">
      <c r="A218" s="323"/>
      <c r="B218" s="95" t="s">
        <v>715</v>
      </c>
      <c r="C218" s="204">
        <v>282</v>
      </c>
      <c r="D218" s="204">
        <v>235</v>
      </c>
      <c r="E218" s="204">
        <v>359</v>
      </c>
      <c r="F218" s="204">
        <v>34</v>
      </c>
      <c r="G218" s="204">
        <v>4</v>
      </c>
      <c r="H218" s="204">
        <v>108</v>
      </c>
      <c r="I218" s="204">
        <v>43</v>
      </c>
      <c r="J218" s="204">
        <v>29</v>
      </c>
      <c r="K218" s="204">
        <v>1094</v>
      </c>
      <c r="L218" s="90"/>
      <c r="M218" s="90"/>
      <c r="N218" s="90"/>
      <c r="O218" s="90"/>
      <c r="P218" s="90"/>
      <c r="Q218" s="90"/>
      <c r="R218" s="90"/>
      <c r="S218" s="90"/>
      <c r="T218" s="90"/>
    </row>
    <row r="219" spans="1:20" s="1" customFormat="1" ht="16.5" customHeight="1" x14ac:dyDescent="0.3">
      <c r="A219" s="323"/>
      <c r="B219" s="95" t="s">
        <v>716</v>
      </c>
      <c r="C219" s="204">
        <v>23</v>
      </c>
      <c r="D219" s="204">
        <v>311</v>
      </c>
      <c r="E219" s="204">
        <v>326</v>
      </c>
      <c r="F219" s="204">
        <v>5</v>
      </c>
      <c r="G219" s="204">
        <v>3</v>
      </c>
      <c r="H219" s="204">
        <v>206</v>
      </c>
      <c r="I219" s="204">
        <v>0</v>
      </c>
      <c r="J219" s="204">
        <v>72</v>
      </c>
      <c r="K219" s="204">
        <v>946</v>
      </c>
      <c r="L219" s="90"/>
      <c r="M219" s="90"/>
      <c r="N219" s="90"/>
      <c r="O219" s="90"/>
      <c r="P219" s="90"/>
      <c r="Q219" s="90"/>
      <c r="R219" s="90"/>
      <c r="S219" s="90"/>
      <c r="T219" s="90"/>
    </row>
    <row r="220" spans="1:20" s="1" customFormat="1" ht="16.5" customHeight="1" x14ac:dyDescent="0.3">
      <c r="A220" s="323"/>
      <c r="B220" s="95" t="s">
        <v>647</v>
      </c>
      <c r="C220" s="204">
        <v>0</v>
      </c>
      <c r="D220" s="204">
        <v>857</v>
      </c>
      <c r="E220" s="204">
        <v>14</v>
      </c>
      <c r="F220" s="204">
        <v>27</v>
      </c>
      <c r="G220" s="204">
        <v>1</v>
      </c>
      <c r="H220" s="204">
        <v>106</v>
      </c>
      <c r="I220" s="204">
        <v>0</v>
      </c>
      <c r="J220" s="204">
        <v>58</v>
      </c>
      <c r="K220" s="204">
        <v>1063</v>
      </c>
      <c r="L220" s="90"/>
      <c r="M220" s="90"/>
      <c r="N220" s="90"/>
      <c r="O220" s="90"/>
      <c r="P220" s="90"/>
      <c r="Q220" s="90"/>
      <c r="R220" s="90"/>
      <c r="S220" s="90"/>
      <c r="T220" s="90"/>
    </row>
    <row r="221" spans="1:20" s="1" customFormat="1" ht="16.5" customHeight="1" x14ac:dyDescent="0.3">
      <c r="A221" s="323"/>
      <c r="B221" s="95" t="s">
        <v>648</v>
      </c>
      <c r="C221" s="204">
        <v>0</v>
      </c>
      <c r="D221" s="204">
        <v>235</v>
      </c>
      <c r="E221" s="204">
        <v>22</v>
      </c>
      <c r="F221" s="204">
        <v>36</v>
      </c>
      <c r="G221" s="204">
        <v>0</v>
      </c>
      <c r="H221" s="204">
        <v>76</v>
      </c>
      <c r="I221" s="204">
        <v>0</v>
      </c>
      <c r="J221" s="204">
        <v>16</v>
      </c>
      <c r="K221" s="204">
        <v>385</v>
      </c>
      <c r="L221" s="90"/>
      <c r="M221" s="90"/>
      <c r="N221" s="90"/>
      <c r="O221" s="90"/>
      <c r="P221" s="90"/>
      <c r="Q221" s="90"/>
      <c r="R221" s="90"/>
      <c r="S221" s="90"/>
      <c r="T221" s="90"/>
    </row>
    <row r="222" spans="1:20" s="1" customFormat="1" ht="16.5" customHeight="1" x14ac:dyDescent="0.3">
      <c r="A222" s="323"/>
      <c r="B222" s="95" t="s">
        <v>717</v>
      </c>
      <c r="C222" s="204">
        <v>0</v>
      </c>
      <c r="D222" s="204">
        <v>122</v>
      </c>
      <c r="E222" s="204">
        <v>38</v>
      </c>
      <c r="F222" s="204">
        <v>2</v>
      </c>
      <c r="G222" s="204">
        <v>0</v>
      </c>
      <c r="H222" s="204">
        <v>143</v>
      </c>
      <c r="I222" s="204">
        <v>0</v>
      </c>
      <c r="J222" s="204">
        <v>29</v>
      </c>
      <c r="K222" s="204">
        <v>334</v>
      </c>
      <c r="L222" s="90"/>
      <c r="M222" s="90"/>
      <c r="N222" s="90"/>
      <c r="O222" s="90"/>
      <c r="P222" s="90"/>
      <c r="Q222" s="90"/>
      <c r="R222" s="90"/>
      <c r="S222" s="90"/>
      <c r="T222" s="90"/>
    </row>
    <row r="223" spans="1:20" s="1" customFormat="1" ht="16.5" customHeight="1" x14ac:dyDescent="0.3">
      <c r="A223" s="323"/>
      <c r="B223" s="95" t="s">
        <v>652</v>
      </c>
      <c r="C223" s="204">
        <v>69</v>
      </c>
      <c r="D223" s="204">
        <v>2053</v>
      </c>
      <c r="E223" s="204">
        <v>134</v>
      </c>
      <c r="F223" s="204">
        <v>0</v>
      </c>
      <c r="G223" s="204">
        <v>1</v>
      </c>
      <c r="H223" s="204">
        <v>44</v>
      </c>
      <c r="I223" s="204">
        <v>0</v>
      </c>
      <c r="J223" s="204">
        <v>18</v>
      </c>
      <c r="K223" s="204">
        <v>2319</v>
      </c>
      <c r="L223" s="90"/>
      <c r="M223" s="90"/>
      <c r="N223" s="90"/>
      <c r="O223" s="90"/>
      <c r="P223" s="90"/>
      <c r="Q223" s="90"/>
      <c r="R223" s="90"/>
      <c r="S223" s="90"/>
      <c r="T223" s="90"/>
    </row>
    <row r="224" spans="1:20" s="1" customFormat="1" ht="16.5" customHeight="1" x14ac:dyDescent="0.3">
      <c r="A224" s="308"/>
      <c r="B224" s="97" t="s">
        <v>86</v>
      </c>
      <c r="C224" s="207">
        <v>845</v>
      </c>
      <c r="D224" s="207">
        <v>5164</v>
      </c>
      <c r="E224" s="207">
        <v>2292</v>
      </c>
      <c r="F224" s="207">
        <v>275</v>
      </c>
      <c r="G224" s="207">
        <v>73</v>
      </c>
      <c r="H224" s="207">
        <v>1570</v>
      </c>
      <c r="I224" s="207">
        <v>43</v>
      </c>
      <c r="J224" s="207">
        <v>907</v>
      </c>
      <c r="K224" s="207">
        <v>11169</v>
      </c>
      <c r="L224" s="90"/>
      <c r="M224" s="90"/>
      <c r="N224" s="90"/>
      <c r="O224" s="90"/>
      <c r="P224" s="90"/>
      <c r="Q224" s="90"/>
      <c r="R224" s="90"/>
      <c r="S224" s="90"/>
      <c r="T224" s="90"/>
    </row>
    <row r="225" spans="1:20" s="1" customFormat="1" ht="16.5" customHeight="1" x14ac:dyDescent="0.3">
      <c r="A225" s="304" t="s">
        <v>653</v>
      </c>
      <c r="B225" s="95" t="s">
        <v>657</v>
      </c>
      <c r="C225" s="204">
        <v>0</v>
      </c>
      <c r="D225" s="204">
        <v>117</v>
      </c>
      <c r="E225" s="204">
        <v>276</v>
      </c>
      <c r="F225" s="204">
        <v>11</v>
      </c>
      <c r="G225" s="204">
        <v>0</v>
      </c>
      <c r="H225" s="204">
        <v>36</v>
      </c>
      <c r="I225" s="204">
        <v>0</v>
      </c>
      <c r="J225" s="204">
        <v>5</v>
      </c>
      <c r="K225" s="204">
        <v>445</v>
      </c>
      <c r="L225" s="90"/>
      <c r="M225" s="90"/>
      <c r="N225" s="90"/>
      <c r="O225" s="90"/>
      <c r="P225" s="90"/>
      <c r="Q225" s="90"/>
      <c r="R225" s="90"/>
      <c r="S225" s="90"/>
      <c r="T225" s="90"/>
    </row>
    <row r="226" spans="1:20" s="1" customFormat="1" ht="16.5" customHeight="1" x14ac:dyDescent="0.3">
      <c r="A226" s="305"/>
      <c r="B226" s="95" t="s">
        <v>654</v>
      </c>
      <c r="C226" s="204">
        <v>0</v>
      </c>
      <c r="D226" s="204">
        <v>100</v>
      </c>
      <c r="E226" s="204">
        <v>134</v>
      </c>
      <c r="F226" s="204">
        <v>0</v>
      </c>
      <c r="G226" s="204">
        <v>0</v>
      </c>
      <c r="H226" s="204">
        <v>2</v>
      </c>
      <c r="I226" s="204">
        <v>0</v>
      </c>
      <c r="J226" s="204">
        <v>2</v>
      </c>
      <c r="K226" s="204">
        <v>238</v>
      </c>
      <c r="L226" s="90"/>
      <c r="M226" s="90"/>
      <c r="N226" s="90"/>
      <c r="O226" s="90"/>
      <c r="P226" s="90"/>
      <c r="Q226" s="90"/>
      <c r="R226" s="90"/>
      <c r="S226" s="90"/>
      <c r="T226" s="90"/>
    </row>
    <row r="227" spans="1:20" s="1" customFormat="1" ht="16.5" customHeight="1" x14ac:dyDescent="0.3">
      <c r="A227" s="305"/>
      <c r="B227" s="95" t="s">
        <v>656</v>
      </c>
      <c r="C227" s="204">
        <v>2</v>
      </c>
      <c r="D227" s="204">
        <v>72</v>
      </c>
      <c r="E227" s="204">
        <v>184</v>
      </c>
      <c r="F227" s="204">
        <v>0</v>
      </c>
      <c r="G227" s="204">
        <v>0</v>
      </c>
      <c r="H227" s="204">
        <v>37</v>
      </c>
      <c r="I227" s="204">
        <v>0</v>
      </c>
      <c r="J227" s="204">
        <v>7</v>
      </c>
      <c r="K227" s="204">
        <v>302</v>
      </c>
      <c r="L227" s="90"/>
      <c r="M227" s="90"/>
      <c r="N227" s="90"/>
      <c r="O227" s="90"/>
      <c r="P227" s="90"/>
      <c r="Q227" s="90"/>
      <c r="R227" s="90"/>
      <c r="S227" s="90"/>
      <c r="T227" s="90"/>
    </row>
    <row r="228" spans="1:20" s="1" customFormat="1" ht="16.5" customHeight="1" x14ac:dyDescent="0.3">
      <c r="A228" s="305"/>
      <c r="B228" s="95" t="s">
        <v>655</v>
      </c>
      <c r="C228" s="204">
        <v>0</v>
      </c>
      <c r="D228" s="204">
        <v>147</v>
      </c>
      <c r="E228" s="204">
        <v>161</v>
      </c>
      <c r="F228" s="204">
        <v>0</v>
      </c>
      <c r="G228" s="204">
        <v>0</v>
      </c>
      <c r="H228" s="204">
        <v>30</v>
      </c>
      <c r="I228" s="204">
        <v>0</v>
      </c>
      <c r="J228" s="204">
        <v>19</v>
      </c>
      <c r="K228" s="204">
        <v>357</v>
      </c>
      <c r="L228" s="90"/>
      <c r="M228" s="90"/>
      <c r="N228" s="90"/>
      <c r="O228" s="90"/>
      <c r="P228" s="90"/>
      <c r="Q228" s="90"/>
      <c r="R228" s="90"/>
      <c r="S228" s="90"/>
      <c r="T228" s="90"/>
    </row>
    <row r="229" spans="1:20" s="1" customFormat="1" ht="16.5" customHeight="1" x14ac:dyDescent="0.3">
      <c r="A229" s="305"/>
      <c r="B229" s="95" t="s">
        <v>658</v>
      </c>
      <c r="C229" s="204">
        <v>0</v>
      </c>
      <c r="D229" s="204">
        <v>474</v>
      </c>
      <c r="E229" s="204">
        <v>31</v>
      </c>
      <c r="F229" s="204">
        <v>0</v>
      </c>
      <c r="G229" s="204">
        <v>0</v>
      </c>
      <c r="H229" s="204">
        <v>3</v>
      </c>
      <c r="I229" s="204">
        <v>0</v>
      </c>
      <c r="J229" s="204">
        <v>0</v>
      </c>
      <c r="K229" s="204">
        <v>508</v>
      </c>
      <c r="L229" s="90"/>
      <c r="M229" s="90"/>
      <c r="N229" s="90"/>
      <c r="O229" s="90"/>
      <c r="P229" s="90"/>
      <c r="Q229" s="90"/>
      <c r="R229" s="90"/>
      <c r="S229" s="90"/>
      <c r="T229" s="90"/>
    </row>
    <row r="230" spans="1:20" s="1" customFormat="1" ht="16.5" customHeight="1" x14ac:dyDescent="0.3">
      <c r="A230" s="306"/>
      <c r="B230" s="97" t="s">
        <v>86</v>
      </c>
      <c r="C230" s="207">
        <v>2</v>
      </c>
      <c r="D230" s="207">
        <v>910</v>
      </c>
      <c r="E230" s="207">
        <v>787</v>
      </c>
      <c r="F230" s="207">
        <v>11</v>
      </c>
      <c r="G230" s="207">
        <v>0</v>
      </c>
      <c r="H230" s="207">
        <v>108</v>
      </c>
      <c r="I230" s="207">
        <v>0</v>
      </c>
      <c r="J230" s="207">
        <v>33</v>
      </c>
      <c r="K230" s="207">
        <v>1851</v>
      </c>
      <c r="L230" s="90"/>
      <c r="M230" s="90"/>
      <c r="N230" s="90"/>
      <c r="O230" s="90"/>
      <c r="P230" s="90"/>
      <c r="Q230" s="90"/>
      <c r="R230" s="90"/>
      <c r="S230" s="90"/>
      <c r="T230" s="90"/>
    </row>
    <row r="231" spans="1:20" s="1" customFormat="1" ht="16.5" customHeight="1" x14ac:dyDescent="0.3">
      <c r="A231" s="307" t="s">
        <v>772</v>
      </c>
      <c r="B231" s="95" t="s">
        <v>660</v>
      </c>
      <c r="C231" s="204">
        <v>0</v>
      </c>
      <c r="D231" s="204">
        <v>20</v>
      </c>
      <c r="E231" s="204">
        <v>28</v>
      </c>
      <c r="F231" s="204">
        <v>0</v>
      </c>
      <c r="G231" s="204">
        <v>5</v>
      </c>
      <c r="H231" s="204">
        <v>32</v>
      </c>
      <c r="I231" s="204">
        <v>0</v>
      </c>
      <c r="J231" s="204">
        <v>2</v>
      </c>
      <c r="K231" s="204">
        <v>87</v>
      </c>
      <c r="L231" s="90"/>
      <c r="M231" s="90"/>
      <c r="N231" s="90"/>
      <c r="O231" s="90"/>
      <c r="P231" s="90"/>
      <c r="Q231" s="90"/>
      <c r="R231" s="90"/>
      <c r="S231" s="90"/>
      <c r="T231" s="90"/>
    </row>
    <row r="232" spans="1:20" s="1" customFormat="1" ht="16.5" customHeight="1" x14ac:dyDescent="0.3">
      <c r="A232" s="323"/>
      <c r="B232" s="95" t="s">
        <v>659</v>
      </c>
      <c r="C232" s="204">
        <v>3</v>
      </c>
      <c r="D232" s="204">
        <v>13</v>
      </c>
      <c r="E232" s="204">
        <v>61</v>
      </c>
      <c r="F232" s="204">
        <v>0</v>
      </c>
      <c r="G232" s="204">
        <v>0</v>
      </c>
      <c r="H232" s="204">
        <v>30</v>
      </c>
      <c r="I232" s="204">
        <v>0</v>
      </c>
      <c r="J232" s="204">
        <v>2</v>
      </c>
      <c r="K232" s="204">
        <v>109</v>
      </c>
      <c r="L232" s="90"/>
      <c r="M232" s="90"/>
      <c r="N232" s="90"/>
      <c r="O232" s="90"/>
      <c r="P232" s="90"/>
      <c r="Q232" s="90"/>
      <c r="R232" s="90"/>
      <c r="S232" s="90"/>
      <c r="T232" s="90"/>
    </row>
    <row r="233" spans="1:20" s="1" customFormat="1" ht="16.5" customHeight="1" x14ac:dyDescent="0.3">
      <c r="A233" s="323"/>
      <c r="B233" s="95" t="s">
        <v>661</v>
      </c>
      <c r="C233" s="204">
        <v>1</v>
      </c>
      <c r="D233" s="204">
        <v>0</v>
      </c>
      <c r="E233" s="204">
        <v>23</v>
      </c>
      <c r="F233" s="204">
        <v>0</v>
      </c>
      <c r="G233" s="204">
        <v>0</v>
      </c>
      <c r="H233" s="204">
        <v>5</v>
      </c>
      <c r="I233" s="204">
        <v>0</v>
      </c>
      <c r="J233" s="204">
        <v>0</v>
      </c>
      <c r="K233" s="204">
        <v>29</v>
      </c>
      <c r="L233" s="90"/>
      <c r="M233" s="90"/>
      <c r="N233" s="90"/>
      <c r="O233" s="90"/>
      <c r="P233" s="90"/>
      <c r="Q233" s="90"/>
      <c r="R233" s="90"/>
      <c r="S233" s="90"/>
      <c r="T233" s="90"/>
    </row>
    <row r="234" spans="1:20" s="1" customFormat="1" ht="16.5" customHeight="1" x14ac:dyDescent="0.3">
      <c r="A234" s="308"/>
      <c r="B234" s="97" t="s">
        <v>86</v>
      </c>
      <c r="C234" s="207">
        <v>4</v>
      </c>
      <c r="D234" s="207">
        <v>33</v>
      </c>
      <c r="E234" s="207">
        <v>111</v>
      </c>
      <c r="F234" s="207">
        <v>0</v>
      </c>
      <c r="G234" s="207">
        <v>5</v>
      </c>
      <c r="H234" s="207">
        <v>66</v>
      </c>
      <c r="I234" s="207">
        <v>0</v>
      </c>
      <c r="J234" s="207">
        <v>4</v>
      </c>
      <c r="K234" s="207">
        <v>223</v>
      </c>
      <c r="L234" s="90"/>
      <c r="M234" s="90"/>
      <c r="N234" s="90"/>
      <c r="O234" s="90"/>
      <c r="P234" s="90"/>
      <c r="Q234" s="90"/>
      <c r="R234" s="90"/>
      <c r="S234" s="90"/>
      <c r="T234" s="90"/>
    </row>
    <row r="235" spans="1:20" s="1" customFormat="1" ht="16.5" customHeight="1" x14ac:dyDescent="0.3">
      <c r="A235" s="304" t="s">
        <v>151</v>
      </c>
      <c r="B235" s="95" t="s">
        <v>662</v>
      </c>
      <c r="C235" s="204">
        <v>0</v>
      </c>
      <c r="D235" s="204">
        <v>1</v>
      </c>
      <c r="E235" s="204">
        <v>2</v>
      </c>
      <c r="F235" s="204">
        <v>0</v>
      </c>
      <c r="G235" s="204">
        <v>0</v>
      </c>
      <c r="H235" s="204">
        <v>1</v>
      </c>
      <c r="I235" s="204">
        <v>0</v>
      </c>
      <c r="J235" s="204">
        <v>22</v>
      </c>
      <c r="K235" s="204">
        <v>26</v>
      </c>
      <c r="L235" s="90"/>
      <c r="M235" s="90"/>
      <c r="N235" s="90"/>
      <c r="O235" s="90"/>
      <c r="P235" s="90"/>
      <c r="Q235" s="90"/>
      <c r="R235" s="90"/>
      <c r="S235" s="90"/>
      <c r="T235" s="90"/>
    </row>
    <row r="236" spans="1:20" s="1" customFormat="1" ht="16.5" customHeight="1" x14ac:dyDescent="0.3">
      <c r="A236" s="305"/>
      <c r="B236" s="95" t="s">
        <v>718</v>
      </c>
      <c r="C236" s="204">
        <v>7</v>
      </c>
      <c r="D236" s="204">
        <v>2795</v>
      </c>
      <c r="E236" s="204">
        <v>101</v>
      </c>
      <c r="F236" s="204">
        <v>0</v>
      </c>
      <c r="G236" s="204">
        <v>0</v>
      </c>
      <c r="H236" s="204">
        <v>85</v>
      </c>
      <c r="I236" s="204">
        <v>0</v>
      </c>
      <c r="J236" s="204">
        <v>888</v>
      </c>
      <c r="K236" s="204">
        <v>3876</v>
      </c>
      <c r="L236" s="90"/>
      <c r="M236" s="90"/>
      <c r="N236" s="90"/>
      <c r="O236" s="90"/>
      <c r="P236" s="90"/>
      <c r="Q236" s="90"/>
      <c r="R236" s="90"/>
      <c r="S236" s="90"/>
      <c r="T236" s="90"/>
    </row>
    <row r="237" spans="1:20" s="1" customFormat="1" ht="16.5" customHeight="1" x14ac:dyDescent="0.3">
      <c r="A237" s="305"/>
      <c r="B237" s="95" t="s">
        <v>719</v>
      </c>
      <c r="C237" s="204">
        <v>0</v>
      </c>
      <c r="D237" s="204">
        <v>0</v>
      </c>
      <c r="E237" s="204">
        <v>0</v>
      </c>
      <c r="F237" s="204">
        <v>0</v>
      </c>
      <c r="G237" s="204">
        <v>0</v>
      </c>
      <c r="H237" s="204">
        <v>0</v>
      </c>
      <c r="I237" s="204">
        <v>0</v>
      </c>
      <c r="J237" s="204">
        <v>0</v>
      </c>
      <c r="K237" s="204">
        <v>0</v>
      </c>
      <c r="L237" s="90"/>
      <c r="M237" s="90"/>
      <c r="N237" s="90"/>
      <c r="O237" s="90"/>
      <c r="P237" s="90"/>
      <c r="Q237" s="90"/>
      <c r="R237" s="90"/>
      <c r="S237" s="90"/>
      <c r="T237" s="90"/>
    </row>
    <row r="238" spans="1:20" s="1" customFormat="1" ht="16.5" customHeight="1" x14ac:dyDescent="0.3">
      <c r="A238" s="305"/>
      <c r="B238" s="95" t="s">
        <v>721</v>
      </c>
      <c r="C238" s="204">
        <v>0</v>
      </c>
      <c r="D238" s="204">
        <v>0</v>
      </c>
      <c r="E238" s="204">
        <v>5</v>
      </c>
      <c r="F238" s="204">
        <v>0</v>
      </c>
      <c r="G238" s="204">
        <v>0</v>
      </c>
      <c r="H238" s="204">
        <v>2</v>
      </c>
      <c r="I238" s="204">
        <v>0</v>
      </c>
      <c r="J238" s="204">
        <v>0</v>
      </c>
      <c r="K238" s="204">
        <v>7</v>
      </c>
      <c r="L238" s="90"/>
      <c r="M238" s="90"/>
      <c r="N238" s="90"/>
      <c r="O238" s="90"/>
      <c r="P238" s="90"/>
      <c r="Q238" s="90"/>
      <c r="R238" s="90"/>
      <c r="S238" s="90"/>
      <c r="T238" s="90"/>
    </row>
    <row r="239" spans="1:20" s="1" customFormat="1" ht="16.5" customHeight="1" x14ac:dyDescent="0.3">
      <c r="A239" s="305"/>
      <c r="B239" s="95" t="s">
        <v>663</v>
      </c>
      <c r="C239" s="204">
        <v>50</v>
      </c>
      <c r="D239" s="204">
        <v>126</v>
      </c>
      <c r="E239" s="204">
        <v>67</v>
      </c>
      <c r="F239" s="204">
        <v>0</v>
      </c>
      <c r="G239" s="204">
        <v>0</v>
      </c>
      <c r="H239" s="204">
        <v>44</v>
      </c>
      <c r="I239" s="204">
        <v>0</v>
      </c>
      <c r="J239" s="204">
        <v>33</v>
      </c>
      <c r="K239" s="204">
        <v>320</v>
      </c>
      <c r="L239" s="90"/>
      <c r="M239" s="90"/>
      <c r="N239" s="90"/>
      <c r="O239" s="90"/>
      <c r="P239" s="90"/>
      <c r="Q239" s="90"/>
      <c r="R239" s="90"/>
      <c r="S239" s="90"/>
      <c r="T239" s="90"/>
    </row>
    <row r="240" spans="1:20" s="1" customFormat="1" ht="16.5" customHeight="1" x14ac:dyDescent="0.3">
      <c r="A240" s="305"/>
      <c r="B240" s="95" t="s">
        <v>720</v>
      </c>
      <c r="C240" s="204">
        <v>116</v>
      </c>
      <c r="D240" s="204">
        <v>6146</v>
      </c>
      <c r="E240" s="204">
        <v>9296</v>
      </c>
      <c r="F240" s="204">
        <v>8</v>
      </c>
      <c r="G240" s="204">
        <v>180</v>
      </c>
      <c r="H240" s="204">
        <v>1127</v>
      </c>
      <c r="I240" s="204">
        <v>62</v>
      </c>
      <c r="J240" s="204">
        <v>1027</v>
      </c>
      <c r="K240" s="204">
        <v>17962</v>
      </c>
      <c r="L240" s="90"/>
      <c r="M240" s="90"/>
      <c r="N240" s="90"/>
      <c r="O240" s="90"/>
      <c r="P240" s="90"/>
      <c r="Q240" s="90"/>
      <c r="R240" s="90"/>
      <c r="S240" s="90"/>
      <c r="T240" s="90"/>
    </row>
    <row r="241" spans="1:20" s="1" customFormat="1" ht="16.5" customHeight="1" x14ac:dyDescent="0.3">
      <c r="A241" s="306"/>
      <c r="B241" s="97" t="s">
        <v>86</v>
      </c>
      <c r="C241" s="207">
        <v>173</v>
      </c>
      <c r="D241" s="207">
        <v>9069</v>
      </c>
      <c r="E241" s="207">
        <v>9473</v>
      </c>
      <c r="F241" s="207">
        <v>8</v>
      </c>
      <c r="G241" s="207">
        <v>180</v>
      </c>
      <c r="H241" s="207">
        <v>1259</v>
      </c>
      <c r="I241" s="207">
        <v>62</v>
      </c>
      <c r="J241" s="207">
        <v>1970</v>
      </c>
      <c r="K241" s="207">
        <v>22194</v>
      </c>
      <c r="L241" s="90"/>
      <c r="M241" s="90"/>
      <c r="N241" s="90"/>
      <c r="O241" s="90"/>
      <c r="P241" s="90"/>
      <c r="Q241" s="90"/>
      <c r="R241" s="90"/>
      <c r="S241" s="90"/>
      <c r="T241" s="90"/>
    </row>
    <row r="242" spans="1:20" s="1" customFormat="1" ht="16.5" customHeight="1" x14ac:dyDescent="0.3">
      <c r="A242" s="304" t="s">
        <v>773</v>
      </c>
      <c r="B242" s="95" t="s">
        <v>723</v>
      </c>
      <c r="C242" s="204">
        <v>0</v>
      </c>
      <c r="D242" s="204">
        <v>0</v>
      </c>
      <c r="E242" s="204">
        <v>0</v>
      </c>
      <c r="F242" s="204">
        <v>0</v>
      </c>
      <c r="G242" s="204">
        <v>0</v>
      </c>
      <c r="H242" s="204">
        <v>0</v>
      </c>
      <c r="I242" s="204">
        <v>0</v>
      </c>
      <c r="J242" s="204">
        <v>0</v>
      </c>
      <c r="K242" s="204">
        <v>0</v>
      </c>
      <c r="L242" s="90"/>
      <c r="M242" s="90"/>
      <c r="N242" s="90"/>
      <c r="O242" s="90"/>
      <c r="P242" s="90"/>
      <c r="Q242" s="90"/>
      <c r="R242" s="90"/>
      <c r="S242" s="90"/>
      <c r="T242" s="90"/>
    </row>
    <row r="243" spans="1:20" s="1" customFormat="1" ht="16.5" customHeight="1" x14ac:dyDescent="0.3">
      <c r="A243" s="305"/>
      <c r="B243" s="95" t="s">
        <v>724</v>
      </c>
      <c r="C243" s="204">
        <v>0</v>
      </c>
      <c r="D243" s="204">
        <v>0</v>
      </c>
      <c r="E243" s="204">
        <v>4</v>
      </c>
      <c r="F243" s="204">
        <v>0</v>
      </c>
      <c r="G243" s="204">
        <v>0</v>
      </c>
      <c r="H243" s="204">
        <v>0</v>
      </c>
      <c r="I243" s="204">
        <v>0</v>
      </c>
      <c r="J243" s="204">
        <v>0</v>
      </c>
      <c r="K243" s="204">
        <v>4</v>
      </c>
      <c r="L243" s="90"/>
      <c r="M243" s="90"/>
      <c r="N243" s="90"/>
      <c r="O243" s="90"/>
      <c r="P243" s="90"/>
      <c r="Q243" s="90"/>
      <c r="R243" s="90"/>
      <c r="S243" s="90"/>
      <c r="T243" s="90"/>
    </row>
    <row r="244" spans="1:20" s="1" customFormat="1" ht="16.5" customHeight="1" x14ac:dyDescent="0.3">
      <c r="A244" s="305"/>
      <c r="B244" s="95" t="s">
        <v>725</v>
      </c>
      <c r="C244" s="204">
        <v>0</v>
      </c>
      <c r="D244" s="204">
        <v>0</v>
      </c>
      <c r="E244" s="204">
        <v>0</v>
      </c>
      <c r="F244" s="204">
        <v>0</v>
      </c>
      <c r="G244" s="204">
        <v>0</v>
      </c>
      <c r="H244" s="204">
        <v>0</v>
      </c>
      <c r="I244" s="204">
        <v>0</v>
      </c>
      <c r="J244" s="204">
        <v>0</v>
      </c>
      <c r="K244" s="204">
        <v>0</v>
      </c>
      <c r="L244" s="90"/>
      <c r="M244" s="90"/>
      <c r="N244" s="90"/>
      <c r="O244" s="90"/>
      <c r="P244" s="90"/>
      <c r="Q244" s="90"/>
      <c r="R244" s="90"/>
      <c r="S244" s="90"/>
      <c r="T244" s="90"/>
    </row>
    <row r="245" spans="1:20" s="1" customFormat="1" ht="16.5" customHeight="1" x14ac:dyDescent="0.3">
      <c r="A245" s="305"/>
      <c r="B245" s="95" t="s">
        <v>726</v>
      </c>
      <c r="C245" s="204">
        <v>0</v>
      </c>
      <c r="D245" s="204">
        <v>0</v>
      </c>
      <c r="E245" s="204">
        <v>8</v>
      </c>
      <c r="F245" s="204">
        <v>0</v>
      </c>
      <c r="G245" s="204">
        <v>0</v>
      </c>
      <c r="H245" s="204">
        <v>0</v>
      </c>
      <c r="I245" s="204">
        <v>0</v>
      </c>
      <c r="J245" s="204">
        <v>0</v>
      </c>
      <c r="K245" s="204">
        <v>8</v>
      </c>
      <c r="L245" s="90"/>
      <c r="M245" s="90"/>
      <c r="N245" s="90"/>
      <c r="O245" s="90"/>
      <c r="P245" s="90"/>
      <c r="Q245" s="90"/>
      <c r="R245" s="90"/>
      <c r="S245" s="90"/>
      <c r="T245" s="90"/>
    </row>
    <row r="246" spans="1:20" s="1" customFormat="1" ht="16.5" customHeight="1" x14ac:dyDescent="0.3">
      <c r="A246" s="305"/>
      <c r="B246" s="95" t="s">
        <v>727</v>
      </c>
      <c r="C246" s="204">
        <v>88</v>
      </c>
      <c r="D246" s="204">
        <v>0</v>
      </c>
      <c r="E246" s="204">
        <v>23</v>
      </c>
      <c r="F246" s="204">
        <v>0</v>
      </c>
      <c r="G246" s="204">
        <v>0</v>
      </c>
      <c r="H246" s="204">
        <v>0</v>
      </c>
      <c r="I246" s="204">
        <v>0</v>
      </c>
      <c r="J246" s="204">
        <v>0</v>
      </c>
      <c r="K246" s="204">
        <v>111</v>
      </c>
      <c r="L246" s="90"/>
      <c r="M246" s="90"/>
      <c r="N246" s="90"/>
      <c r="O246" s="90"/>
      <c r="P246" s="90"/>
      <c r="Q246" s="90"/>
      <c r="R246" s="90"/>
      <c r="S246" s="90"/>
      <c r="T246" s="90"/>
    </row>
    <row r="247" spans="1:20" ht="16.5" customHeight="1" x14ac:dyDescent="0.3">
      <c r="A247" s="305"/>
      <c r="B247" s="95" t="s">
        <v>728</v>
      </c>
      <c r="C247" s="204">
        <v>0</v>
      </c>
      <c r="D247" s="204">
        <v>0</v>
      </c>
      <c r="E247" s="204">
        <v>5</v>
      </c>
      <c r="F247" s="204">
        <v>0</v>
      </c>
      <c r="G247" s="204">
        <v>0</v>
      </c>
      <c r="H247" s="204">
        <v>0</v>
      </c>
      <c r="I247" s="204">
        <v>0</v>
      </c>
      <c r="J247" s="204">
        <v>0</v>
      </c>
      <c r="K247" s="204">
        <v>5</v>
      </c>
    </row>
    <row r="248" spans="1:20" ht="16.5" customHeight="1" x14ac:dyDescent="0.3">
      <c r="A248" s="305"/>
      <c r="B248" s="95" t="s">
        <v>729</v>
      </c>
      <c r="C248" s="204">
        <v>0</v>
      </c>
      <c r="D248" s="204">
        <v>0</v>
      </c>
      <c r="E248" s="204">
        <v>3</v>
      </c>
      <c r="F248" s="204">
        <v>0</v>
      </c>
      <c r="G248" s="204">
        <v>0</v>
      </c>
      <c r="H248" s="204">
        <v>0</v>
      </c>
      <c r="I248" s="204">
        <v>0</v>
      </c>
      <c r="J248" s="204">
        <v>0</v>
      </c>
      <c r="K248" s="204">
        <v>3</v>
      </c>
    </row>
    <row r="249" spans="1:20" ht="16.5" customHeight="1" x14ac:dyDescent="0.3">
      <c r="A249" s="305"/>
      <c r="B249" s="95" t="s">
        <v>730</v>
      </c>
      <c r="C249" s="204">
        <v>0</v>
      </c>
      <c r="D249" s="204">
        <v>0</v>
      </c>
      <c r="E249" s="204">
        <v>0</v>
      </c>
      <c r="F249" s="204">
        <v>0</v>
      </c>
      <c r="G249" s="204">
        <v>0</v>
      </c>
      <c r="H249" s="204">
        <v>0</v>
      </c>
      <c r="I249" s="204">
        <v>0</v>
      </c>
      <c r="J249" s="204">
        <v>0</v>
      </c>
      <c r="K249" s="204">
        <v>0</v>
      </c>
    </row>
    <row r="250" spans="1:20" ht="16.5" customHeight="1" x14ac:dyDescent="0.3">
      <c r="A250" s="305"/>
      <c r="B250" s="95" t="s">
        <v>731</v>
      </c>
      <c r="C250" s="204">
        <v>0</v>
      </c>
      <c r="D250" s="204">
        <v>0</v>
      </c>
      <c r="E250" s="204">
        <v>2</v>
      </c>
      <c r="F250" s="204">
        <v>0</v>
      </c>
      <c r="G250" s="204">
        <v>0</v>
      </c>
      <c r="H250" s="204">
        <v>0</v>
      </c>
      <c r="I250" s="204">
        <v>0</v>
      </c>
      <c r="J250" s="204">
        <v>0</v>
      </c>
      <c r="K250" s="204">
        <v>2</v>
      </c>
    </row>
    <row r="251" spans="1:20" ht="16.5" customHeight="1" x14ac:dyDescent="0.3">
      <c r="A251" s="305"/>
      <c r="B251" s="95" t="s">
        <v>732</v>
      </c>
      <c r="C251" s="204">
        <v>0</v>
      </c>
      <c r="D251" s="204">
        <v>0</v>
      </c>
      <c r="E251" s="204">
        <v>8</v>
      </c>
      <c r="F251" s="204">
        <v>0</v>
      </c>
      <c r="G251" s="204">
        <v>0</v>
      </c>
      <c r="H251" s="204">
        <v>1</v>
      </c>
      <c r="I251" s="204">
        <v>0</v>
      </c>
      <c r="J251" s="204">
        <v>0</v>
      </c>
      <c r="K251" s="204">
        <v>9</v>
      </c>
    </row>
    <row r="252" spans="1:20" ht="16.5" customHeight="1" x14ac:dyDescent="0.3">
      <c r="A252" s="305"/>
      <c r="B252" s="95" t="s">
        <v>733</v>
      </c>
      <c r="C252" s="204">
        <v>0</v>
      </c>
      <c r="D252" s="204">
        <v>0</v>
      </c>
      <c r="E252" s="204">
        <v>1</v>
      </c>
      <c r="F252" s="204">
        <v>0</v>
      </c>
      <c r="G252" s="204">
        <v>0</v>
      </c>
      <c r="H252" s="204">
        <v>1</v>
      </c>
      <c r="I252" s="204">
        <v>0</v>
      </c>
      <c r="J252" s="204">
        <v>0</v>
      </c>
      <c r="K252" s="204">
        <v>2</v>
      </c>
    </row>
    <row r="253" spans="1:20" ht="16.5" customHeight="1" x14ac:dyDescent="0.3">
      <c r="A253" s="305"/>
      <c r="B253" s="95" t="s">
        <v>734</v>
      </c>
      <c r="C253" s="204">
        <v>0</v>
      </c>
      <c r="D253" s="204">
        <v>0</v>
      </c>
      <c r="E253" s="204">
        <v>19</v>
      </c>
      <c r="F253" s="204">
        <v>0</v>
      </c>
      <c r="G253" s="204">
        <v>0</v>
      </c>
      <c r="H253" s="204">
        <v>0</v>
      </c>
      <c r="I253" s="204">
        <v>0</v>
      </c>
      <c r="J253" s="204">
        <v>0</v>
      </c>
      <c r="K253" s="204">
        <v>19</v>
      </c>
    </row>
    <row r="254" spans="1:20" ht="16.5" customHeight="1" x14ac:dyDescent="0.3">
      <c r="A254" s="305"/>
      <c r="B254" s="95" t="s">
        <v>722</v>
      </c>
      <c r="C254" s="204">
        <v>0</v>
      </c>
      <c r="D254" s="204">
        <v>4</v>
      </c>
      <c r="E254" s="204">
        <v>3</v>
      </c>
      <c r="F254" s="204">
        <v>0</v>
      </c>
      <c r="G254" s="204">
        <v>0</v>
      </c>
      <c r="H254" s="204">
        <v>0</v>
      </c>
      <c r="I254" s="204">
        <v>0</v>
      </c>
      <c r="J254" s="204">
        <v>0</v>
      </c>
      <c r="K254" s="204">
        <v>7</v>
      </c>
    </row>
    <row r="255" spans="1:20" ht="16.5" customHeight="1" x14ac:dyDescent="0.3">
      <c r="A255" s="306"/>
      <c r="B255" s="97" t="s">
        <v>86</v>
      </c>
      <c r="C255" s="207">
        <v>88</v>
      </c>
      <c r="D255" s="207">
        <v>5</v>
      </c>
      <c r="E255" s="207">
        <v>78</v>
      </c>
      <c r="F255" s="207">
        <v>0</v>
      </c>
      <c r="G255" s="207">
        <v>0</v>
      </c>
      <c r="H255" s="207">
        <v>2</v>
      </c>
      <c r="I255" s="207">
        <v>0</v>
      </c>
      <c r="J255" s="207">
        <v>0</v>
      </c>
      <c r="K255" s="207">
        <v>173</v>
      </c>
    </row>
    <row r="256" spans="1:20" ht="16.5" customHeight="1" x14ac:dyDescent="0.3">
      <c r="A256" s="304" t="s">
        <v>774</v>
      </c>
      <c r="B256" s="95" t="s">
        <v>735</v>
      </c>
      <c r="C256" s="204">
        <v>0</v>
      </c>
      <c r="D256" s="204">
        <v>7153</v>
      </c>
      <c r="E256" s="204">
        <v>184</v>
      </c>
      <c r="F256" s="204">
        <v>11</v>
      </c>
      <c r="G256" s="204">
        <v>0</v>
      </c>
      <c r="H256" s="204">
        <v>111</v>
      </c>
      <c r="I256" s="204">
        <v>0</v>
      </c>
      <c r="J256" s="204">
        <v>80</v>
      </c>
      <c r="K256" s="204">
        <v>7539</v>
      </c>
    </row>
    <row r="257" spans="1:11" ht="16.5" customHeight="1" x14ac:dyDescent="0.3">
      <c r="A257" s="305"/>
      <c r="B257" s="95" t="s">
        <v>736</v>
      </c>
      <c r="C257" s="204">
        <v>0</v>
      </c>
      <c r="D257" s="204">
        <v>114</v>
      </c>
      <c r="E257" s="204">
        <v>58</v>
      </c>
      <c r="F257" s="204">
        <v>0</v>
      </c>
      <c r="G257" s="204">
        <v>1</v>
      </c>
      <c r="H257" s="204">
        <v>14</v>
      </c>
      <c r="I257" s="204">
        <v>0</v>
      </c>
      <c r="J257" s="204">
        <v>108</v>
      </c>
      <c r="K257" s="204">
        <v>295</v>
      </c>
    </row>
    <row r="258" spans="1:11" ht="16.5" customHeight="1" x14ac:dyDescent="0.3">
      <c r="A258" s="305"/>
      <c r="B258" s="95" t="s">
        <v>737</v>
      </c>
      <c r="C258" s="204">
        <v>0</v>
      </c>
      <c r="D258" s="204">
        <v>5</v>
      </c>
      <c r="E258" s="204">
        <v>6</v>
      </c>
      <c r="F258" s="204">
        <v>0</v>
      </c>
      <c r="G258" s="204">
        <v>0</v>
      </c>
      <c r="H258" s="204">
        <v>31</v>
      </c>
      <c r="I258" s="204">
        <v>0</v>
      </c>
      <c r="J258" s="204">
        <v>6</v>
      </c>
      <c r="K258" s="204">
        <v>48</v>
      </c>
    </row>
    <row r="259" spans="1:11" ht="16.5" customHeight="1" x14ac:dyDescent="0.3">
      <c r="A259" s="305"/>
      <c r="B259" s="95" t="s">
        <v>738</v>
      </c>
      <c r="C259" s="204">
        <v>0</v>
      </c>
      <c r="D259" s="204">
        <v>77</v>
      </c>
      <c r="E259" s="204">
        <v>672</v>
      </c>
      <c r="F259" s="204">
        <v>0</v>
      </c>
      <c r="G259" s="204">
        <v>0</v>
      </c>
      <c r="H259" s="204">
        <v>43</v>
      </c>
      <c r="I259" s="204">
        <v>0</v>
      </c>
      <c r="J259" s="204">
        <v>102</v>
      </c>
      <c r="K259" s="204">
        <v>894</v>
      </c>
    </row>
    <row r="260" spans="1:11" ht="16.5" customHeight="1" x14ac:dyDescent="0.3">
      <c r="A260" s="305"/>
      <c r="B260" s="95" t="s">
        <v>739</v>
      </c>
      <c r="C260" s="204">
        <v>0</v>
      </c>
      <c r="D260" s="204">
        <v>12</v>
      </c>
      <c r="E260" s="204">
        <v>27</v>
      </c>
      <c r="F260" s="204">
        <v>0</v>
      </c>
      <c r="G260" s="204">
        <v>0</v>
      </c>
      <c r="H260" s="204">
        <v>4</v>
      </c>
      <c r="I260" s="204">
        <v>0</v>
      </c>
      <c r="J260" s="204">
        <v>1</v>
      </c>
      <c r="K260" s="204">
        <v>44</v>
      </c>
    </row>
    <row r="261" spans="1:11" ht="16.5" customHeight="1" x14ac:dyDescent="0.3">
      <c r="A261" s="305"/>
      <c r="B261" s="95" t="s">
        <v>740</v>
      </c>
      <c r="C261" s="204">
        <v>0</v>
      </c>
      <c r="D261" s="204">
        <v>572</v>
      </c>
      <c r="E261" s="204">
        <v>0</v>
      </c>
      <c r="F261" s="204">
        <v>0</v>
      </c>
      <c r="G261" s="204">
        <v>0</v>
      </c>
      <c r="H261" s="204">
        <v>1</v>
      </c>
      <c r="I261" s="204">
        <v>0</v>
      </c>
      <c r="J261" s="204">
        <v>0</v>
      </c>
      <c r="K261" s="204">
        <v>573</v>
      </c>
    </row>
    <row r="262" spans="1:11" ht="16.5" customHeight="1" x14ac:dyDescent="0.3">
      <c r="A262" s="305"/>
      <c r="B262" s="95" t="s">
        <v>742</v>
      </c>
      <c r="C262" s="204">
        <v>2</v>
      </c>
      <c r="D262" s="204">
        <v>0</v>
      </c>
      <c r="E262" s="204">
        <v>0</v>
      </c>
      <c r="F262" s="204">
        <v>0</v>
      </c>
      <c r="G262" s="204">
        <v>0</v>
      </c>
      <c r="H262" s="204">
        <v>0</v>
      </c>
      <c r="I262" s="204">
        <v>0</v>
      </c>
      <c r="J262" s="204">
        <v>0</v>
      </c>
      <c r="K262" s="204">
        <v>2</v>
      </c>
    </row>
    <row r="263" spans="1:11" ht="16.5" customHeight="1" x14ac:dyDescent="0.3">
      <c r="A263" s="305"/>
      <c r="B263" s="95" t="s">
        <v>743</v>
      </c>
      <c r="C263" s="204">
        <v>0</v>
      </c>
      <c r="D263" s="204">
        <v>0</v>
      </c>
      <c r="E263" s="204">
        <v>5</v>
      </c>
      <c r="F263" s="204">
        <v>0</v>
      </c>
      <c r="G263" s="204">
        <v>0</v>
      </c>
      <c r="H263" s="204">
        <v>0</v>
      </c>
      <c r="I263" s="204">
        <v>0</v>
      </c>
      <c r="J263" s="204">
        <v>2</v>
      </c>
      <c r="K263" s="204">
        <v>7</v>
      </c>
    </row>
    <row r="264" spans="1:11" ht="16.5" customHeight="1" x14ac:dyDescent="0.3">
      <c r="A264" s="305"/>
      <c r="B264" s="95" t="s">
        <v>744</v>
      </c>
      <c r="C264" s="204">
        <v>4</v>
      </c>
      <c r="D264" s="204">
        <v>75</v>
      </c>
      <c r="E264" s="204">
        <v>12</v>
      </c>
      <c r="F264" s="204">
        <v>0</v>
      </c>
      <c r="G264" s="204">
        <v>0</v>
      </c>
      <c r="H264" s="204">
        <v>20</v>
      </c>
      <c r="I264" s="204">
        <v>0</v>
      </c>
      <c r="J264" s="204">
        <v>4</v>
      </c>
      <c r="K264" s="204">
        <v>115</v>
      </c>
    </row>
    <row r="265" spans="1:11" ht="16.5" customHeight="1" x14ac:dyDescent="0.3">
      <c r="A265" s="305"/>
      <c r="B265" s="95" t="s">
        <v>745</v>
      </c>
      <c r="C265" s="204">
        <v>2</v>
      </c>
      <c r="D265" s="204">
        <v>20</v>
      </c>
      <c r="E265" s="204">
        <v>16</v>
      </c>
      <c r="F265" s="204">
        <v>0</v>
      </c>
      <c r="G265" s="204">
        <v>0</v>
      </c>
      <c r="H265" s="204">
        <v>5</v>
      </c>
      <c r="I265" s="204">
        <v>3</v>
      </c>
      <c r="J265" s="204">
        <v>7</v>
      </c>
      <c r="K265" s="204">
        <v>53</v>
      </c>
    </row>
    <row r="266" spans="1:11" ht="16.5" customHeight="1" x14ac:dyDescent="0.3">
      <c r="A266" s="305"/>
      <c r="B266" s="95" t="s">
        <v>746</v>
      </c>
      <c r="C266" s="204">
        <v>12</v>
      </c>
      <c r="D266" s="204">
        <v>8</v>
      </c>
      <c r="E266" s="204">
        <v>29</v>
      </c>
      <c r="F266" s="204">
        <v>0</v>
      </c>
      <c r="G266" s="204">
        <v>0</v>
      </c>
      <c r="H266" s="204">
        <v>15</v>
      </c>
      <c r="I266" s="204">
        <v>0</v>
      </c>
      <c r="J266" s="204">
        <v>9</v>
      </c>
      <c r="K266" s="204">
        <v>73</v>
      </c>
    </row>
    <row r="267" spans="1:11" ht="16.5" customHeight="1" x14ac:dyDescent="0.3">
      <c r="A267" s="305"/>
      <c r="B267" s="95" t="s">
        <v>747</v>
      </c>
      <c r="C267" s="204">
        <v>0</v>
      </c>
      <c r="D267" s="204">
        <v>23</v>
      </c>
      <c r="E267" s="204">
        <v>32</v>
      </c>
      <c r="F267" s="204">
        <v>0</v>
      </c>
      <c r="G267" s="204">
        <v>0</v>
      </c>
      <c r="H267" s="204">
        <v>9</v>
      </c>
      <c r="I267" s="204">
        <v>0</v>
      </c>
      <c r="J267" s="204">
        <v>0</v>
      </c>
      <c r="K267" s="204">
        <v>64</v>
      </c>
    </row>
    <row r="268" spans="1:11" ht="16.5" customHeight="1" x14ac:dyDescent="0.3">
      <c r="A268" s="305"/>
      <c r="B268" s="95" t="s">
        <v>748</v>
      </c>
      <c r="C268" s="204">
        <v>1</v>
      </c>
      <c r="D268" s="204">
        <v>5</v>
      </c>
      <c r="E268" s="204">
        <v>30</v>
      </c>
      <c r="F268" s="204">
        <v>0</v>
      </c>
      <c r="G268" s="204">
        <v>0</v>
      </c>
      <c r="H268" s="204">
        <v>13</v>
      </c>
      <c r="I268" s="204">
        <v>0</v>
      </c>
      <c r="J268" s="204">
        <v>2</v>
      </c>
      <c r="K268" s="204">
        <v>51</v>
      </c>
    </row>
    <row r="269" spans="1:11" ht="16.5" customHeight="1" x14ac:dyDescent="0.3">
      <c r="A269" s="305"/>
      <c r="B269" s="95" t="s">
        <v>749</v>
      </c>
      <c r="C269" s="204">
        <v>0</v>
      </c>
      <c r="D269" s="204">
        <v>0</v>
      </c>
      <c r="E269" s="204">
        <v>12</v>
      </c>
      <c r="F269" s="204">
        <v>0</v>
      </c>
      <c r="G269" s="204">
        <v>0</v>
      </c>
      <c r="H269" s="204">
        <v>19</v>
      </c>
      <c r="I269" s="204">
        <v>0</v>
      </c>
      <c r="J269" s="204">
        <v>2</v>
      </c>
      <c r="K269" s="204">
        <v>33</v>
      </c>
    </row>
    <row r="270" spans="1:11" ht="16.5" customHeight="1" x14ac:dyDescent="0.3">
      <c r="A270" s="305"/>
      <c r="B270" s="95" t="s">
        <v>750</v>
      </c>
      <c r="C270" s="204">
        <v>0</v>
      </c>
      <c r="D270" s="204">
        <v>4</v>
      </c>
      <c r="E270" s="204">
        <v>48</v>
      </c>
      <c r="F270" s="204">
        <v>0</v>
      </c>
      <c r="G270" s="204">
        <v>0</v>
      </c>
      <c r="H270" s="204">
        <v>20</v>
      </c>
      <c r="I270" s="204">
        <v>0</v>
      </c>
      <c r="J270" s="204">
        <v>0</v>
      </c>
      <c r="K270" s="204">
        <v>72</v>
      </c>
    </row>
    <row r="271" spans="1:11" ht="16.5" customHeight="1" x14ac:dyDescent="0.3">
      <c r="A271" s="305"/>
      <c r="B271" s="95" t="s">
        <v>751</v>
      </c>
      <c r="C271" s="204">
        <v>0</v>
      </c>
      <c r="D271" s="204">
        <v>0</v>
      </c>
      <c r="E271" s="204">
        <v>0</v>
      </c>
      <c r="F271" s="204">
        <v>0</v>
      </c>
      <c r="G271" s="204">
        <v>0</v>
      </c>
      <c r="H271" s="204">
        <v>0</v>
      </c>
      <c r="I271" s="204">
        <v>0</v>
      </c>
      <c r="J271" s="204">
        <v>0</v>
      </c>
      <c r="K271" s="204">
        <v>0</v>
      </c>
    </row>
    <row r="272" spans="1:11" ht="16.5" customHeight="1" x14ac:dyDescent="0.3">
      <c r="A272" s="305"/>
      <c r="B272" s="95" t="s">
        <v>752</v>
      </c>
      <c r="C272" s="204">
        <v>0</v>
      </c>
      <c r="D272" s="204">
        <v>6</v>
      </c>
      <c r="E272" s="204">
        <v>7</v>
      </c>
      <c r="F272" s="204">
        <v>0</v>
      </c>
      <c r="G272" s="204">
        <v>0</v>
      </c>
      <c r="H272" s="204">
        <v>0</v>
      </c>
      <c r="I272" s="204">
        <v>0</v>
      </c>
      <c r="J272" s="204">
        <v>0</v>
      </c>
      <c r="K272" s="204">
        <v>13</v>
      </c>
    </row>
    <row r="273" spans="1:11" ht="16.5" customHeight="1" x14ac:dyDescent="0.3">
      <c r="A273" s="305"/>
      <c r="B273" s="95" t="s">
        <v>753</v>
      </c>
      <c r="C273" s="204">
        <v>0</v>
      </c>
      <c r="D273" s="204">
        <v>33</v>
      </c>
      <c r="E273" s="204">
        <v>12</v>
      </c>
      <c r="F273" s="204">
        <v>0</v>
      </c>
      <c r="G273" s="204">
        <v>0</v>
      </c>
      <c r="H273" s="204">
        <v>0</v>
      </c>
      <c r="I273" s="204">
        <v>0</v>
      </c>
      <c r="J273" s="204">
        <v>3</v>
      </c>
      <c r="K273" s="204">
        <v>48</v>
      </c>
    </row>
    <row r="274" spans="1:11" ht="16.5" customHeight="1" x14ac:dyDescent="0.3">
      <c r="A274" s="305"/>
      <c r="B274" s="95" t="s">
        <v>754</v>
      </c>
      <c r="C274" s="204">
        <v>3</v>
      </c>
      <c r="D274" s="204">
        <v>3</v>
      </c>
      <c r="E274" s="204">
        <v>9</v>
      </c>
      <c r="F274" s="204">
        <v>1</v>
      </c>
      <c r="G274" s="204">
        <v>0</v>
      </c>
      <c r="H274" s="204">
        <v>9</v>
      </c>
      <c r="I274" s="204">
        <v>0</v>
      </c>
      <c r="J274" s="204">
        <v>0</v>
      </c>
      <c r="K274" s="204">
        <v>25</v>
      </c>
    </row>
    <row r="275" spans="1:11" ht="16.5" customHeight="1" x14ac:dyDescent="0.3">
      <c r="A275" s="305"/>
      <c r="B275" s="95" t="s">
        <v>755</v>
      </c>
      <c r="C275" s="204">
        <v>0</v>
      </c>
      <c r="D275" s="204">
        <v>0</v>
      </c>
      <c r="E275" s="204">
        <v>3</v>
      </c>
      <c r="F275" s="204">
        <v>0</v>
      </c>
      <c r="G275" s="204">
        <v>0</v>
      </c>
      <c r="H275" s="204">
        <v>0</v>
      </c>
      <c r="I275" s="204">
        <v>0</v>
      </c>
      <c r="J275" s="204">
        <v>16</v>
      </c>
      <c r="K275" s="204">
        <v>19</v>
      </c>
    </row>
    <row r="276" spans="1:11" ht="16.5" customHeight="1" x14ac:dyDescent="0.3">
      <c r="A276" s="305"/>
      <c r="B276" s="95" t="s">
        <v>756</v>
      </c>
      <c r="C276" s="204">
        <v>17</v>
      </c>
      <c r="D276" s="204">
        <v>776</v>
      </c>
      <c r="E276" s="204">
        <v>57</v>
      </c>
      <c r="F276" s="204">
        <v>0</v>
      </c>
      <c r="G276" s="204">
        <v>0</v>
      </c>
      <c r="H276" s="204">
        <v>19</v>
      </c>
      <c r="I276" s="204">
        <v>0</v>
      </c>
      <c r="J276" s="204">
        <v>15</v>
      </c>
      <c r="K276" s="204">
        <v>884</v>
      </c>
    </row>
    <row r="277" spans="1:11" ht="16.5" customHeight="1" x14ac:dyDescent="0.3">
      <c r="A277" s="305"/>
      <c r="B277" s="95" t="s">
        <v>757</v>
      </c>
      <c r="C277" s="204">
        <v>0</v>
      </c>
      <c r="D277" s="204">
        <v>0</v>
      </c>
      <c r="E277" s="204">
        <v>3</v>
      </c>
      <c r="F277" s="204">
        <v>0</v>
      </c>
      <c r="G277" s="204">
        <v>0</v>
      </c>
      <c r="H277" s="204">
        <v>1</v>
      </c>
      <c r="I277" s="204">
        <v>0</v>
      </c>
      <c r="J277" s="204">
        <v>0</v>
      </c>
      <c r="K277" s="204">
        <v>4</v>
      </c>
    </row>
    <row r="278" spans="1:11" ht="16.5" customHeight="1" x14ac:dyDescent="0.3">
      <c r="A278" s="305"/>
      <c r="B278" s="95" t="s">
        <v>741</v>
      </c>
      <c r="C278" s="204">
        <v>0</v>
      </c>
      <c r="D278" s="204">
        <v>6</v>
      </c>
      <c r="E278" s="204">
        <v>12</v>
      </c>
      <c r="F278" s="204">
        <v>0</v>
      </c>
      <c r="G278" s="204">
        <v>3</v>
      </c>
      <c r="H278" s="204">
        <v>1</v>
      </c>
      <c r="I278" s="204">
        <v>0</v>
      </c>
      <c r="J278" s="204">
        <v>0</v>
      </c>
      <c r="K278" s="204">
        <v>22</v>
      </c>
    </row>
    <row r="279" spans="1:11" ht="16.5" customHeight="1" x14ac:dyDescent="0.3">
      <c r="A279" s="306"/>
      <c r="B279" s="97" t="s">
        <v>86</v>
      </c>
      <c r="C279" s="207">
        <v>42</v>
      </c>
      <c r="D279" s="207">
        <v>8891</v>
      </c>
      <c r="E279" s="207">
        <v>1235</v>
      </c>
      <c r="F279" s="207">
        <v>12</v>
      </c>
      <c r="G279" s="207">
        <v>4</v>
      </c>
      <c r="H279" s="207">
        <v>336</v>
      </c>
      <c r="I279" s="207">
        <v>3</v>
      </c>
      <c r="J279" s="207">
        <v>356</v>
      </c>
      <c r="K279" s="207">
        <v>10879</v>
      </c>
    </row>
    <row r="280" spans="1:11" ht="16.5" customHeight="1" x14ac:dyDescent="0.3">
      <c r="A280" s="307" t="s">
        <v>1260</v>
      </c>
      <c r="B280" s="95" t="s">
        <v>758</v>
      </c>
      <c r="C280" s="204">
        <v>0</v>
      </c>
      <c r="D280" s="204">
        <v>10</v>
      </c>
      <c r="E280" s="204">
        <v>11</v>
      </c>
      <c r="F280" s="204">
        <v>0</v>
      </c>
      <c r="G280" s="204">
        <v>6</v>
      </c>
      <c r="H280" s="204">
        <v>12</v>
      </c>
      <c r="I280" s="204">
        <v>0</v>
      </c>
      <c r="J280" s="204">
        <v>0</v>
      </c>
      <c r="K280" s="204">
        <v>39</v>
      </c>
    </row>
    <row r="281" spans="1:11" ht="16.5" customHeight="1" x14ac:dyDescent="0.3">
      <c r="A281" s="323"/>
      <c r="B281" s="95" t="s">
        <v>760</v>
      </c>
      <c r="C281" s="204">
        <v>4</v>
      </c>
      <c r="D281" s="204">
        <v>0</v>
      </c>
      <c r="E281" s="204">
        <v>45</v>
      </c>
      <c r="F281" s="204">
        <v>0</v>
      </c>
      <c r="G281" s="204">
        <v>4</v>
      </c>
      <c r="H281" s="204">
        <v>18</v>
      </c>
      <c r="I281" s="204">
        <v>0</v>
      </c>
      <c r="J281" s="204">
        <v>102</v>
      </c>
      <c r="K281" s="204">
        <v>173</v>
      </c>
    </row>
    <row r="282" spans="1:11" ht="16.5" customHeight="1" x14ac:dyDescent="0.3">
      <c r="A282" s="323"/>
      <c r="B282" s="95" t="s">
        <v>761</v>
      </c>
      <c r="C282" s="204">
        <v>0</v>
      </c>
      <c r="D282" s="204">
        <v>0</v>
      </c>
      <c r="E282" s="204">
        <v>18</v>
      </c>
      <c r="F282" s="204">
        <v>0</v>
      </c>
      <c r="G282" s="204">
        <v>0</v>
      </c>
      <c r="H282" s="204">
        <v>0</v>
      </c>
      <c r="I282" s="204">
        <v>0</v>
      </c>
      <c r="J282" s="204">
        <v>0</v>
      </c>
      <c r="K282" s="204">
        <v>18</v>
      </c>
    </row>
    <row r="283" spans="1:11" ht="16.5" customHeight="1" x14ac:dyDescent="0.3">
      <c r="A283" s="323"/>
      <c r="B283" s="95" t="s">
        <v>762</v>
      </c>
      <c r="C283" s="204">
        <v>404</v>
      </c>
      <c r="D283" s="204">
        <v>31</v>
      </c>
      <c r="E283" s="204">
        <v>13</v>
      </c>
      <c r="F283" s="204">
        <v>0</v>
      </c>
      <c r="G283" s="204">
        <v>0</v>
      </c>
      <c r="H283" s="204">
        <v>1</v>
      </c>
      <c r="I283" s="204">
        <v>0</v>
      </c>
      <c r="J283" s="204">
        <v>0</v>
      </c>
      <c r="K283" s="204">
        <v>449</v>
      </c>
    </row>
    <row r="284" spans="1:11" ht="16.5" customHeight="1" x14ac:dyDescent="0.3">
      <c r="A284" s="323"/>
      <c r="B284" s="95" t="s">
        <v>763</v>
      </c>
      <c r="C284" s="204">
        <v>3</v>
      </c>
      <c r="D284" s="204">
        <v>1</v>
      </c>
      <c r="E284" s="204">
        <v>3</v>
      </c>
      <c r="F284" s="204">
        <v>0</v>
      </c>
      <c r="G284" s="204">
        <v>0</v>
      </c>
      <c r="H284" s="204">
        <v>3</v>
      </c>
      <c r="I284" s="204">
        <v>0</v>
      </c>
      <c r="J284" s="204">
        <v>0</v>
      </c>
      <c r="K284" s="204">
        <v>10</v>
      </c>
    </row>
    <row r="285" spans="1:11" ht="16.5" customHeight="1" x14ac:dyDescent="0.3">
      <c r="A285" s="323"/>
      <c r="B285" s="95" t="s">
        <v>764</v>
      </c>
      <c r="C285" s="204">
        <v>0</v>
      </c>
      <c r="D285" s="204">
        <v>0</v>
      </c>
      <c r="E285" s="204">
        <v>0</v>
      </c>
      <c r="F285" s="204">
        <v>0</v>
      </c>
      <c r="G285" s="204">
        <v>0</v>
      </c>
      <c r="H285" s="204">
        <v>0</v>
      </c>
      <c r="I285" s="204">
        <v>0</v>
      </c>
      <c r="J285" s="204">
        <v>0</v>
      </c>
      <c r="K285" s="204">
        <v>0</v>
      </c>
    </row>
    <row r="286" spans="1:11" ht="16.5" customHeight="1" x14ac:dyDescent="0.3">
      <c r="A286" s="323"/>
      <c r="B286" s="95" t="s">
        <v>765</v>
      </c>
      <c r="C286" s="204">
        <v>0</v>
      </c>
      <c r="D286" s="204">
        <v>0</v>
      </c>
      <c r="E286" s="204">
        <v>1</v>
      </c>
      <c r="F286" s="204">
        <v>0</v>
      </c>
      <c r="G286" s="204">
        <v>0</v>
      </c>
      <c r="H286" s="204">
        <v>0</v>
      </c>
      <c r="I286" s="204">
        <v>0</v>
      </c>
      <c r="J286" s="204">
        <v>0</v>
      </c>
      <c r="K286" s="204">
        <v>1</v>
      </c>
    </row>
    <row r="287" spans="1:11" ht="16.5" customHeight="1" x14ac:dyDescent="0.3">
      <c r="A287" s="323"/>
      <c r="B287" s="95" t="s">
        <v>766</v>
      </c>
      <c r="C287" s="204">
        <v>0</v>
      </c>
      <c r="D287" s="204">
        <v>0</v>
      </c>
      <c r="E287" s="204">
        <v>4</v>
      </c>
      <c r="F287" s="204">
        <v>0</v>
      </c>
      <c r="G287" s="204">
        <v>0</v>
      </c>
      <c r="H287" s="204">
        <v>2</v>
      </c>
      <c r="I287" s="204">
        <v>0</v>
      </c>
      <c r="J287" s="204">
        <v>0</v>
      </c>
      <c r="K287" s="204">
        <v>6</v>
      </c>
    </row>
    <row r="288" spans="1:11" ht="16.5" customHeight="1" x14ac:dyDescent="0.3">
      <c r="A288" s="323"/>
      <c r="B288" s="95" t="s">
        <v>767</v>
      </c>
      <c r="C288" s="204">
        <v>0</v>
      </c>
      <c r="D288" s="204">
        <v>0</v>
      </c>
      <c r="E288" s="204">
        <v>0</v>
      </c>
      <c r="F288" s="204">
        <v>0</v>
      </c>
      <c r="G288" s="204">
        <v>0</v>
      </c>
      <c r="H288" s="204">
        <v>1</v>
      </c>
      <c r="I288" s="204">
        <v>0</v>
      </c>
      <c r="J288" s="204">
        <v>0</v>
      </c>
      <c r="K288" s="204">
        <v>1</v>
      </c>
    </row>
    <row r="289" spans="1:11" ht="16.5" customHeight="1" x14ac:dyDescent="0.3">
      <c r="A289" s="323"/>
      <c r="B289" s="95" t="s">
        <v>768</v>
      </c>
      <c r="C289" s="204">
        <v>0</v>
      </c>
      <c r="D289" s="204">
        <v>0</v>
      </c>
      <c r="E289" s="204">
        <v>12</v>
      </c>
      <c r="F289" s="204">
        <v>0</v>
      </c>
      <c r="G289" s="204">
        <v>0</v>
      </c>
      <c r="H289" s="204">
        <v>11</v>
      </c>
      <c r="I289" s="204">
        <v>0</v>
      </c>
      <c r="J289" s="204">
        <v>5</v>
      </c>
      <c r="K289" s="204">
        <v>28</v>
      </c>
    </row>
    <row r="290" spans="1:11" ht="16.5" customHeight="1" x14ac:dyDescent="0.3">
      <c r="A290" s="323"/>
      <c r="B290" s="95" t="s">
        <v>769</v>
      </c>
      <c r="C290" s="204">
        <v>0</v>
      </c>
      <c r="D290" s="204">
        <v>19</v>
      </c>
      <c r="E290" s="204">
        <v>72</v>
      </c>
      <c r="F290" s="204">
        <v>0</v>
      </c>
      <c r="G290" s="204">
        <v>0</v>
      </c>
      <c r="H290" s="204">
        <v>65</v>
      </c>
      <c r="I290" s="204">
        <v>0</v>
      </c>
      <c r="J290" s="204">
        <v>12</v>
      </c>
      <c r="K290" s="204">
        <v>168</v>
      </c>
    </row>
    <row r="291" spans="1:11" ht="16.5" customHeight="1" x14ac:dyDescent="0.3">
      <c r="A291" s="323"/>
      <c r="B291" s="95" t="s">
        <v>770</v>
      </c>
      <c r="C291" s="204">
        <v>1</v>
      </c>
      <c r="D291" s="204">
        <v>513</v>
      </c>
      <c r="E291" s="204">
        <v>287</v>
      </c>
      <c r="F291" s="204">
        <v>0</v>
      </c>
      <c r="G291" s="204">
        <v>10</v>
      </c>
      <c r="H291" s="204">
        <v>610</v>
      </c>
      <c r="I291" s="204">
        <v>0</v>
      </c>
      <c r="J291" s="204">
        <v>217</v>
      </c>
      <c r="K291" s="204">
        <v>1638</v>
      </c>
    </row>
    <row r="292" spans="1:11" ht="16.5" customHeight="1" x14ac:dyDescent="0.3">
      <c r="A292" s="323"/>
      <c r="B292" s="95" t="s">
        <v>759</v>
      </c>
      <c r="C292" s="204">
        <v>1</v>
      </c>
      <c r="D292" s="204">
        <v>0</v>
      </c>
      <c r="E292" s="204">
        <v>3</v>
      </c>
      <c r="F292" s="204">
        <v>0</v>
      </c>
      <c r="G292" s="204">
        <v>0</v>
      </c>
      <c r="H292" s="204">
        <v>4</v>
      </c>
      <c r="I292" s="204">
        <v>0</v>
      </c>
      <c r="J292" s="204">
        <v>0</v>
      </c>
      <c r="K292" s="204">
        <v>8</v>
      </c>
    </row>
    <row r="293" spans="1:11" ht="16.5" customHeight="1" x14ac:dyDescent="0.3">
      <c r="A293" s="308"/>
      <c r="B293" s="97" t="s">
        <v>86</v>
      </c>
      <c r="C293" s="207">
        <v>413</v>
      </c>
      <c r="D293" s="207">
        <v>575</v>
      </c>
      <c r="E293" s="207">
        <v>469</v>
      </c>
      <c r="F293" s="207">
        <v>0</v>
      </c>
      <c r="G293" s="207">
        <v>20</v>
      </c>
      <c r="H293" s="207">
        <v>726</v>
      </c>
      <c r="I293" s="207">
        <v>0</v>
      </c>
      <c r="J293" s="207">
        <v>338</v>
      </c>
      <c r="K293" s="207">
        <v>2541</v>
      </c>
    </row>
    <row r="295" spans="1:11" x14ac:dyDescent="0.3">
      <c r="A295" s="90" t="s">
        <v>1203</v>
      </c>
    </row>
    <row r="296" spans="1:11" x14ac:dyDescent="0.3">
      <c r="A296" s="90" t="s">
        <v>95</v>
      </c>
    </row>
    <row r="297" spans="1:11" x14ac:dyDescent="0.3">
      <c r="A297" s="90" t="s">
        <v>96</v>
      </c>
    </row>
    <row r="298" spans="1:11" x14ac:dyDescent="0.3">
      <c r="A298" s="90" t="s">
        <v>97</v>
      </c>
      <c r="G298" s="228"/>
    </row>
  </sheetData>
  <mergeCells count="28">
    <mergeCell ref="A242:A255"/>
    <mergeCell ref="A256:A279"/>
    <mergeCell ref="K4:K5"/>
    <mergeCell ref="A6:A17"/>
    <mergeCell ref="A18:A28"/>
    <mergeCell ref="A29:A40"/>
    <mergeCell ref="A41:A56"/>
    <mergeCell ref="A4:A5"/>
    <mergeCell ref="B4:B5"/>
    <mergeCell ref="E4:E5"/>
    <mergeCell ref="F4:F5"/>
    <mergeCell ref="J4:J5"/>
    <mergeCell ref="A280:A293"/>
    <mergeCell ref="A57:A68"/>
    <mergeCell ref="A69:A90"/>
    <mergeCell ref="A91:A106"/>
    <mergeCell ref="A107:A122"/>
    <mergeCell ref="A123:A132"/>
    <mergeCell ref="A133:A145"/>
    <mergeCell ref="A146:A158"/>
    <mergeCell ref="A159:A172"/>
    <mergeCell ref="A173:A181"/>
    <mergeCell ref="A182:A193"/>
    <mergeCell ref="A194:A210"/>
    <mergeCell ref="A211:A224"/>
    <mergeCell ref="A225:A230"/>
    <mergeCell ref="A231:A234"/>
    <mergeCell ref="A235:A241"/>
  </mergeCells>
  <phoneticPr fontId="1" type="noConversion"/>
  <hyperlinks>
    <hyperlink ref="K1" location="목차!A1" display="목차" xr:uid="{A9A1C20D-3C35-4B4B-9910-A7797817E1E1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39B2-0403-4EA9-806E-FF2F6A5A20AA}">
  <sheetPr>
    <tabColor theme="0" tint="-4.9989318521683403E-2"/>
  </sheetPr>
  <dimension ref="A1:U44"/>
  <sheetViews>
    <sheetView zoomScale="70" zoomScaleNormal="70" workbookViewId="0">
      <selection activeCell="R13" sqref="R13"/>
    </sheetView>
  </sheetViews>
  <sheetFormatPr defaultRowHeight="16.5" x14ac:dyDescent="0.3"/>
  <cols>
    <col min="1" max="1" width="12" customWidth="1"/>
    <col min="2" max="2" width="43.75" customWidth="1"/>
  </cols>
  <sheetData>
    <row r="1" spans="1:21" ht="17.25" x14ac:dyDescent="0.3">
      <c r="A1" s="7" t="s">
        <v>1261</v>
      </c>
      <c r="B1" s="2"/>
      <c r="C1" s="2"/>
      <c r="D1" s="2"/>
      <c r="E1" s="2"/>
      <c r="F1" s="2"/>
      <c r="G1" s="2"/>
      <c r="H1" s="2"/>
      <c r="J1" s="72" t="s">
        <v>367</v>
      </c>
    </row>
    <row r="3" spans="1:21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33" t="s">
        <v>843</v>
      </c>
    </row>
    <row r="4" spans="1:21" ht="33" x14ac:dyDescent="0.3">
      <c r="A4" s="172" t="s">
        <v>139</v>
      </c>
      <c r="B4" s="171" t="s">
        <v>169</v>
      </c>
      <c r="C4" s="171" t="s">
        <v>78</v>
      </c>
      <c r="D4" s="171" t="s">
        <v>79</v>
      </c>
      <c r="E4" s="171" t="s">
        <v>80</v>
      </c>
      <c r="F4" s="171" t="s">
        <v>81</v>
      </c>
      <c r="G4" s="171" t="s">
        <v>82</v>
      </c>
      <c r="H4" s="171" t="s">
        <v>83</v>
      </c>
      <c r="I4" s="171" t="s">
        <v>84</v>
      </c>
      <c r="J4" s="171" t="s">
        <v>85</v>
      </c>
      <c r="K4" s="179" t="s">
        <v>86</v>
      </c>
    </row>
    <row r="5" spans="1:21" x14ac:dyDescent="0.3">
      <c r="A5" s="305" t="s">
        <v>203</v>
      </c>
      <c r="B5" s="169" t="s">
        <v>186</v>
      </c>
      <c r="C5" s="169">
        <v>126</v>
      </c>
      <c r="D5" s="178">
        <v>7351</v>
      </c>
      <c r="E5" s="178">
        <v>14588</v>
      </c>
      <c r="F5" s="169">
        <v>12</v>
      </c>
      <c r="G5" s="169">
        <v>11</v>
      </c>
      <c r="H5" s="169">
        <v>294</v>
      </c>
      <c r="I5" s="169">
        <v>3</v>
      </c>
      <c r="J5" s="169">
        <v>1110</v>
      </c>
      <c r="K5" s="195">
        <v>23495</v>
      </c>
      <c r="M5" s="90"/>
      <c r="N5" s="90"/>
      <c r="O5" s="90"/>
      <c r="P5" s="90"/>
      <c r="Q5" s="90"/>
      <c r="R5" s="90"/>
      <c r="S5" s="90"/>
      <c r="T5" s="90"/>
      <c r="U5" s="90"/>
    </row>
    <row r="6" spans="1:21" x14ac:dyDescent="0.3">
      <c r="A6" s="305"/>
      <c r="B6" s="95" t="s">
        <v>170</v>
      </c>
      <c r="C6" s="96">
        <v>1291</v>
      </c>
      <c r="D6" s="96">
        <v>5889</v>
      </c>
      <c r="E6" s="96">
        <v>11460</v>
      </c>
      <c r="F6" s="95">
        <v>5</v>
      </c>
      <c r="G6" s="95">
        <v>215</v>
      </c>
      <c r="H6" s="96">
        <v>2608</v>
      </c>
      <c r="I6" s="95">
        <v>1</v>
      </c>
      <c r="J6" s="96">
        <v>1168</v>
      </c>
      <c r="K6" s="30">
        <v>22637</v>
      </c>
      <c r="M6" s="90"/>
      <c r="N6" s="90"/>
      <c r="O6" s="90"/>
      <c r="P6" s="90"/>
      <c r="Q6" s="90"/>
      <c r="R6" s="90"/>
      <c r="S6" s="90"/>
      <c r="T6" s="90"/>
      <c r="U6" s="90"/>
    </row>
    <row r="7" spans="1:21" x14ac:dyDescent="0.3">
      <c r="A7" s="305"/>
      <c r="B7" s="95" t="s">
        <v>166</v>
      </c>
      <c r="C7" s="95">
        <v>4</v>
      </c>
      <c r="D7" s="96">
        <v>32152</v>
      </c>
      <c r="E7" s="95">
        <v>868</v>
      </c>
      <c r="F7" s="95">
        <v>3294</v>
      </c>
      <c r="G7" s="96">
        <v>8807</v>
      </c>
      <c r="H7" s="96">
        <v>3159</v>
      </c>
      <c r="I7" s="96">
        <v>0</v>
      </c>
      <c r="J7" s="95">
        <v>192</v>
      </c>
      <c r="K7" s="30">
        <v>48476</v>
      </c>
      <c r="M7" s="90"/>
      <c r="N7" s="90"/>
      <c r="O7" s="90"/>
      <c r="P7" s="90"/>
      <c r="Q7" s="90"/>
      <c r="R7" s="90"/>
      <c r="S7" s="90"/>
      <c r="T7" s="90"/>
      <c r="U7" s="90"/>
    </row>
    <row r="8" spans="1:21" x14ac:dyDescent="0.3">
      <c r="A8" s="305"/>
      <c r="B8" s="95" t="s">
        <v>171</v>
      </c>
      <c r="C8" s="95">
        <v>8</v>
      </c>
      <c r="D8" s="95">
        <v>759</v>
      </c>
      <c r="E8" s="95">
        <v>456</v>
      </c>
      <c r="F8" s="95">
        <v>0</v>
      </c>
      <c r="G8" s="95">
        <v>1</v>
      </c>
      <c r="H8" s="95">
        <v>101</v>
      </c>
      <c r="I8" s="95">
        <v>0</v>
      </c>
      <c r="J8" s="95">
        <v>46</v>
      </c>
      <c r="K8" s="30">
        <v>1371</v>
      </c>
      <c r="M8" s="90"/>
      <c r="N8" s="90"/>
      <c r="O8" s="90"/>
      <c r="P8" s="90"/>
      <c r="Q8" s="90"/>
      <c r="R8" s="90"/>
      <c r="S8" s="90"/>
      <c r="T8" s="90"/>
      <c r="U8" s="90"/>
    </row>
    <row r="9" spans="1:21" x14ac:dyDescent="0.3">
      <c r="A9" s="305"/>
      <c r="B9" s="95" t="s">
        <v>172</v>
      </c>
      <c r="C9" s="95">
        <v>20</v>
      </c>
      <c r="D9" s="96">
        <v>8667</v>
      </c>
      <c r="E9" s="96">
        <v>2944</v>
      </c>
      <c r="F9" s="95">
        <v>964</v>
      </c>
      <c r="G9" s="95">
        <v>527</v>
      </c>
      <c r="H9" s="96">
        <v>2758</v>
      </c>
      <c r="I9" s="95">
        <v>0</v>
      </c>
      <c r="J9" s="96">
        <v>982</v>
      </c>
      <c r="K9" s="30">
        <v>16862</v>
      </c>
      <c r="M9" s="90"/>
      <c r="N9" s="90"/>
      <c r="O9" s="90"/>
      <c r="P9" s="90"/>
      <c r="Q9" s="90"/>
      <c r="R9" s="90"/>
      <c r="S9" s="90"/>
      <c r="T9" s="90"/>
      <c r="U9" s="90"/>
    </row>
    <row r="10" spans="1:21" x14ac:dyDescent="0.3">
      <c r="A10" s="305"/>
      <c r="B10" s="95" t="s">
        <v>173</v>
      </c>
      <c r="C10" s="95">
        <v>112</v>
      </c>
      <c r="D10" s="96">
        <v>5683</v>
      </c>
      <c r="E10" s="95">
        <v>308</v>
      </c>
      <c r="F10" s="95">
        <v>137</v>
      </c>
      <c r="G10" s="95">
        <v>325</v>
      </c>
      <c r="H10" s="95">
        <v>481</v>
      </c>
      <c r="I10" s="95">
        <v>14</v>
      </c>
      <c r="J10" s="95">
        <v>5</v>
      </c>
      <c r="K10" s="30">
        <v>7065</v>
      </c>
      <c r="M10" s="90"/>
      <c r="N10" s="90"/>
      <c r="O10" s="90"/>
      <c r="P10" s="90"/>
      <c r="Q10" s="90"/>
      <c r="R10" s="90"/>
      <c r="S10" s="90"/>
      <c r="T10" s="90"/>
      <c r="U10" s="90"/>
    </row>
    <row r="11" spans="1:21" x14ac:dyDescent="0.3">
      <c r="A11" s="305"/>
      <c r="B11" s="95" t="s">
        <v>174</v>
      </c>
      <c r="C11" s="95">
        <v>180</v>
      </c>
      <c r="D11" s="96">
        <v>2496</v>
      </c>
      <c r="E11" s="95">
        <v>215</v>
      </c>
      <c r="F11" s="95">
        <v>0</v>
      </c>
      <c r="G11" s="95">
        <v>3</v>
      </c>
      <c r="H11" s="95">
        <v>86</v>
      </c>
      <c r="I11" s="95">
        <v>0</v>
      </c>
      <c r="J11" s="95">
        <v>62</v>
      </c>
      <c r="K11" s="30">
        <v>3042</v>
      </c>
      <c r="M11" s="90"/>
      <c r="N11" s="90"/>
      <c r="O11" s="90"/>
      <c r="P11" s="90"/>
      <c r="Q11" s="90"/>
      <c r="R11" s="90"/>
      <c r="S11" s="90"/>
      <c r="T11" s="90"/>
      <c r="U11" s="90"/>
    </row>
    <row r="12" spans="1:21" x14ac:dyDescent="0.3">
      <c r="A12" s="305"/>
      <c r="B12" s="95" t="s">
        <v>187</v>
      </c>
      <c r="C12" s="95">
        <v>59</v>
      </c>
      <c r="D12" s="96">
        <v>5882</v>
      </c>
      <c r="E12" s="96">
        <v>1226</v>
      </c>
      <c r="F12" s="95">
        <v>210</v>
      </c>
      <c r="G12" s="95">
        <v>256</v>
      </c>
      <c r="H12" s="96">
        <v>2660</v>
      </c>
      <c r="I12" s="95">
        <v>0</v>
      </c>
      <c r="J12" s="96">
        <v>1252</v>
      </c>
      <c r="K12" s="30">
        <v>11545</v>
      </c>
      <c r="M12" s="90"/>
      <c r="N12" s="90"/>
      <c r="O12" s="90"/>
      <c r="P12" s="90"/>
      <c r="Q12" s="90"/>
      <c r="R12" s="90"/>
      <c r="S12" s="90"/>
      <c r="T12" s="90"/>
      <c r="U12" s="90"/>
    </row>
    <row r="13" spans="1:21" x14ac:dyDescent="0.3">
      <c r="A13" s="305"/>
      <c r="B13" s="95" t="s">
        <v>150</v>
      </c>
      <c r="C13" s="96">
        <v>1054</v>
      </c>
      <c r="D13" s="96">
        <v>2499</v>
      </c>
      <c r="E13" s="96">
        <v>2725</v>
      </c>
      <c r="F13" s="95">
        <v>278</v>
      </c>
      <c r="G13" s="95">
        <v>230</v>
      </c>
      <c r="H13" s="96">
        <v>2592</v>
      </c>
      <c r="I13" s="95">
        <v>0</v>
      </c>
      <c r="J13" s="95">
        <v>519</v>
      </c>
      <c r="K13" s="30">
        <v>9897</v>
      </c>
      <c r="M13" s="90"/>
      <c r="N13" s="90"/>
      <c r="O13" s="90"/>
      <c r="P13" s="90"/>
      <c r="Q13" s="90"/>
      <c r="R13" s="90"/>
      <c r="S13" s="90"/>
      <c r="T13" s="90"/>
      <c r="U13" s="90"/>
    </row>
    <row r="14" spans="1:21" x14ac:dyDescent="0.3">
      <c r="A14" s="305"/>
      <c r="B14" s="95" t="s">
        <v>175</v>
      </c>
      <c r="C14" s="95">
        <v>451</v>
      </c>
      <c r="D14" s="95">
        <v>1046</v>
      </c>
      <c r="E14" s="95">
        <v>931</v>
      </c>
      <c r="F14" s="95">
        <v>86</v>
      </c>
      <c r="G14" s="95">
        <v>48</v>
      </c>
      <c r="H14" s="95">
        <v>918</v>
      </c>
      <c r="I14" s="95">
        <v>10</v>
      </c>
      <c r="J14" s="95">
        <v>360</v>
      </c>
      <c r="K14" s="30">
        <v>3850</v>
      </c>
      <c r="M14" s="90"/>
      <c r="N14" s="90"/>
      <c r="O14" s="90"/>
      <c r="P14" s="90"/>
      <c r="Q14" s="90"/>
      <c r="R14" s="90"/>
      <c r="S14" s="90"/>
      <c r="T14" s="90"/>
      <c r="U14" s="90"/>
    </row>
    <row r="15" spans="1:21" x14ac:dyDescent="0.3">
      <c r="A15" s="305"/>
      <c r="B15" s="95" t="s">
        <v>188</v>
      </c>
      <c r="C15" s="95">
        <v>381</v>
      </c>
      <c r="D15" s="95">
        <v>198</v>
      </c>
      <c r="E15" s="95">
        <v>235</v>
      </c>
      <c r="F15" s="95">
        <v>1</v>
      </c>
      <c r="G15" s="95">
        <v>0</v>
      </c>
      <c r="H15" s="95">
        <v>231</v>
      </c>
      <c r="I15" s="95">
        <v>0</v>
      </c>
      <c r="J15" s="95">
        <v>51</v>
      </c>
      <c r="K15" s="123">
        <v>1097</v>
      </c>
      <c r="M15" s="90"/>
      <c r="N15" s="90"/>
      <c r="O15" s="90"/>
      <c r="P15" s="90"/>
      <c r="Q15" s="90"/>
      <c r="R15" s="90"/>
      <c r="S15" s="90"/>
      <c r="T15" s="90"/>
      <c r="U15" s="90"/>
    </row>
    <row r="16" spans="1:21" x14ac:dyDescent="0.3">
      <c r="A16" s="305"/>
      <c r="B16" s="95" t="s">
        <v>176</v>
      </c>
      <c r="C16" s="95">
        <v>215</v>
      </c>
      <c r="D16" s="96">
        <v>1333</v>
      </c>
      <c r="E16" s="96">
        <v>12708</v>
      </c>
      <c r="F16" s="95">
        <v>0</v>
      </c>
      <c r="G16" s="95">
        <v>14</v>
      </c>
      <c r="H16" s="95">
        <v>180</v>
      </c>
      <c r="I16" s="95">
        <v>0</v>
      </c>
      <c r="J16" s="96">
        <v>380</v>
      </c>
      <c r="K16" s="30">
        <v>14830</v>
      </c>
      <c r="M16" s="90"/>
      <c r="N16" s="90"/>
      <c r="O16" s="90"/>
      <c r="P16" s="90"/>
      <c r="Q16" s="90"/>
      <c r="R16" s="90"/>
      <c r="S16" s="90"/>
      <c r="T16" s="90"/>
      <c r="U16" s="90"/>
    </row>
    <row r="17" spans="1:21" x14ac:dyDescent="0.3">
      <c r="A17" s="305"/>
      <c r="B17" s="95" t="s">
        <v>177</v>
      </c>
      <c r="C17" s="96">
        <v>2385</v>
      </c>
      <c r="D17" s="96">
        <v>22909</v>
      </c>
      <c r="E17" s="96">
        <v>3760</v>
      </c>
      <c r="F17" s="95">
        <v>70</v>
      </c>
      <c r="G17" s="95">
        <v>541</v>
      </c>
      <c r="H17" s="96">
        <v>2256</v>
      </c>
      <c r="I17" s="95">
        <v>263</v>
      </c>
      <c r="J17" s="96">
        <v>5630</v>
      </c>
      <c r="K17" s="30">
        <v>37814</v>
      </c>
      <c r="M17" s="90"/>
      <c r="N17" s="90"/>
      <c r="O17" s="90"/>
      <c r="P17" s="90"/>
      <c r="Q17" s="90"/>
      <c r="R17" s="90"/>
      <c r="S17" s="90"/>
      <c r="T17" s="90"/>
      <c r="U17" s="90"/>
    </row>
    <row r="18" spans="1:21" x14ac:dyDescent="0.3">
      <c r="A18" s="306"/>
      <c r="B18" s="97" t="s">
        <v>110</v>
      </c>
      <c r="C18" s="98">
        <v>6287.6209967500017</v>
      </c>
      <c r="D18" s="98">
        <v>96863.505354478984</v>
      </c>
      <c r="E18" s="98">
        <v>52423.257801566608</v>
      </c>
      <c r="F18" s="98">
        <v>5057.3340203199987</v>
      </c>
      <c r="G18" s="98">
        <v>10976.598674910001</v>
      </c>
      <c r="H18" s="98">
        <v>18323.455971194024</v>
      </c>
      <c r="I18" s="98">
        <v>291.49</v>
      </c>
      <c r="J18" s="98">
        <v>11757.448378899995</v>
      </c>
      <c r="K18" s="32">
        <v>201980.71119811962</v>
      </c>
      <c r="M18" s="90"/>
      <c r="N18" s="90"/>
      <c r="O18" s="90"/>
      <c r="P18" s="90"/>
      <c r="Q18" s="90"/>
      <c r="R18" s="90"/>
      <c r="S18" s="90"/>
      <c r="T18" s="90"/>
      <c r="U18" s="90"/>
    </row>
    <row r="19" spans="1:21" x14ac:dyDescent="0.3">
      <c r="A19" s="304" t="s">
        <v>202</v>
      </c>
      <c r="B19" s="95" t="s">
        <v>189</v>
      </c>
      <c r="C19" s="96">
        <v>7763</v>
      </c>
      <c r="D19" s="95">
        <v>808</v>
      </c>
      <c r="E19" s="96">
        <v>2372</v>
      </c>
      <c r="F19" s="95">
        <v>34</v>
      </c>
      <c r="G19" s="95">
        <v>146</v>
      </c>
      <c r="H19" s="96">
        <v>1810</v>
      </c>
      <c r="I19" s="95">
        <v>455</v>
      </c>
      <c r="J19" s="95">
        <v>395</v>
      </c>
      <c r="K19" s="30">
        <v>13783</v>
      </c>
      <c r="M19" s="90"/>
      <c r="N19" s="90"/>
      <c r="O19" s="90"/>
      <c r="P19" s="90"/>
      <c r="Q19" s="90"/>
      <c r="R19" s="90"/>
      <c r="S19" s="90"/>
      <c r="T19" s="90"/>
      <c r="U19" s="90"/>
    </row>
    <row r="20" spans="1:21" x14ac:dyDescent="0.3">
      <c r="A20" s="305"/>
      <c r="B20" s="95" t="s">
        <v>190</v>
      </c>
      <c r="C20" s="95">
        <v>28</v>
      </c>
      <c r="D20" s="95">
        <v>54</v>
      </c>
      <c r="E20" s="95">
        <v>201</v>
      </c>
      <c r="F20" s="95">
        <v>0</v>
      </c>
      <c r="G20" s="95">
        <v>39</v>
      </c>
      <c r="H20" s="95">
        <v>516</v>
      </c>
      <c r="I20" s="95">
        <v>0</v>
      </c>
      <c r="J20" s="95">
        <v>17</v>
      </c>
      <c r="K20" s="123">
        <v>855</v>
      </c>
      <c r="M20" s="90"/>
      <c r="N20" s="90"/>
      <c r="O20" s="90"/>
      <c r="P20" s="90"/>
      <c r="Q20" s="90"/>
      <c r="R20" s="90"/>
      <c r="S20" s="90"/>
      <c r="T20" s="90"/>
      <c r="U20" s="90"/>
    </row>
    <row r="21" spans="1:21" x14ac:dyDescent="0.3">
      <c r="A21" s="305"/>
      <c r="B21" s="95" t="s">
        <v>1262</v>
      </c>
      <c r="C21" s="95">
        <v>0</v>
      </c>
      <c r="D21" s="95">
        <v>32</v>
      </c>
      <c r="E21" s="95">
        <v>131</v>
      </c>
      <c r="F21" s="95">
        <v>38</v>
      </c>
      <c r="G21" s="95">
        <v>63</v>
      </c>
      <c r="H21" s="95">
        <v>883</v>
      </c>
      <c r="I21" s="95">
        <v>0</v>
      </c>
      <c r="J21" s="95">
        <v>116</v>
      </c>
      <c r="K21" s="30">
        <v>1263</v>
      </c>
      <c r="M21" s="90"/>
      <c r="N21" s="90"/>
      <c r="O21" s="90"/>
      <c r="P21" s="90"/>
      <c r="Q21" s="90"/>
      <c r="R21" s="90"/>
      <c r="S21" s="90"/>
      <c r="T21" s="90"/>
      <c r="U21" s="90"/>
    </row>
    <row r="22" spans="1:21" x14ac:dyDescent="0.3">
      <c r="A22" s="305"/>
      <c r="B22" s="95" t="s">
        <v>1263</v>
      </c>
      <c r="C22" s="95">
        <v>44</v>
      </c>
      <c r="D22" s="95">
        <v>3</v>
      </c>
      <c r="E22" s="95">
        <v>62</v>
      </c>
      <c r="F22" s="95">
        <v>0</v>
      </c>
      <c r="G22" s="95">
        <v>5</v>
      </c>
      <c r="H22" s="95">
        <v>105</v>
      </c>
      <c r="I22" s="95">
        <v>0</v>
      </c>
      <c r="J22" s="95">
        <v>5</v>
      </c>
      <c r="K22" s="123">
        <v>224</v>
      </c>
      <c r="M22" s="90"/>
      <c r="N22" s="90"/>
      <c r="O22" s="90"/>
      <c r="P22" s="90"/>
      <c r="Q22" s="90"/>
      <c r="R22" s="90"/>
      <c r="S22" s="90"/>
      <c r="T22" s="90"/>
      <c r="U22" s="90"/>
    </row>
    <row r="23" spans="1:21" x14ac:dyDescent="0.3">
      <c r="A23" s="305"/>
      <c r="B23" s="95" t="s">
        <v>193</v>
      </c>
      <c r="C23" s="95">
        <v>1</v>
      </c>
      <c r="D23" s="95">
        <v>989</v>
      </c>
      <c r="E23" s="96">
        <v>1562</v>
      </c>
      <c r="F23" s="95">
        <v>202</v>
      </c>
      <c r="G23" s="95">
        <v>888</v>
      </c>
      <c r="H23" s="96">
        <v>3092</v>
      </c>
      <c r="I23" s="95">
        <v>5</v>
      </c>
      <c r="J23" s="95">
        <v>341</v>
      </c>
      <c r="K23" s="30">
        <v>7080</v>
      </c>
      <c r="M23" s="90"/>
      <c r="N23" s="90"/>
      <c r="O23" s="90"/>
      <c r="P23" s="90"/>
      <c r="Q23" s="90"/>
      <c r="R23" s="90"/>
      <c r="S23" s="90"/>
      <c r="T23" s="90"/>
      <c r="U23" s="90"/>
    </row>
    <row r="24" spans="1:21" x14ac:dyDescent="0.3">
      <c r="A24" s="305"/>
      <c r="B24" s="95" t="s">
        <v>194</v>
      </c>
      <c r="C24" s="95">
        <v>16</v>
      </c>
      <c r="D24" s="95">
        <v>306</v>
      </c>
      <c r="E24" s="96">
        <v>1391</v>
      </c>
      <c r="F24" s="95">
        <v>21</v>
      </c>
      <c r="G24" s="95">
        <v>233</v>
      </c>
      <c r="H24" s="96">
        <v>1780</v>
      </c>
      <c r="I24" s="95">
        <v>0</v>
      </c>
      <c r="J24" s="95">
        <v>295</v>
      </c>
      <c r="K24" s="30">
        <v>4042</v>
      </c>
      <c r="M24" s="90"/>
      <c r="N24" s="90"/>
      <c r="O24" s="90"/>
      <c r="P24" s="90"/>
      <c r="Q24" s="90"/>
      <c r="R24" s="90"/>
      <c r="S24" s="90"/>
      <c r="T24" s="90"/>
      <c r="U24" s="90"/>
    </row>
    <row r="25" spans="1:21" x14ac:dyDescent="0.3">
      <c r="A25" s="305"/>
      <c r="B25" s="95" t="s">
        <v>195</v>
      </c>
      <c r="C25" s="95">
        <v>2</v>
      </c>
      <c r="D25" s="95">
        <v>538</v>
      </c>
      <c r="E25" s="95">
        <v>453</v>
      </c>
      <c r="F25" s="95">
        <v>368</v>
      </c>
      <c r="G25" s="95">
        <v>367</v>
      </c>
      <c r="H25" s="96">
        <v>1836</v>
      </c>
      <c r="I25" s="95">
        <v>0</v>
      </c>
      <c r="J25" s="95">
        <v>173</v>
      </c>
      <c r="K25" s="30">
        <v>3737</v>
      </c>
      <c r="M25" s="90"/>
      <c r="N25" s="90"/>
      <c r="O25" s="90"/>
      <c r="P25" s="90"/>
      <c r="Q25" s="90"/>
      <c r="R25" s="90"/>
      <c r="S25" s="90"/>
      <c r="T25" s="90"/>
      <c r="U25" s="90"/>
    </row>
    <row r="26" spans="1:21" x14ac:dyDescent="0.3">
      <c r="A26" s="305"/>
      <c r="B26" s="168" t="s">
        <v>196</v>
      </c>
      <c r="C26" s="168">
        <v>4</v>
      </c>
      <c r="D26" s="177">
        <v>1948</v>
      </c>
      <c r="E26" s="177">
        <v>3427</v>
      </c>
      <c r="F26" s="168">
        <v>371</v>
      </c>
      <c r="G26" s="168">
        <v>1001</v>
      </c>
      <c r="H26" s="177">
        <v>4922</v>
      </c>
      <c r="I26" s="168">
        <v>0</v>
      </c>
      <c r="J26" s="177">
        <v>921</v>
      </c>
      <c r="K26" s="190">
        <v>12594</v>
      </c>
      <c r="M26" s="90"/>
      <c r="N26" s="90"/>
      <c r="O26" s="90"/>
      <c r="P26" s="90"/>
      <c r="Q26" s="90"/>
      <c r="R26" s="90"/>
      <c r="S26" s="90"/>
      <c r="T26" s="90"/>
      <c r="U26" s="90"/>
    </row>
    <row r="27" spans="1:21" x14ac:dyDescent="0.3">
      <c r="A27" s="305"/>
      <c r="B27" s="95" t="s">
        <v>1264</v>
      </c>
      <c r="C27" s="95">
        <v>31</v>
      </c>
      <c r="D27" s="95">
        <v>446</v>
      </c>
      <c r="E27" s="96">
        <v>1455</v>
      </c>
      <c r="F27" s="95">
        <v>2</v>
      </c>
      <c r="G27" s="95">
        <v>216</v>
      </c>
      <c r="H27" s="96">
        <v>3589</v>
      </c>
      <c r="I27" s="95">
        <v>0</v>
      </c>
      <c r="J27" s="95">
        <v>431</v>
      </c>
      <c r="K27" s="30">
        <v>6170</v>
      </c>
      <c r="M27" s="90"/>
      <c r="N27" s="90"/>
      <c r="O27" s="90"/>
      <c r="P27" s="90"/>
      <c r="Q27" s="90"/>
      <c r="R27" s="90"/>
      <c r="S27" s="90"/>
      <c r="T27" s="90"/>
      <c r="U27" s="90"/>
    </row>
    <row r="28" spans="1:21" x14ac:dyDescent="0.3">
      <c r="A28" s="305"/>
      <c r="B28" s="95" t="s">
        <v>197</v>
      </c>
      <c r="C28" s="95">
        <v>8</v>
      </c>
      <c r="D28" s="96">
        <v>1415</v>
      </c>
      <c r="E28" s="96">
        <v>1151</v>
      </c>
      <c r="F28" s="95">
        <v>858</v>
      </c>
      <c r="G28" s="95">
        <v>1253</v>
      </c>
      <c r="H28" s="96">
        <v>6235</v>
      </c>
      <c r="I28" s="95">
        <v>0</v>
      </c>
      <c r="J28" s="95">
        <v>655</v>
      </c>
      <c r="K28" s="30">
        <v>11575</v>
      </c>
      <c r="M28" s="90"/>
      <c r="N28" s="90"/>
      <c r="O28" s="90"/>
      <c r="P28" s="90"/>
      <c r="Q28" s="90"/>
      <c r="R28" s="90"/>
      <c r="S28" s="90"/>
      <c r="T28" s="90"/>
      <c r="U28" s="90"/>
    </row>
    <row r="29" spans="1:21" x14ac:dyDescent="0.3">
      <c r="A29" s="305"/>
      <c r="B29" s="95" t="s">
        <v>198</v>
      </c>
      <c r="C29" s="95">
        <v>1</v>
      </c>
      <c r="D29" s="95">
        <v>856</v>
      </c>
      <c r="E29" s="95">
        <v>631</v>
      </c>
      <c r="F29" s="95">
        <v>420</v>
      </c>
      <c r="G29" s="96">
        <v>2585</v>
      </c>
      <c r="H29" s="96">
        <v>4406</v>
      </c>
      <c r="I29" s="95">
        <v>0</v>
      </c>
      <c r="J29" s="96">
        <v>1253</v>
      </c>
      <c r="K29" s="30">
        <v>10152</v>
      </c>
      <c r="M29" s="90"/>
      <c r="N29" s="90"/>
      <c r="O29" s="90"/>
      <c r="P29" s="90"/>
      <c r="Q29" s="90"/>
      <c r="R29" s="90"/>
      <c r="S29" s="90"/>
      <c r="T29" s="90"/>
      <c r="U29" s="90"/>
    </row>
    <row r="30" spans="1:21" x14ac:dyDescent="0.3">
      <c r="A30" s="305"/>
      <c r="B30" s="95" t="s">
        <v>1265</v>
      </c>
      <c r="C30" s="95">
        <v>0</v>
      </c>
      <c r="D30" s="95">
        <v>121</v>
      </c>
      <c r="E30" s="95">
        <v>166</v>
      </c>
      <c r="F30" s="95">
        <v>212</v>
      </c>
      <c r="G30" s="95">
        <v>8</v>
      </c>
      <c r="H30" s="95">
        <v>550</v>
      </c>
      <c r="I30" s="95">
        <v>0</v>
      </c>
      <c r="J30" s="95">
        <v>97</v>
      </c>
      <c r="K30" s="30">
        <v>1154</v>
      </c>
      <c r="M30" s="90"/>
      <c r="N30" s="90"/>
      <c r="O30" s="90"/>
      <c r="P30" s="90"/>
      <c r="Q30" s="90"/>
      <c r="R30" s="90"/>
      <c r="S30" s="90"/>
      <c r="T30" s="90"/>
      <c r="U30" s="90"/>
    </row>
    <row r="31" spans="1:21" x14ac:dyDescent="0.3">
      <c r="A31" s="305"/>
      <c r="B31" s="168" t="s">
        <v>1266</v>
      </c>
      <c r="C31" s="168">
        <v>7</v>
      </c>
      <c r="D31" s="168">
        <v>117</v>
      </c>
      <c r="E31" s="168">
        <v>253</v>
      </c>
      <c r="F31" s="168">
        <v>22</v>
      </c>
      <c r="G31" s="168">
        <v>25</v>
      </c>
      <c r="H31" s="168">
        <v>426</v>
      </c>
      <c r="I31" s="168">
        <v>0</v>
      </c>
      <c r="J31" s="168">
        <v>24</v>
      </c>
      <c r="K31" s="38">
        <v>874</v>
      </c>
      <c r="M31" s="90"/>
      <c r="N31" s="90"/>
      <c r="O31" s="90"/>
      <c r="P31" s="90"/>
      <c r="Q31" s="90"/>
      <c r="R31" s="90"/>
      <c r="S31" s="90"/>
      <c r="T31" s="90"/>
      <c r="U31" s="90"/>
    </row>
    <row r="32" spans="1:21" x14ac:dyDescent="0.3">
      <c r="A32" s="305"/>
      <c r="B32" s="95" t="s">
        <v>178</v>
      </c>
      <c r="C32" s="95">
        <v>4</v>
      </c>
      <c r="D32" s="96">
        <v>833</v>
      </c>
      <c r="E32" s="96">
        <v>1027</v>
      </c>
      <c r="F32" s="95">
        <v>73</v>
      </c>
      <c r="G32" s="95">
        <v>35</v>
      </c>
      <c r="H32" s="95">
        <v>806</v>
      </c>
      <c r="I32" s="95">
        <v>0</v>
      </c>
      <c r="J32" s="95">
        <v>102</v>
      </c>
      <c r="K32" s="30">
        <v>2880</v>
      </c>
      <c r="M32" s="90"/>
      <c r="N32" s="90"/>
      <c r="O32" s="90"/>
      <c r="P32" s="90"/>
      <c r="Q32" s="90"/>
      <c r="R32" s="90"/>
      <c r="S32" s="90"/>
      <c r="T32" s="90"/>
      <c r="U32" s="90"/>
    </row>
    <row r="33" spans="1:21" x14ac:dyDescent="0.3">
      <c r="A33" s="305"/>
      <c r="B33" s="95" t="s">
        <v>200</v>
      </c>
      <c r="C33" s="95">
        <v>1</v>
      </c>
      <c r="D33" s="95">
        <v>581</v>
      </c>
      <c r="E33" s="95">
        <v>490</v>
      </c>
      <c r="F33" s="95">
        <v>0</v>
      </c>
      <c r="G33" s="95">
        <v>22</v>
      </c>
      <c r="H33" s="96">
        <v>1822</v>
      </c>
      <c r="I33" s="95">
        <v>0</v>
      </c>
      <c r="J33" s="95">
        <v>324</v>
      </c>
      <c r="K33" s="30">
        <v>3240</v>
      </c>
      <c r="M33" s="90"/>
      <c r="N33" s="90"/>
      <c r="O33" s="90"/>
      <c r="P33" s="90"/>
      <c r="Q33" s="90"/>
      <c r="R33" s="90"/>
      <c r="S33" s="90"/>
      <c r="T33" s="90"/>
      <c r="U33" s="90"/>
    </row>
    <row r="34" spans="1:21" x14ac:dyDescent="0.3">
      <c r="A34" s="305"/>
      <c r="B34" s="95" t="s">
        <v>201</v>
      </c>
      <c r="C34" s="95">
        <v>125</v>
      </c>
      <c r="D34" s="96">
        <v>1635</v>
      </c>
      <c r="E34" s="96">
        <v>3348</v>
      </c>
      <c r="F34" s="95">
        <v>110</v>
      </c>
      <c r="G34" s="95">
        <v>70</v>
      </c>
      <c r="H34" s="96">
        <v>3224</v>
      </c>
      <c r="I34" s="95">
        <v>3</v>
      </c>
      <c r="J34" s="95">
        <v>920</v>
      </c>
      <c r="K34" s="30">
        <v>9435</v>
      </c>
      <c r="M34" s="90"/>
      <c r="N34" s="90"/>
      <c r="O34" s="90"/>
      <c r="P34" s="90"/>
      <c r="Q34" s="90"/>
      <c r="R34" s="90"/>
      <c r="S34" s="90"/>
      <c r="T34" s="90"/>
      <c r="U34" s="90"/>
    </row>
    <row r="35" spans="1:21" x14ac:dyDescent="0.3">
      <c r="A35" s="305"/>
      <c r="B35" s="95" t="s">
        <v>179</v>
      </c>
      <c r="C35" s="95">
        <v>2</v>
      </c>
      <c r="D35" s="95">
        <v>68</v>
      </c>
      <c r="E35" s="95">
        <v>231</v>
      </c>
      <c r="F35" s="95">
        <v>0</v>
      </c>
      <c r="G35" s="95">
        <v>34</v>
      </c>
      <c r="H35" s="95">
        <v>332</v>
      </c>
      <c r="I35" s="95">
        <v>0</v>
      </c>
      <c r="J35" s="95">
        <v>62</v>
      </c>
      <c r="K35" s="123">
        <v>729</v>
      </c>
      <c r="M35" s="90"/>
      <c r="N35" s="90"/>
      <c r="O35" s="90"/>
      <c r="P35" s="90"/>
      <c r="Q35" s="90"/>
      <c r="R35" s="90"/>
      <c r="S35" s="90"/>
      <c r="T35" s="90"/>
      <c r="U35" s="90"/>
    </row>
    <row r="36" spans="1:21" x14ac:dyDescent="0.3">
      <c r="A36" s="305"/>
      <c r="B36" s="95" t="s">
        <v>180</v>
      </c>
      <c r="C36" s="95">
        <v>27</v>
      </c>
      <c r="D36" s="95">
        <v>483</v>
      </c>
      <c r="E36" s="95">
        <v>1502</v>
      </c>
      <c r="F36" s="95">
        <v>3</v>
      </c>
      <c r="G36" s="95">
        <v>38</v>
      </c>
      <c r="H36" s="95">
        <v>772</v>
      </c>
      <c r="I36" s="95">
        <v>0</v>
      </c>
      <c r="J36" s="95">
        <v>241</v>
      </c>
      <c r="K36" s="30">
        <v>3066</v>
      </c>
      <c r="M36" s="90"/>
      <c r="N36" s="90"/>
      <c r="O36" s="90"/>
      <c r="P36" s="90"/>
      <c r="Q36" s="90"/>
      <c r="R36" s="90"/>
      <c r="S36" s="90"/>
      <c r="T36" s="90"/>
      <c r="U36" s="90"/>
    </row>
    <row r="37" spans="1:21" x14ac:dyDescent="0.3">
      <c r="A37" s="305"/>
      <c r="B37" s="95" t="s">
        <v>851</v>
      </c>
      <c r="C37" s="95">
        <v>5</v>
      </c>
      <c r="D37" s="95">
        <v>131</v>
      </c>
      <c r="E37" s="95">
        <v>156</v>
      </c>
      <c r="F37" s="95">
        <v>0</v>
      </c>
      <c r="G37" s="95">
        <v>0</v>
      </c>
      <c r="H37" s="95">
        <v>250</v>
      </c>
      <c r="I37" s="95">
        <v>0</v>
      </c>
      <c r="J37" s="95">
        <v>49</v>
      </c>
      <c r="K37" s="123">
        <v>591</v>
      </c>
      <c r="M37" s="90"/>
      <c r="N37" s="90"/>
      <c r="O37" s="90"/>
      <c r="P37" s="90"/>
      <c r="Q37" s="90"/>
      <c r="R37" s="90"/>
      <c r="S37" s="90"/>
      <c r="T37" s="90"/>
      <c r="U37" s="90"/>
    </row>
    <row r="38" spans="1:21" x14ac:dyDescent="0.3">
      <c r="A38" s="305"/>
      <c r="B38" s="95" t="s">
        <v>181</v>
      </c>
      <c r="C38" s="95">
        <v>48</v>
      </c>
      <c r="D38" s="96">
        <v>2633</v>
      </c>
      <c r="E38" s="96">
        <v>1601</v>
      </c>
      <c r="F38" s="95">
        <v>329</v>
      </c>
      <c r="G38" s="95">
        <v>542</v>
      </c>
      <c r="H38" s="96">
        <v>2700</v>
      </c>
      <c r="I38" s="95">
        <v>0</v>
      </c>
      <c r="J38" s="96">
        <v>2455</v>
      </c>
      <c r="K38" s="30">
        <v>10308</v>
      </c>
      <c r="M38" s="90"/>
      <c r="N38" s="90"/>
      <c r="O38" s="90"/>
      <c r="P38" s="90"/>
      <c r="Q38" s="90"/>
      <c r="R38" s="90"/>
      <c r="S38" s="90"/>
      <c r="T38" s="90"/>
      <c r="U38" s="90"/>
    </row>
    <row r="39" spans="1:21" x14ac:dyDescent="0.3">
      <c r="A39" s="306"/>
      <c r="B39" s="97" t="s">
        <v>110</v>
      </c>
      <c r="C39" s="98">
        <v>8115.9488178799929</v>
      </c>
      <c r="D39" s="98">
        <v>13997.301773391</v>
      </c>
      <c r="E39" s="98">
        <v>21610.218295003924</v>
      </c>
      <c r="F39" s="98">
        <v>3063.4947621199995</v>
      </c>
      <c r="G39" s="98">
        <v>7568.13228729</v>
      </c>
      <c r="H39" s="98">
        <v>40055.171388276023</v>
      </c>
      <c r="I39" s="97">
        <v>463.06</v>
      </c>
      <c r="J39" s="98">
        <v>8877.308053650002</v>
      </c>
      <c r="K39" s="32">
        <v>103750.63537761093</v>
      </c>
      <c r="M39" s="90"/>
      <c r="N39" s="90"/>
      <c r="O39" s="90"/>
      <c r="P39" s="90"/>
      <c r="Q39" s="90"/>
      <c r="R39" s="90"/>
      <c r="S39" s="90"/>
      <c r="T39" s="90"/>
      <c r="U39" s="90"/>
    </row>
    <row r="40" spans="1:21" x14ac:dyDescent="0.3">
      <c r="A40" s="321" t="s">
        <v>86</v>
      </c>
      <c r="B40" s="322"/>
      <c r="C40" s="98">
        <v>14404</v>
      </c>
      <c r="D40" s="98">
        <v>110861</v>
      </c>
      <c r="E40" s="98">
        <v>74033</v>
      </c>
      <c r="F40" s="98">
        <v>8121</v>
      </c>
      <c r="G40" s="98">
        <v>18545</v>
      </c>
      <c r="H40" s="98">
        <v>58379</v>
      </c>
      <c r="I40" s="98">
        <v>755</v>
      </c>
      <c r="J40" s="98">
        <v>20635</v>
      </c>
      <c r="K40" s="32">
        <v>305731</v>
      </c>
      <c r="M40" s="90"/>
      <c r="N40" s="90"/>
      <c r="O40" s="90"/>
      <c r="P40" s="90"/>
      <c r="Q40" s="90"/>
      <c r="R40" s="90"/>
      <c r="S40" s="90"/>
      <c r="T40" s="90"/>
      <c r="U40" s="90"/>
    </row>
    <row r="42" spans="1:21" x14ac:dyDescent="0.3">
      <c r="A42" t="s">
        <v>95</v>
      </c>
    </row>
    <row r="43" spans="1:21" x14ac:dyDescent="0.3">
      <c r="A43" t="s">
        <v>96</v>
      </c>
    </row>
    <row r="44" spans="1:21" x14ac:dyDescent="0.3">
      <c r="A44" t="s">
        <v>97</v>
      </c>
    </row>
  </sheetData>
  <mergeCells count="3">
    <mergeCell ref="A5:A18"/>
    <mergeCell ref="A19:A39"/>
    <mergeCell ref="A40:B40"/>
  </mergeCells>
  <phoneticPr fontId="1" type="noConversion"/>
  <hyperlinks>
    <hyperlink ref="J1" location="목차!A1" display="목차" xr:uid="{E70C4221-E849-49A2-91F0-343644459705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2A28-228C-4373-B5A5-23012FDBC189}">
  <sheetPr>
    <tabColor theme="0" tint="-4.9989318521683403E-2"/>
  </sheetPr>
  <dimension ref="A1:V232"/>
  <sheetViews>
    <sheetView topLeftCell="A81" zoomScale="55" zoomScaleNormal="55" workbookViewId="0">
      <selection activeCell="A118" sqref="A118"/>
    </sheetView>
  </sheetViews>
  <sheetFormatPr defaultRowHeight="16.5" x14ac:dyDescent="0.3"/>
  <cols>
    <col min="2" max="2" width="27.875" customWidth="1"/>
    <col min="3" max="3" width="46.625" customWidth="1"/>
  </cols>
  <sheetData>
    <row r="1" spans="1:22" ht="17.25" x14ac:dyDescent="0.3">
      <c r="A1" s="7" t="s">
        <v>1267</v>
      </c>
      <c r="B1" s="2"/>
      <c r="C1" s="2"/>
      <c r="D1" s="2"/>
      <c r="E1" s="2"/>
      <c r="F1" s="2"/>
      <c r="G1" s="2"/>
      <c r="H1" s="2"/>
      <c r="J1" s="72" t="s">
        <v>367</v>
      </c>
    </row>
    <row r="3" spans="1:22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33" t="s">
        <v>843</v>
      </c>
    </row>
    <row r="4" spans="1:22" x14ac:dyDescent="0.3">
      <c r="A4" s="313" t="s">
        <v>496</v>
      </c>
      <c r="B4" s="311" t="s">
        <v>497</v>
      </c>
      <c r="C4" s="311" t="s">
        <v>853</v>
      </c>
      <c r="D4" s="171" t="s">
        <v>498</v>
      </c>
      <c r="E4" s="171" t="s">
        <v>499</v>
      </c>
      <c r="F4" s="311" t="s">
        <v>80</v>
      </c>
      <c r="G4" s="311" t="s">
        <v>81</v>
      </c>
      <c r="H4" s="171" t="s">
        <v>500</v>
      </c>
      <c r="I4" s="171" t="s">
        <v>501</v>
      </c>
      <c r="J4" s="171" t="s">
        <v>3</v>
      </c>
      <c r="K4" s="311" t="s">
        <v>85</v>
      </c>
      <c r="L4" s="332" t="s">
        <v>86</v>
      </c>
    </row>
    <row r="5" spans="1:22" x14ac:dyDescent="0.3">
      <c r="A5" s="313"/>
      <c r="B5" s="311"/>
      <c r="C5" s="311"/>
      <c r="D5" s="171" t="s">
        <v>502</v>
      </c>
      <c r="E5" s="171" t="s">
        <v>502</v>
      </c>
      <c r="F5" s="311"/>
      <c r="G5" s="311"/>
      <c r="H5" s="171" t="s">
        <v>255</v>
      </c>
      <c r="I5" s="171" t="s">
        <v>255</v>
      </c>
      <c r="J5" s="171" t="s">
        <v>254</v>
      </c>
      <c r="K5" s="311"/>
      <c r="L5" s="332"/>
    </row>
    <row r="6" spans="1:22" x14ac:dyDescent="0.3">
      <c r="A6" s="305" t="s">
        <v>854</v>
      </c>
      <c r="B6" s="323" t="s">
        <v>855</v>
      </c>
      <c r="C6" s="169" t="s">
        <v>856</v>
      </c>
      <c r="D6" s="132">
        <v>2</v>
      </c>
      <c r="E6" s="132">
        <v>220</v>
      </c>
      <c r="F6" s="132">
        <v>25</v>
      </c>
      <c r="G6" s="132">
        <v>0</v>
      </c>
      <c r="H6" s="132">
        <v>8</v>
      </c>
      <c r="I6" s="132">
        <v>193</v>
      </c>
      <c r="J6" s="132">
        <v>0</v>
      </c>
      <c r="K6" s="132">
        <v>239</v>
      </c>
      <c r="L6" s="76">
        <v>687</v>
      </c>
      <c r="N6" s="90"/>
      <c r="O6" s="90"/>
      <c r="P6" s="90"/>
      <c r="Q6" s="90"/>
      <c r="R6" s="90"/>
      <c r="S6" s="90"/>
      <c r="T6" s="90"/>
      <c r="U6" s="90"/>
      <c r="V6" s="90"/>
    </row>
    <row r="7" spans="1:22" x14ac:dyDescent="0.3">
      <c r="A7" s="305"/>
      <c r="B7" s="323"/>
      <c r="C7" s="95" t="s">
        <v>857</v>
      </c>
      <c r="D7" s="133">
        <v>0</v>
      </c>
      <c r="E7" s="133">
        <v>822</v>
      </c>
      <c r="F7" s="133">
        <v>1151</v>
      </c>
      <c r="G7" s="133">
        <v>149</v>
      </c>
      <c r="H7" s="133">
        <v>626</v>
      </c>
      <c r="I7" s="133">
        <v>2150</v>
      </c>
      <c r="J7" s="133">
        <v>0</v>
      </c>
      <c r="K7" s="133">
        <v>395</v>
      </c>
      <c r="L7" s="77">
        <v>5293</v>
      </c>
      <c r="N7" s="90"/>
      <c r="O7" s="90"/>
      <c r="P7" s="90"/>
      <c r="Q7" s="90"/>
      <c r="R7" s="90"/>
      <c r="S7" s="90"/>
      <c r="T7" s="90"/>
      <c r="U7" s="90"/>
      <c r="V7" s="90"/>
    </row>
    <row r="8" spans="1:22" x14ac:dyDescent="0.3">
      <c r="A8" s="305"/>
      <c r="B8" s="323"/>
      <c r="C8" s="95" t="s">
        <v>858</v>
      </c>
      <c r="D8" s="133">
        <v>0</v>
      </c>
      <c r="E8" s="133">
        <v>265</v>
      </c>
      <c r="F8" s="133">
        <v>328</v>
      </c>
      <c r="G8" s="133">
        <v>157</v>
      </c>
      <c r="H8" s="133">
        <v>686</v>
      </c>
      <c r="I8" s="133">
        <v>1656</v>
      </c>
      <c r="J8" s="133">
        <v>0</v>
      </c>
      <c r="K8" s="133">
        <v>259</v>
      </c>
      <c r="L8" s="77">
        <v>3350</v>
      </c>
      <c r="N8" s="90"/>
      <c r="O8" s="90"/>
      <c r="P8" s="90"/>
      <c r="Q8" s="90"/>
      <c r="R8" s="90"/>
      <c r="S8" s="90"/>
      <c r="T8" s="90"/>
      <c r="U8" s="90"/>
      <c r="V8" s="90"/>
    </row>
    <row r="9" spans="1:22" x14ac:dyDescent="0.3">
      <c r="A9" s="305"/>
      <c r="B9" s="323"/>
      <c r="C9" s="95" t="s">
        <v>859</v>
      </c>
      <c r="D9" s="133">
        <v>0</v>
      </c>
      <c r="E9" s="133">
        <v>48</v>
      </c>
      <c r="F9" s="133">
        <v>231</v>
      </c>
      <c r="G9" s="133">
        <v>24</v>
      </c>
      <c r="H9" s="133">
        <v>36</v>
      </c>
      <c r="I9" s="133">
        <v>103</v>
      </c>
      <c r="J9" s="133">
        <v>0</v>
      </c>
      <c r="K9" s="133">
        <v>18</v>
      </c>
      <c r="L9" s="77">
        <v>461</v>
      </c>
      <c r="N9" s="90"/>
      <c r="O9" s="90"/>
      <c r="P9" s="90"/>
      <c r="Q9" s="90"/>
      <c r="R9" s="90"/>
      <c r="S9" s="90"/>
      <c r="T9" s="90"/>
      <c r="U9" s="90"/>
      <c r="V9" s="90"/>
    </row>
    <row r="10" spans="1:22" x14ac:dyDescent="0.3">
      <c r="A10" s="305"/>
      <c r="B10" s="308"/>
      <c r="C10" s="95" t="s">
        <v>860</v>
      </c>
      <c r="D10" s="133">
        <v>0</v>
      </c>
      <c r="E10" s="133">
        <v>512</v>
      </c>
      <c r="F10" s="133">
        <v>508</v>
      </c>
      <c r="G10" s="133">
        <v>44</v>
      </c>
      <c r="H10" s="133">
        <v>440</v>
      </c>
      <c r="I10" s="133">
        <v>1532</v>
      </c>
      <c r="J10" s="133">
        <v>0</v>
      </c>
      <c r="K10" s="133">
        <v>231</v>
      </c>
      <c r="L10" s="77">
        <v>3267</v>
      </c>
      <c r="N10" s="90"/>
      <c r="O10" s="90"/>
      <c r="P10" s="90"/>
      <c r="Q10" s="90"/>
      <c r="R10" s="90"/>
      <c r="S10" s="90"/>
      <c r="T10" s="90"/>
      <c r="U10" s="90"/>
      <c r="V10" s="90"/>
    </row>
    <row r="11" spans="1:22" x14ac:dyDescent="0.3">
      <c r="A11" s="305"/>
      <c r="B11" s="307" t="s">
        <v>861</v>
      </c>
      <c r="C11" s="95" t="s">
        <v>862</v>
      </c>
      <c r="D11" s="133">
        <v>5</v>
      </c>
      <c r="E11" s="133">
        <v>264</v>
      </c>
      <c r="F11" s="133">
        <v>155</v>
      </c>
      <c r="G11" s="133">
        <v>232</v>
      </c>
      <c r="H11" s="133">
        <v>34</v>
      </c>
      <c r="I11" s="133">
        <v>125</v>
      </c>
      <c r="J11" s="133">
        <v>0</v>
      </c>
      <c r="K11" s="133">
        <v>85</v>
      </c>
      <c r="L11" s="77">
        <v>899</v>
      </c>
      <c r="N11" s="90"/>
      <c r="O11" s="90"/>
      <c r="P11" s="90"/>
      <c r="Q11" s="90"/>
      <c r="R11" s="90"/>
      <c r="S11" s="90"/>
      <c r="T11" s="90"/>
      <c r="U11" s="90"/>
      <c r="V11" s="90"/>
    </row>
    <row r="12" spans="1:22" x14ac:dyDescent="0.3">
      <c r="A12" s="305"/>
      <c r="B12" s="323"/>
      <c r="C12" s="95" t="s">
        <v>863</v>
      </c>
      <c r="D12" s="133">
        <v>0</v>
      </c>
      <c r="E12" s="133">
        <v>67</v>
      </c>
      <c r="F12" s="133">
        <v>61</v>
      </c>
      <c r="G12" s="133">
        <v>0</v>
      </c>
      <c r="H12" s="133">
        <v>20</v>
      </c>
      <c r="I12" s="133">
        <v>29</v>
      </c>
      <c r="J12" s="133">
        <v>0</v>
      </c>
      <c r="K12" s="133">
        <v>0</v>
      </c>
      <c r="L12" s="77">
        <v>177</v>
      </c>
      <c r="N12" s="90"/>
      <c r="O12" s="90"/>
      <c r="P12" s="90"/>
      <c r="Q12" s="90"/>
      <c r="R12" s="90"/>
      <c r="S12" s="90"/>
      <c r="T12" s="90"/>
      <c r="U12" s="90"/>
      <c r="V12" s="90"/>
    </row>
    <row r="13" spans="1:22" x14ac:dyDescent="0.3">
      <c r="A13" s="305"/>
      <c r="B13" s="323"/>
      <c r="C13" s="95" t="s">
        <v>864</v>
      </c>
      <c r="D13" s="133">
        <v>0</v>
      </c>
      <c r="E13" s="133">
        <v>326</v>
      </c>
      <c r="F13" s="133">
        <v>91</v>
      </c>
      <c r="G13" s="133">
        <v>0</v>
      </c>
      <c r="H13" s="133">
        <v>0</v>
      </c>
      <c r="I13" s="133">
        <v>68</v>
      </c>
      <c r="J13" s="133">
        <v>0</v>
      </c>
      <c r="K13" s="133">
        <v>233</v>
      </c>
      <c r="L13" s="77">
        <v>718</v>
      </c>
      <c r="N13" s="90"/>
      <c r="O13" s="90"/>
      <c r="P13" s="90"/>
      <c r="Q13" s="90"/>
      <c r="R13" s="90"/>
      <c r="S13" s="90"/>
      <c r="T13" s="90"/>
      <c r="U13" s="90"/>
      <c r="V13" s="90"/>
    </row>
    <row r="14" spans="1:22" x14ac:dyDescent="0.3">
      <c r="A14" s="305"/>
      <c r="B14" s="308"/>
      <c r="C14" s="95" t="s">
        <v>865</v>
      </c>
      <c r="D14" s="133">
        <v>10</v>
      </c>
      <c r="E14" s="133">
        <v>698</v>
      </c>
      <c r="F14" s="133">
        <v>359</v>
      </c>
      <c r="G14" s="133">
        <v>100</v>
      </c>
      <c r="H14" s="133">
        <v>242</v>
      </c>
      <c r="I14" s="133">
        <v>423</v>
      </c>
      <c r="J14" s="133">
        <v>0</v>
      </c>
      <c r="K14" s="133">
        <v>162</v>
      </c>
      <c r="L14" s="77">
        <v>1994</v>
      </c>
      <c r="N14" s="90"/>
      <c r="O14" s="90"/>
      <c r="P14" s="90"/>
      <c r="Q14" s="90"/>
      <c r="R14" s="90"/>
      <c r="S14" s="90"/>
      <c r="T14" s="90"/>
      <c r="U14" s="90"/>
      <c r="V14" s="90"/>
    </row>
    <row r="15" spans="1:22" x14ac:dyDescent="0.3">
      <c r="A15" s="305"/>
      <c r="B15" s="307" t="s">
        <v>866</v>
      </c>
      <c r="C15" s="95" t="s">
        <v>867</v>
      </c>
      <c r="D15" s="133">
        <v>0</v>
      </c>
      <c r="E15" s="133">
        <v>61</v>
      </c>
      <c r="F15" s="133">
        <v>104</v>
      </c>
      <c r="G15" s="133">
        <v>27</v>
      </c>
      <c r="H15" s="133">
        <v>33</v>
      </c>
      <c r="I15" s="133">
        <v>312</v>
      </c>
      <c r="J15" s="133">
        <v>0</v>
      </c>
      <c r="K15" s="133">
        <v>5</v>
      </c>
      <c r="L15" s="77">
        <v>542</v>
      </c>
      <c r="N15" s="90"/>
      <c r="O15" s="90"/>
      <c r="P15" s="90"/>
      <c r="Q15" s="90"/>
      <c r="R15" s="90"/>
      <c r="S15" s="90"/>
      <c r="T15" s="90"/>
      <c r="U15" s="90"/>
      <c r="V15" s="90"/>
    </row>
    <row r="16" spans="1:22" x14ac:dyDescent="0.3">
      <c r="A16" s="305"/>
      <c r="B16" s="323"/>
      <c r="C16" s="95" t="s">
        <v>868</v>
      </c>
      <c r="D16" s="133">
        <v>3</v>
      </c>
      <c r="E16" s="133">
        <v>1314</v>
      </c>
      <c r="F16" s="133">
        <v>742</v>
      </c>
      <c r="G16" s="133">
        <v>47</v>
      </c>
      <c r="H16" s="133">
        <v>97</v>
      </c>
      <c r="I16" s="133">
        <v>647</v>
      </c>
      <c r="J16" s="133">
        <v>0</v>
      </c>
      <c r="K16" s="133">
        <v>165</v>
      </c>
      <c r="L16" s="77">
        <v>3015</v>
      </c>
      <c r="N16" s="90"/>
      <c r="O16" s="90"/>
      <c r="P16" s="90"/>
      <c r="Q16" s="90"/>
      <c r="R16" s="90"/>
      <c r="S16" s="90"/>
      <c r="T16" s="90"/>
      <c r="U16" s="90"/>
      <c r="V16" s="90"/>
    </row>
    <row r="17" spans="1:22" x14ac:dyDescent="0.3">
      <c r="A17" s="305"/>
      <c r="B17" s="323"/>
      <c r="C17" s="95" t="s">
        <v>869</v>
      </c>
      <c r="D17" s="133">
        <v>0</v>
      </c>
      <c r="E17" s="133">
        <v>2</v>
      </c>
      <c r="F17" s="133">
        <v>24</v>
      </c>
      <c r="G17" s="133">
        <v>0</v>
      </c>
      <c r="H17" s="133">
        <v>3</v>
      </c>
      <c r="I17" s="133">
        <v>277</v>
      </c>
      <c r="J17" s="133">
        <v>1</v>
      </c>
      <c r="K17" s="133">
        <v>6</v>
      </c>
      <c r="L17" s="77">
        <v>312</v>
      </c>
      <c r="N17" s="90"/>
      <c r="O17" s="90"/>
      <c r="P17" s="90"/>
      <c r="Q17" s="90"/>
      <c r="R17" s="90"/>
      <c r="S17" s="90"/>
      <c r="T17" s="90"/>
      <c r="U17" s="90"/>
      <c r="V17" s="90"/>
    </row>
    <row r="18" spans="1:22" x14ac:dyDescent="0.3">
      <c r="A18" s="305"/>
      <c r="B18" s="323"/>
      <c r="C18" s="168" t="s">
        <v>982</v>
      </c>
      <c r="D18" s="223">
        <v>20</v>
      </c>
      <c r="E18" s="223">
        <v>990</v>
      </c>
      <c r="F18" s="223">
        <v>921</v>
      </c>
      <c r="G18" s="223">
        <v>94</v>
      </c>
      <c r="H18" s="223">
        <v>829</v>
      </c>
      <c r="I18" s="223">
        <v>1387</v>
      </c>
      <c r="J18" s="223">
        <v>0</v>
      </c>
      <c r="K18" s="223">
        <v>130</v>
      </c>
      <c r="L18" s="216">
        <v>4371</v>
      </c>
      <c r="N18" s="90"/>
      <c r="O18" s="90"/>
      <c r="P18" s="90"/>
      <c r="Q18" s="90"/>
      <c r="R18" s="90"/>
      <c r="S18" s="90"/>
      <c r="T18" s="90"/>
      <c r="U18" s="90"/>
      <c r="V18" s="90"/>
    </row>
    <row r="19" spans="1:22" x14ac:dyDescent="0.3">
      <c r="A19" s="305"/>
      <c r="B19" s="323"/>
      <c r="C19" s="95" t="s">
        <v>871</v>
      </c>
      <c r="D19" s="133">
        <v>39</v>
      </c>
      <c r="E19" s="133">
        <v>507</v>
      </c>
      <c r="F19" s="133">
        <v>402</v>
      </c>
      <c r="G19" s="133">
        <v>29</v>
      </c>
      <c r="H19" s="133">
        <v>32</v>
      </c>
      <c r="I19" s="133">
        <v>900</v>
      </c>
      <c r="J19" s="133">
        <v>2</v>
      </c>
      <c r="K19" s="133">
        <v>82</v>
      </c>
      <c r="L19" s="77">
        <v>1992</v>
      </c>
      <c r="N19" s="90"/>
      <c r="O19" s="90"/>
      <c r="P19" s="90"/>
      <c r="Q19" s="90"/>
      <c r="R19" s="90"/>
      <c r="S19" s="90"/>
      <c r="T19" s="90"/>
      <c r="U19" s="90"/>
      <c r="V19" s="90"/>
    </row>
    <row r="20" spans="1:22" x14ac:dyDescent="0.3">
      <c r="A20" s="305"/>
      <c r="B20" s="308"/>
      <c r="C20" s="168" t="s">
        <v>983</v>
      </c>
      <c r="D20" s="223">
        <v>56</v>
      </c>
      <c r="E20" s="223">
        <v>3421</v>
      </c>
      <c r="F20" s="223">
        <v>2366</v>
      </c>
      <c r="G20" s="223">
        <v>162</v>
      </c>
      <c r="H20" s="223">
        <v>340</v>
      </c>
      <c r="I20" s="223">
        <v>5977</v>
      </c>
      <c r="J20" s="223">
        <v>0</v>
      </c>
      <c r="K20" s="223">
        <v>1153</v>
      </c>
      <c r="L20" s="216">
        <v>13475</v>
      </c>
      <c r="N20" s="90"/>
      <c r="O20" s="90"/>
      <c r="P20" s="90"/>
      <c r="Q20" s="90"/>
      <c r="R20" s="90"/>
      <c r="S20" s="90"/>
      <c r="T20" s="90"/>
      <c r="U20" s="90"/>
      <c r="V20" s="90"/>
    </row>
    <row r="21" spans="1:22" x14ac:dyDescent="0.3">
      <c r="A21" s="305"/>
      <c r="B21" s="95" t="s">
        <v>873</v>
      </c>
      <c r="C21" s="95" t="s">
        <v>873</v>
      </c>
      <c r="D21" s="133">
        <v>312</v>
      </c>
      <c r="E21" s="133">
        <v>5741</v>
      </c>
      <c r="F21" s="133">
        <v>2504</v>
      </c>
      <c r="G21" s="133">
        <v>148</v>
      </c>
      <c r="H21" s="133">
        <v>792</v>
      </c>
      <c r="I21" s="133">
        <v>2971</v>
      </c>
      <c r="J21" s="133">
        <v>8</v>
      </c>
      <c r="K21" s="133">
        <v>1255</v>
      </c>
      <c r="L21" s="77">
        <v>13732</v>
      </c>
      <c r="N21" s="90"/>
      <c r="O21" s="90"/>
      <c r="P21" s="90"/>
      <c r="Q21" s="90"/>
      <c r="R21" s="90"/>
      <c r="S21" s="90"/>
      <c r="T21" s="90"/>
      <c r="U21" s="90"/>
      <c r="V21" s="90"/>
    </row>
    <row r="22" spans="1:22" x14ac:dyDescent="0.3">
      <c r="A22" s="306"/>
      <c r="B22" s="339" t="s">
        <v>110</v>
      </c>
      <c r="C22" s="322"/>
      <c r="D22" s="134">
        <v>446</v>
      </c>
      <c r="E22" s="134">
        <v>15257</v>
      </c>
      <c r="F22" s="134">
        <v>9973</v>
      </c>
      <c r="G22" s="134">
        <v>1213</v>
      </c>
      <c r="H22" s="134">
        <v>4218</v>
      </c>
      <c r="I22" s="134">
        <v>18750</v>
      </c>
      <c r="J22" s="134">
        <v>11</v>
      </c>
      <c r="K22" s="134">
        <v>4417</v>
      </c>
      <c r="L22" s="78">
        <v>54285</v>
      </c>
      <c r="N22" s="90"/>
      <c r="O22" s="90"/>
      <c r="P22" s="90"/>
      <c r="Q22" s="90"/>
      <c r="R22" s="90"/>
      <c r="S22" s="90"/>
      <c r="T22" s="90"/>
      <c r="U22" s="90"/>
      <c r="V22" s="90"/>
    </row>
    <row r="23" spans="1:22" ht="16.5" customHeight="1" x14ac:dyDescent="0.3">
      <c r="A23" s="304" t="s">
        <v>874</v>
      </c>
      <c r="B23" s="307" t="s">
        <v>875</v>
      </c>
      <c r="C23" s="95" t="s">
        <v>876</v>
      </c>
      <c r="D23" s="133">
        <v>121</v>
      </c>
      <c r="E23" s="133">
        <v>699</v>
      </c>
      <c r="F23" s="133">
        <v>1086</v>
      </c>
      <c r="G23" s="133">
        <v>6</v>
      </c>
      <c r="H23" s="133">
        <v>5</v>
      </c>
      <c r="I23" s="133">
        <v>195</v>
      </c>
      <c r="J23" s="133">
        <v>0</v>
      </c>
      <c r="K23" s="133">
        <v>109</v>
      </c>
      <c r="L23" s="77">
        <v>2221</v>
      </c>
      <c r="N23" s="90"/>
      <c r="O23" s="90"/>
      <c r="P23" s="90"/>
      <c r="Q23" s="90"/>
      <c r="R23" s="90"/>
      <c r="S23" s="90"/>
      <c r="T23" s="90"/>
      <c r="U23" s="90"/>
      <c r="V23" s="90"/>
    </row>
    <row r="24" spans="1:22" x14ac:dyDescent="0.3">
      <c r="A24" s="305"/>
      <c r="B24" s="323"/>
      <c r="C24" s="95" t="s">
        <v>877</v>
      </c>
      <c r="D24" s="133">
        <v>11</v>
      </c>
      <c r="E24" s="133">
        <v>61</v>
      </c>
      <c r="F24" s="133">
        <v>323</v>
      </c>
      <c r="G24" s="133">
        <v>0</v>
      </c>
      <c r="H24" s="133">
        <v>8</v>
      </c>
      <c r="I24" s="133">
        <v>48</v>
      </c>
      <c r="J24" s="133">
        <v>0</v>
      </c>
      <c r="K24" s="133">
        <v>14</v>
      </c>
      <c r="L24" s="77">
        <v>465</v>
      </c>
      <c r="N24" s="90"/>
      <c r="O24" s="90"/>
      <c r="P24" s="90"/>
      <c r="Q24" s="90"/>
      <c r="R24" s="90"/>
      <c r="S24" s="90"/>
      <c r="T24" s="90"/>
      <c r="U24" s="90"/>
      <c r="V24" s="90"/>
    </row>
    <row r="25" spans="1:22" x14ac:dyDescent="0.3">
      <c r="A25" s="305"/>
      <c r="B25" s="323"/>
      <c r="C25" s="95" t="s">
        <v>878</v>
      </c>
      <c r="D25" s="133">
        <v>46</v>
      </c>
      <c r="E25" s="133">
        <v>73</v>
      </c>
      <c r="F25" s="133">
        <v>496</v>
      </c>
      <c r="G25" s="133">
        <v>1</v>
      </c>
      <c r="H25" s="133">
        <v>3</v>
      </c>
      <c r="I25" s="133">
        <v>73</v>
      </c>
      <c r="J25" s="133">
        <v>2</v>
      </c>
      <c r="K25" s="133">
        <v>20</v>
      </c>
      <c r="L25" s="77">
        <v>715</v>
      </c>
      <c r="N25" s="90"/>
      <c r="O25" s="90"/>
      <c r="P25" s="90"/>
      <c r="Q25" s="90"/>
      <c r="R25" s="90"/>
      <c r="S25" s="90"/>
      <c r="T25" s="90"/>
      <c r="U25" s="90"/>
      <c r="V25" s="90"/>
    </row>
    <row r="26" spans="1:22" x14ac:dyDescent="0.3">
      <c r="A26" s="305"/>
      <c r="B26" s="323"/>
      <c r="C26" s="95" t="s">
        <v>879</v>
      </c>
      <c r="D26" s="133">
        <v>149</v>
      </c>
      <c r="E26" s="133">
        <v>423</v>
      </c>
      <c r="F26" s="133">
        <v>3278</v>
      </c>
      <c r="G26" s="133">
        <v>0</v>
      </c>
      <c r="H26" s="133">
        <v>7</v>
      </c>
      <c r="I26" s="133">
        <v>61</v>
      </c>
      <c r="J26" s="133">
        <v>0</v>
      </c>
      <c r="K26" s="133">
        <v>72</v>
      </c>
      <c r="L26" s="77">
        <v>3990</v>
      </c>
      <c r="N26" s="90"/>
      <c r="O26" s="90"/>
      <c r="P26" s="90"/>
      <c r="Q26" s="90"/>
      <c r="R26" s="90"/>
      <c r="S26" s="90"/>
      <c r="T26" s="90"/>
      <c r="U26" s="90"/>
      <c r="V26" s="90"/>
    </row>
    <row r="27" spans="1:22" x14ac:dyDescent="0.3">
      <c r="A27" s="305"/>
      <c r="B27" s="323"/>
      <c r="C27" s="95" t="s">
        <v>880</v>
      </c>
      <c r="D27" s="133">
        <v>4</v>
      </c>
      <c r="E27" s="133">
        <v>533</v>
      </c>
      <c r="F27" s="133">
        <v>1254</v>
      </c>
      <c r="G27" s="133">
        <v>0</v>
      </c>
      <c r="H27" s="133">
        <v>5</v>
      </c>
      <c r="I27" s="133">
        <v>97</v>
      </c>
      <c r="J27" s="133">
        <v>0</v>
      </c>
      <c r="K27" s="133">
        <v>63</v>
      </c>
      <c r="L27" s="77">
        <v>1957</v>
      </c>
      <c r="N27" s="90"/>
      <c r="O27" s="90"/>
      <c r="P27" s="90"/>
      <c r="Q27" s="90"/>
      <c r="R27" s="90"/>
      <c r="S27" s="90"/>
      <c r="T27" s="90"/>
      <c r="U27" s="90"/>
      <c r="V27" s="90"/>
    </row>
    <row r="28" spans="1:22" x14ac:dyDescent="0.3">
      <c r="A28" s="305"/>
      <c r="B28" s="323"/>
      <c r="C28" s="95" t="s">
        <v>881</v>
      </c>
      <c r="D28" s="133">
        <v>5</v>
      </c>
      <c r="E28" s="133">
        <v>70</v>
      </c>
      <c r="F28" s="133">
        <v>358</v>
      </c>
      <c r="G28" s="133">
        <v>2</v>
      </c>
      <c r="H28" s="133">
        <v>57</v>
      </c>
      <c r="I28" s="133">
        <v>278</v>
      </c>
      <c r="J28" s="133">
        <v>0</v>
      </c>
      <c r="K28" s="133">
        <v>15</v>
      </c>
      <c r="L28" s="77">
        <v>786</v>
      </c>
      <c r="N28" s="90"/>
      <c r="O28" s="90"/>
      <c r="P28" s="90"/>
      <c r="Q28" s="90"/>
      <c r="R28" s="90"/>
      <c r="S28" s="90"/>
      <c r="T28" s="90"/>
      <c r="U28" s="90"/>
      <c r="V28" s="90"/>
    </row>
    <row r="29" spans="1:22" x14ac:dyDescent="0.3">
      <c r="A29" s="305"/>
      <c r="B29" s="323"/>
      <c r="C29" s="95" t="s">
        <v>882</v>
      </c>
      <c r="D29" s="133">
        <v>35</v>
      </c>
      <c r="E29" s="133">
        <v>286</v>
      </c>
      <c r="F29" s="133">
        <v>304</v>
      </c>
      <c r="G29" s="133">
        <v>0</v>
      </c>
      <c r="H29" s="133">
        <v>11</v>
      </c>
      <c r="I29" s="133">
        <v>231</v>
      </c>
      <c r="J29" s="133">
        <v>0</v>
      </c>
      <c r="K29" s="133">
        <v>168</v>
      </c>
      <c r="L29" s="77">
        <v>1035</v>
      </c>
      <c r="N29" s="90"/>
      <c r="O29" s="90"/>
      <c r="P29" s="90"/>
      <c r="Q29" s="90"/>
      <c r="R29" s="90"/>
      <c r="S29" s="90"/>
      <c r="T29" s="90"/>
      <c r="U29" s="90"/>
      <c r="V29" s="90"/>
    </row>
    <row r="30" spans="1:22" x14ac:dyDescent="0.3">
      <c r="A30" s="305"/>
      <c r="B30" s="323"/>
      <c r="C30" s="95" t="s">
        <v>883</v>
      </c>
      <c r="D30" s="133">
        <v>0</v>
      </c>
      <c r="E30" s="133">
        <v>67</v>
      </c>
      <c r="F30" s="133">
        <v>420</v>
      </c>
      <c r="G30" s="133">
        <v>0</v>
      </c>
      <c r="H30" s="133">
        <v>0</v>
      </c>
      <c r="I30" s="133">
        <v>271</v>
      </c>
      <c r="J30" s="133">
        <v>0</v>
      </c>
      <c r="K30" s="133">
        <v>11</v>
      </c>
      <c r="L30" s="77">
        <v>769</v>
      </c>
      <c r="N30" s="90"/>
      <c r="O30" s="90"/>
      <c r="P30" s="90"/>
      <c r="Q30" s="90"/>
      <c r="R30" s="90"/>
      <c r="S30" s="90"/>
      <c r="T30" s="90"/>
      <c r="U30" s="90"/>
      <c r="V30" s="90"/>
    </row>
    <row r="31" spans="1:22" x14ac:dyDescent="0.3">
      <c r="A31" s="305"/>
      <c r="B31" s="308"/>
      <c r="C31" s="95" t="s">
        <v>884</v>
      </c>
      <c r="D31" s="133">
        <v>412</v>
      </c>
      <c r="E31" s="133">
        <v>1015</v>
      </c>
      <c r="F31" s="133">
        <v>791</v>
      </c>
      <c r="G31" s="133">
        <v>16</v>
      </c>
      <c r="H31" s="133">
        <v>115</v>
      </c>
      <c r="I31" s="133">
        <v>328</v>
      </c>
      <c r="J31" s="133">
        <v>7</v>
      </c>
      <c r="K31" s="133">
        <v>107</v>
      </c>
      <c r="L31" s="77">
        <v>2791</v>
      </c>
      <c r="N31" s="90"/>
      <c r="O31" s="90"/>
      <c r="P31" s="90"/>
      <c r="Q31" s="90"/>
      <c r="R31" s="90"/>
      <c r="S31" s="90"/>
      <c r="T31" s="90"/>
      <c r="U31" s="90"/>
      <c r="V31" s="90"/>
    </row>
    <row r="32" spans="1:22" x14ac:dyDescent="0.3">
      <c r="A32" s="305"/>
      <c r="B32" s="307" t="s">
        <v>885</v>
      </c>
      <c r="C32" s="95" t="s">
        <v>886</v>
      </c>
      <c r="D32" s="133">
        <v>185</v>
      </c>
      <c r="E32" s="133">
        <v>825</v>
      </c>
      <c r="F32" s="133">
        <v>1693</v>
      </c>
      <c r="G32" s="133">
        <v>0</v>
      </c>
      <c r="H32" s="133">
        <v>152</v>
      </c>
      <c r="I32" s="133">
        <v>1271</v>
      </c>
      <c r="J32" s="133">
        <v>0</v>
      </c>
      <c r="K32" s="133">
        <v>501</v>
      </c>
      <c r="L32" s="77">
        <v>4627</v>
      </c>
      <c r="N32" s="90"/>
      <c r="O32" s="90"/>
      <c r="P32" s="90"/>
      <c r="Q32" s="90"/>
      <c r="R32" s="90"/>
      <c r="S32" s="90"/>
      <c r="T32" s="90"/>
      <c r="U32" s="90"/>
      <c r="V32" s="90"/>
    </row>
    <row r="33" spans="1:22" x14ac:dyDescent="0.3">
      <c r="A33" s="305"/>
      <c r="B33" s="323"/>
      <c r="C33" s="95" t="s">
        <v>887</v>
      </c>
      <c r="D33" s="133">
        <v>14</v>
      </c>
      <c r="E33" s="133">
        <v>522</v>
      </c>
      <c r="F33" s="133">
        <v>2225</v>
      </c>
      <c r="G33" s="133">
        <v>0</v>
      </c>
      <c r="H33" s="133">
        <v>21</v>
      </c>
      <c r="I33" s="133">
        <v>467</v>
      </c>
      <c r="J33" s="133">
        <v>0</v>
      </c>
      <c r="K33" s="133">
        <v>171</v>
      </c>
      <c r="L33" s="77">
        <v>3421</v>
      </c>
      <c r="N33" s="90"/>
      <c r="O33" s="90"/>
      <c r="P33" s="90"/>
      <c r="Q33" s="90"/>
      <c r="R33" s="90"/>
      <c r="S33" s="90"/>
      <c r="T33" s="90"/>
      <c r="U33" s="90"/>
      <c r="V33" s="90"/>
    </row>
    <row r="34" spans="1:22" x14ac:dyDescent="0.3">
      <c r="A34" s="305"/>
      <c r="B34" s="323"/>
      <c r="C34" s="95" t="s">
        <v>888</v>
      </c>
      <c r="D34" s="133">
        <v>15</v>
      </c>
      <c r="E34" s="133">
        <v>80</v>
      </c>
      <c r="F34" s="133">
        <v>695</v>
      </c>
      <c r="G34" s="133">
        <v>0</v>
      </c>
      <c r="H34" s="133">
        <v>2</v>
      </c>
      <c r="I34" s="133">
        <v>261</v>
      </c>
      <c r="J34" s="133">
        <v>0</v>
      </c>
      <c r="K34" s="133">
        <v>31</v>
      </c>
      <c r="L34" s="77">
        <v>1084</v>
      </c>
      <c r="N34" s="90"/>
      <c r="O34" s="90"/>
      <c r="P34" s="90"/>
      <c r="Q34" s="90"/>
      <c r="R34" s="90"/>
      <c r="S34" s="90"/>
      <c r="T34" s="90"/>
      <c r="U34" s="90"/>
      <c r="V34" s="90"/>
    </row>
    <row r="35" spans="1:22" x14ac:dyDescent="0.3">
      <c r="A35" s="305"/>
      <c r="B35" s="323"/>
      <c r="C35" s="95" t="s">
        <v>889</v>
      </c>
      <c r="D35" s="133">
        <v>3</v>
      </c>
      <c r="E35" s="133">
        <v>48</v>
      </c>
      <c r="F35" s="133">
        <v>250</v>
      </c>
      <c r="G35" s="133">
        <v>0</v>
      </c>
      <c r="H35" s="133">
        <v>10</v>
      </c>
      <c r="I35" s="133">
        <v>97</v>
      </c>
      <c r="J35" s="133">
        <v>0</v>
      </c>
      <c r="K35" s="133">
        <v>24</v>
      </c>
      <c r="L35" s="77">
        <v>433</v>
      </c>
      <c r="N35" s="90"/>
      <c r="O35" s="90"/>
      <c r="P35" s="90"/>
      <c r="Q35" s="90"/>
      <c r="R35" s="90"/>
      <c r="S35" s="90"/>
      <c r="T35" s="90"/>
      <c r="U35" s="90"/>
      <c r="V35" s="90"/>
    </row>
    <row r="36" spans="1:22" x14ac:dyDescent="0.3">
      <c r="A36" s="305"/>
      <c r="B36" s="323"/>
      <c r="C36" s="95" t="s">
        <v>890</v>
      </c>
      <c r="D36" s="133">
        <v>46</v>
      </c>
      <c r="E36" s="133">
        <v>398</v>
      </c>
      <c r="F36" s="133">
        <v>827</v>
      </c>
      <c r="G36" s="133">
        <v>22</v>
      </c>
      <c r="H36" s="133">
        <v>77</v>
      </c>
      <c r="I36" s="133">
        <v>853</v>
      </c>
      <c r="J36" s="133">
        <v>0</v>
      </c>
      <c r="K36" s="133">
        <v>88</v>
      </c>
      <c r="L36" s="77">
        <v>2312</v>
      </c>
      <c r="N36" s="90"/>
      <c r="O36" s="90"/>
      <c r="P36" s="90"/>
      <c r="Q36" s="90"/>
      <c r="R36" s="90"/>
      <c r="S36" s="90"/>
      <c r="T36" s="90"/>
      <c r="U36" s="90"/>
      <c r="V36" s="90"/>
    </row>
    <row r="37" spans="1:22" x14ac:dyDescent="0.3">
      <c r="A37" s="305"/>
      <c r="B37" s="323"/>
      <c r="C37" s="95" t="s">
        <v>891</v>
      </c>
      <c r="D37" s="133">
        <v>3</v>
      </c>
      <c r="E37" s="133">
        <v>597</v>
      </c>
      <c r="F37" s="133">
        <v>416</v>
      </c>
      <c r="G37" s="133">
        <v>0</v>
      </c>
      <c r="H37" s="133">
        <v>5</v>
      </c>
      <c r="I37" s="133">
        <v>27</v>
      </c>
      <c r="J37" s="133">
        <v>0</v>
      </c>
      <c r="K37" s="133">
        <v>21</v>
      </c>
      <c r="L37" s="77">
        <v>1069</v>
      </c>
      <c r="N37" s="90"/>
      <c r="O37" s="90"/>
      <c r="P37" s="90"/>
      <c r="Q37" s="90"/>
      <c r="R37" s="90"/>
      <c r="S37" s="90"/>
      <c r="T37" s="90"/>
      <c r="U37" s="90"/>
      <c r="V37" s="90"/>
    </row>
    <row r="38" spans="1:22" x14ac:dyDescent="0.3">
      <c r="A38" s="305"/>
      <c r="B38" s="323"/>
      <c r="C38" s="95" t="s">
        <v>892</v>
      </c>
      <c r="D38" s="133">
        <v>35</v>
      </c>
      <c r="E38" s="133">
        <v>551</v>
      </c>
      <c r="F38" s="133">
        <v>2111</v>
      </c>
      <c r="G38" s="133">
        <v>0</v>
      </c>
      <c r="H38" s="133">
        <v>116</v>
      </c>
      <c r="I38" s="133">
        <v>1536</v>
      </c>
      <c r="J38" s="133">
        <v>0</v>
      </c>
      <c r="K38" s="133">
        <v>478</v>
      </c>
      <c r="L38" s="77">
        <v>4827</v>
      </c>
      <c r="N38" s="90"/>
      <c r="O38" s="90"/>
      <c r="P38" s="90"/>
      <c r="Q38" s="90"/>
      <c r="R38" s="90"/>
      <c r="S38" s="90"/>
      <c r="T38" s="90"/>
      <c r="U38" s="90"/>
      <c r="V38" s="90"/>
    </row>
    <row r="39" spans="1:22" x14ac:dyDescent="0.3">
      <c r="A39" s="305"/>
      <c r="B39" s="323"/>
      <c r="C39" s="95" t="s">
        <v>893</v>
      </c>
      <c r="D39" s="133">
        <v>44</v>
      </c>
      <c r="E39" s="133">
        <v>227</v>
      </c>
      <c r="F39" s="133">
        <v>395</v>
      </c>
      <c r="G39" s="133">
        <v>2</v>
      </c>
      <c r="H39" s="133">
        <v>10</v>
      </c>
      <c r="I39" s="133">
        <v>247</v>
      </c>
      <c r="J39" s="133">
        <v>0</v>
      </c>
      <c r="K39" s="133">
        <v>30</v>
      </c>
      <c r="L39" s="77">
        <v>955</v>
      </c>
      <c r="N39" s="90"/>
      <c r="O39" s="90"/>
      <c r="P39" s="90"/>
      <c r="Q39" s="90"/>
      <c r="R39" s="90"/>
      <c r="S39" s="90"/>
      <c r="T39" s="90"/>
      <c r="U39" s="90"/>
      <c r="V39" s="90"/>
    </row>
    <row r="40" spans="1:22" x14ac:dyDescent="0.3">
      <c r="A40" s="305"/>
      <c r="B40" s="308"/>
      <c r="C40" s="95" t="s">
        <v>894</v>
      </c>
      <c r="D40" s="133">
        <v>740</v>
      </c>
      <c r="E40" s="133">
        <v>1406</v>
      </c>
      <c r="F40" s="133">
        <v>2762</v>
      </c>
      <c r="G40" s="133">
        <v>39</v>
      </c>
      <c r="H40" s="133">
        <v>177</v>
      </c>
      <c r="I40" s="133">
        <v>2326</v>
      </c>
      <c r="J40" s="133">
        <v>1</v>
      </c>
      <c r="K40" s="133">
        <v>606</v>
      </c>
      <c r="L40" s="77">
        <v>8058</v>
      </c>
      <c r="N40" s="90"/>
      <c r="O40" s="90"/>
      <c r="P40" s="90"/>
      <c r="Q40" s="90"/>
      <c r="R40" s="90"/>
      <c r="S40" s="90"/>
      <c r="T40" s="90"/>
      <c r="U40" s="90"/>
      <c r="V40" s="90"/>
    </row>
    <row r="41" spans="1:22" x14ac:dyDescent="0.3">
      <c r="A41" s="305"/>
      <c r="B41" s="307" t="s">
        <v>895</v>
      </c>
      <c r="C41" s="95" t="s">
        <v>896</v>
      </c>
      <c r="D41" s="133">
        <v>341</v>
      </c>
      <c r="E41" s="133">
        <v>42</v>
      </c>
      <c r="F41" s="133">
        <v>217</v>
      </c>
      <c r="G41" s="133">
        <v>0</v>
      </c>
      <c r="H41" s="133">
        <v>0</v>
      </c>
      <c r="I41" s="133">
        <v>59</v>
      </c>
      <c r="J41" s="133">
        <v>0</v>
      </c>
      <c r="K41" s="133">
        <v>3</v>
      </c>
      <c r="L41" s="77">
        <v>661</v>
      </c>
      <c r="N41" s="90"/>
      <c r="O41" s="90"/>
      <c r="P41" s="90"/>
      <c r="Q41" s="90"/>
      <c r="R41" s="90"/>
      <c r="S41" s="90"/>
      <c r="T41" s="90"/>
      <c r="U41" s="90"/>
      <c r="V41" s="90"/>
    </row>
    <row r="42" spans="1:22" x14ac:dyDescent="0.3">
      <c r="A42" s="305"/>
      <c r="B42" s="323"/>
      <c r="C42" s="168" t="s">
        <v>897</v>
      </c>
      <c r="D42" s="223">
        <v>2406</v>
      </c>
      <c r="E42" s="223">
        <v>196</v>
      </c>
      <c r="F42" s="223">
        <v>601</v>
      </c>
      <c r="G42" s="223">
        <v>0</v>
      </c>
      <c r="H42" s="223">
        <v>16</v>
      </c>
      <c r="I42" s="223">
        <v>288</v>
      </c>
      <c r="J42" s="223">
        <v>2</v>
      </c>
      <c r="K42" s="223">
        <v>43</v>
      </c>
      <c r="L42" s="216">
        <v>3553</v>
      </c>
      <c r="N42" s="90"/>
      <c r="O42" s="90"/>
      <c r="P42" s="90"/>
      <c r="Q42" s="90"/>
      <c r="R42" s="90"/>
      <c r="S42" s="90"/>
      <c r="T42" s="90"/>
      <c r="U42" s="90"/>
      <c r="V42" s="90"/>
    </row>
    <row r="43" spans="1:22" x14ac:dyDescent="0.3">
      <c r="A43" s="305"/>
      <c r="B43" s="323"/>
      <c r="C43" s="95" t="s">
        <v>898</v>
      </c>
      <c r="D43" s="133">
        <v>349</v>
      </c>
      <c r="E43" s="133">
        <v>31</v>
      </c>
      <c r="F43" s="133">
        <v>491</v>
      </c>
      <c r="G43" s="133">
        <v>1</v>
      </c>
      <c r="H43" s="133">
        <v>10</v>
      </c>
      <c r="I43" s="133">
        <v>180</v>
      </c>
      <c r="J43" s="133">
        <v>0</v>
      </c>
      <c r="K43" s="133">
        <v>15</v>
      </c>
      <c r="L43" s="77">
        <v>1077</v>
      </c>
      <c r="N43" s="90"/>
      <c r="O43" s="90"/>
      <c r="P43" s="90"/>
      <c r="Q43" s="90"/>
      <c r="R43" s="90"/>
      <c r="S43" s="90"/>
      <c r="T43" s="90"/>
      <c r="U43" s="90"/>
      <c r="V43" s="90"/>
    </row>
    <row r="44" spans="1:22" x14ac:dyDescent="0.3">
      <c r="A44" s="305"/>
      <c r="B44" s="323"/>
      <c r="C44" s="95" t="s">
        <v>899</v>
      </c>
      <c r="D44" s="133">
        <v>30</v>
      </c>
      <c r="E44" s="133">
        <v>204</v>
      </c>
      <c r="F44" s="133">
        <v>361</v>
      </c>
      <c r="G44" s="133">
        <v>39</v>
      </c>
      <c r="H44" s="133">
        <v>93</v>
      </c>
      <c r="I44" s="133">
        <v>90</v>
      </c>
      <c r="J44" s="133">
        <v>0</v>
      </c>
      <c r="K44" s="133">
        <v>20</v>
      </c>
      <c r="L44" s="77">
        <v>836</v>
      </c>
      <c r="N44" s="90"/>
      <c r="O44" s="90"/>
      <c r="P44" s="90"/>
      <c r="Q44" s="90"/>
      <c r="R44" s="90"/>
      <c r="S44" s="90"/>
      <c r="T44" s="90"/>
      <c r="U44" s="90"/>
      <c r="V44" s="90"/>
    </row>
    <row r="45" spans="1:22" x14ac:dyDescent="0.3">
      <c r="A45" s="305"/>
      <c r="B45" s="308"/>
      <c r="C45" s="95" t="s">
        <v>900</v>
      </c>
      <c r="D45" s="133">
        <v>3558</v>
      </c>
      <c r="E45" s="133">
        <v>292</v>
      </c>
      <c r="F45" s="133">
        <v>842</v>
      </c>
      <c r="G45" s="133">
        <v>7</v>
      </c>
      <c r="H45" s="133">
        <v>47</v>
      </c>
      <c r="I45" s="133">
        <v>629</v>
      </c>
      <c r="J45" s="133">
        <v>91</v>
      </c>
      <c r="K45" s="133">
        <v>134</v>
      </c>
      <c r="L45" s="77">
        <v>5600</v>
      </c>
      <c r="N45" s="90"/>
      <c r="O45" s="90"/>
      <c r="P45" s="90"/>
      <c r="Q45" s="90"/>
      <c r="R45" s="90"/>
      <c r="S45" s="90"/>
      <c r="T45" s="90"/>
      <c r="U45" s="90"/>
      <c r="V45" s="90"/>
    </row>
    <row r="46" spans="1:22" x14ac:dyDescent="0.3">
      <c r="A46" s="306"/>
      <c r="B46" s="339" t="s">
        <v>110</v>
      </c>
      <c r="C46" s="322"/>
      <c r="D46" s="134">
        <v>8553</v>
      </c>
      <c r="E46" s="134">
        <v>8649</v>
      </c>
      <c r="F46" s="134">
        <v>22196</v>
      </c>
      <c r="G46" s="134">
        <v>136</v>
      </c>
      <c r="H46" s="134">
        <v>947</v>
      </c>
      <c r="I46" s="134">
        <v>9912</v>
      </c>
      <c r="J46" s="134">
        <v>103</v>
      </c>
      <c r="K46" s="134">
        <v>2744</v>
      </c>
      <c r="L46" s="78">
        <v>53240</v>
      </c>
      <c r="N46" s="90"/>
      <c r="O46" s="90"/>
      <c r="P46" s="90"/>
      <c r="Q46" s="90"/>
      <c r="R46" s="90"/>
      <c r="S46" s="90"/>
      <c r="T46" s="90"/>
      <c r="U46" s="90"/>
      <c r="V46" s="90"/>
    </row>
    <row r="47" spans="1:22" ht="16.5" customHeight="1" x14ac:dyDescent="0.3">
      <c r="A47" s="304" t="s">
        <v>901</v>
      </c>
      <c r="B47" s="307" t="s">
        <v>902</v>
      </c>
      <c r="C47" s="95" t="s">
        <v>903</v>
      </c>
      <c r="D47" s="133">
        <v>0</v>
      </c>
      <c r="E47" s="133">
        <v>269</v>
      </c>
      <c r="F47" s="133">
        <v>1093</v>
      </c>
      <c r="G47" s="133">
        <v>0</v>
      </c>
      <c r="H47" s="133">
        <v>29</v>
      </c>
      <c r="I47" s="133">
        <v>139</v>
      </c>
      <c r="J47" s="133">
        <v>0</v>
      </c>
      <c r="K47" s="133">
        <v>84</v>
      </c>
      <c r="L47" s="77">
        <v>1614</v>
      </c>
      <c r="N47" s="90"/>
      <c r="O47" s="90"/>
      <c r="P47" s="90"/>
      <c r="Q47" s="90"/>
      <c r="R47" s="90"/>
      <c r="S47" s="90"/>
      <c r="T47" s="90"/>
      <c r="U47" s="90"/>
      <c r="V47" s="90"/>
    </row>
    <row r="48" spans="1:22" x14ac:dyDescent="0.3">
      <c r="A48" s="305"/>
      <c r="B48" s="323"/>
      <c r="C48" s="95" t="s">
        <v>904</v>
      </c>
      <c r="D48" s="133">
        <v>0</v>
      </c>
      <c r="E48" s="133">
        <v>5</v>
      </c>
      <c r="F48" s="133">
        <v>76</v>
      </c>
      <c r="G48" s="133">
        <v>0</v>
      </c>
      <c r="H48" s="133">
        <v>0</v>
      </c>
      <c r="I48" s="133">
        <v>0</v>
      </c>
      <c r="J48" s="133">
        <v>0</v>
      </c>
      <c r="K48" s="133">
        <v>0</v>
      </c>
      <c r="L48" s="77">
        <v>81</v>
      </c>
      <c r="N48" s="90"/>
      <c r="O48" s="90"/>
      <c r="P48" s="90"/>
      <c r="Q48" s="90"/>
      <c r="R48" s="90"/>
      <c r="S48" s="90"/>
      <c r="T48" s="90"/>
      <c r="U48" s="90"/>
      <c r="V48" s="90"/>
    </row>
    <row r="49" spans="1:22" x14ac:dyDescent="0.3">
      <c r="A49" s="305"/>
      <c r="B49" s="323"/>
      <c r="C49" s="95" t="s">
        <v>905</v>
      </c>
      <c r="D49" s="133">
        <v>0</v>
      </c>
      <c r="E49" s="133">
        <v>38</v>
      </c>
      <c r="F49" s="133">
        <v>52</v>
      </c>
      <c r="G49" s="133">
        <v>0</v>
      </c>
      <c r="H49" s="133">
        <v>10</v>
      </c>
      <c r="I49" s="133">
        <v>81</v>
      </c>
      <c r="J49" s="133">
        <v>0</v>
      </c>
      <c r="K49" s="133">
        <v>14</v>
      </c>
      <c r="L49" s="77">
        <v>196</v>
      </c>
      <c r="N49" s="90"/>
      <c r="O49" s="90"/>
      <c r="P49" s="90"/>
      <c r="Q49" s="90"/>
      <c r="R49" s="90"/>
      <c r="S49" s="90"/>
      <c r="T49" s="90"/>
      <c r="U49" s="90"/>
      <c r="V49" s="90"/>
    </row>
    <row r="50" spans="1:22" x14ac:dyDescent="0.3">
      <c r="A50" s="305"/>
      <c r="B50" s="323"/>
      <c r="C50" s="95" t="s">
        <v>906</v>
      </c>
      <c r="D50" s="133">
        <v>0</v>
      </c>
      <c r="E50" s="133">
        <v>18</v>
      </c>
      <c r="F50" s="133">
        <v>350</v>
      </c>
      <c r="G50" s="133">
        <v>0</v>
      </c>
      <c r="H50" s="133">
        <v>42</v>
      </c>
      <c r="I50" s="133">
        <v>15</v>
      </c>
      <c r="J50" s="133">
        <v>0</v>
      </c>
      <c r="K50" s="133">
        <v>11</v>
      </c>
      <c r="L50" s="77">
        <v>437</v>
      </c>
      <c r="N50" s="90"/>
      <c r="O50" s="90"/>
      <c r="P50" s="90"/>
      <c r="Q50" s="90"/>
      <c r="R50" s="90"/>
      <c r="S50" s="90"/>
      <c r="T50" s="90"/>
      <c r="U50" s="90"/>
      <c r="V50" s="90"/>
    </row>
    <row r="51" spans="1:22" x14ac:dyDescent="0.3">
      <c r="A51" s="305"/>
      <c r="B51" s="308"/>
      <c r="C51" s="95" t="s">
        <v>907</v>
      </c>
      <c r="D51" s="133">
        <v>0</v>
      </c>
      <c r="E51" s="133">
        <v>175</v>
      </c>
      <c r="F51" s="133">
        <v>203</v>
      </c>
      <c r="G51" s="133">
        <v>0</v>
      </c>
      <c r="H51" s="133">
        <v>3</v>
      </c>
      <c r="I51" s="133">
        <v>103</v>
      </c>
      <c r="J51" s="133">
        <v>0</v>
      </c>
      <c r="K51" s="133">
        <v>44</v>
      </c>
      <c r="L51" s="77">
        <v>528</v>
      </c>
      <c r="N51" s="90"/>
      <c r="O51" s="90"/>
      <c r="P51" s="90"/>
      <c r="Q51" s="90"/>
      <c r="R51" s="90"/>
      <c r="S51" s="90"/>
      <c r="T51" s="90"/>
      <c r="U51" s="90"/>
      <c r="V51" s="90"/>
    </row>
    <row r="52" spans="1:22" ht="33" x14ac:dyDescent="0.3">
      <c r="A52" s="305"/>
      <c r="B52" s="307" t="s">
        <v>908</v>
      </c>
      <c r="C52" s="168" t="s">
        <v>909</v>
      </c>
      <c r="D52" s="223">
        <v>0</v>
      </c>
      <c r="E52" s="223">
        <v>581</v>
      </c>
      <c r="F52" s="223">
        <v>1891</v>
      </c>
      <c r="G52" s="223">
        <v>10</v>
      </c>
      <c r="H52" s="223">
        <v>250</v>
      </c>
      <c r="I52" s="223">
        <v>1281</v>
      </c>
      <c r="J52" s="223">
        <v>0</v>
      </c>
      <c r="K52" s="223">
        <v>535</v>
      </c>
      <c r="L52" s="216">
        <v>4548</v>
      </c>
      <c r="N52" s="90"/>
      <c r="O52" s="90"/>
      <c r="P52" s="90"/>
      <c r="Q52" s="90"/>
      <c r="R52" s="90"/>
      <c r="S52" s="90"/>
      <c r="T52" s="90"/>
      <c r="U52" s="90"/>
      <c r="V52" s="90"/>
    </row>
    <row r="53" spans="1:22" x14ac:dyDescent="0.3">
      <c r="A53" s="305"/>
      <c r="B53" s="308"/>
      <c r="C53" s="95" t="s">
        <v>910</v>
      </c>
      <c r="D53" s="133">
        <v>5</v>
      </c>
      <c r="E53" s="133">
        <v>355</v>
      </c>
      <c r="F53" s="133">
        <v>868</v>
      </c>
      <c r="G53" s="133">
        <v>12</v>
      </c>
      <c r="H53" s="133">
        <v>187</v>
      </c>
      <c r="I53" s="133">
        <v>534</v>
      </c>
      <c r="J53" s="133">
        <v>0</v>
      </c>
      <c r="K53" s="133">
        <v>100</v>
      </c>
      <c r="L53" s="77">
        <v>2061</v>
      </c>
      <c r="N53" s="90"/>
      <c r="O53" s="90"/>
      <c r="P53" s="90"/>
      <c r="Q53" s="90"/>
      <c r="R53" s="90"/>
      <c r="S53" s="90"/>
      <c r="T53" s="90"/>
      <c r="U53" s="90"/>
      <c r="V53" s="90"/>
    </row>
    <row r="54" spans="1:22" x14ac:dyDescent="0.3">
      <c r="A54" s="305"/>
      <c r="B54" s="307" t="s">
        <v>911</v>
      </c>
      <c r="C54" s="95" t="s">
        <v>912</v>
      </c>
      <c r="D54" s="133">
        <v>0</v>
      </c>
      <c r="E54" s="133">
        <v>197</v>
      </c>
      <c r="F54" s="133">
        <v>189</v>
      </c>
      <c r="G54" s="133">
        <v>0</v>
      </c>
      <c r="H54" s="133">
        <v>0</v>
      </c>
      <c r="I54" s="133">
        <v>85</v>
      </c>
      <c r="J54" s="133">
        <v>0</v>
      </c>
      <c r="K54" s="133">
        <v>5</v>
      </c>
      <c r="L54" s="77">
        <v>476</v>
      </c>
      <c r="N54" s="90"/>
      <c r="O54" s="90"/>
      <c r="P54" s="90"/>
      <c r="Q54" s="90"/>
      <c r="R54" s="90"/>
      <c r="S54" s="90"/>
      <c r="T54" s="90"/>
      <c r="U54" s="90"/>
      <c r="V54" s="90"/>
    </row>
    <row r="55" spans="1:22" x14ac:dyDescent="0.3">
      <c r="A55" s="305"/>
      <c r="B55" s="323"/>
      <c r="C55" s="95" t="s">
        <v>913</v>
      </c>
      <c r="D55" s="133">
        <v>0</v>
      </c>
      <c r="E55" s="133">
        <v>15</v>
      </c>
      <c r="F55" s="133">
        <v>235</v>
      </c>
      <c r="G55" s="133">
        <v>0</v>
      </c>
      <c r="H55" s="133">
        <v>38</v>
      </c>
      <c r="I55" s="133">
        <v>122</v>
      </c>
      <c r="J55" s="133">
        <v>0</v>
      </c>
      <c r="K55" s="133">
        <v>0</v>
      </c>
      <c r="L55" s="77">
        <v>411</v>
      </c>
      <c r="N55" s="90"/>
      <c r="O55" s="90"/>
      <c r="P55" s="90"/>
      <c r="Q55" s="90"/>
      <c r="R55" s="90"/>
      <c r="S55" s="90"/>
      <c r="T55" s="90"/>
      <c r="U55" s="90"/>
      <c r="V55" s="90"/>
    </row>
    <row r="56" spans="1:22" x14ac:dyDescent="0.3">
      <c r="A56" s="305"/>
      <c r="B56" s="308"/>
      <c r="C56" s="95" t="s">
        <v>914</v>
      </c>
      <c r="D56" s="133">
        <v>0</v>
      </c>
      <c r="E56" s="133">
        <v>182</v>
      </c>
      <c r="F56" s="133">
        <v>101</v>
      </c>
      <c r="G56" s="133">
        <v>0</v>
      </c>
      <c r="H56" s="133">
        <v>0</v>
      </c>
      <c r="I56" s="133">
        <v>49</v>
      </c>
      <c r="J56" s="133">
        <v>0</v>
      </c>
      <c r="K56" s="133">
        <v>7</v>
      </c>
      <c r="L56" s="77">
        <v>339</v>
      </c>
      <c r="N56" s="90"/>
      <c r="O56" s="90"/>
      <c r="P56" s="90"/>
      <c r="Q56" s="90"/>
      <c r="R56" s="90"/>
      <c r="S56" s="90"/>
      <c r="T56" s="90"/>
      <c r="U56" s="90"/>
      <c r="V56" s="90"/>
    </row>
    <row r="57" spans="1:22" x14ac:dyDescent="0.3">
      <c r="A57" s="305"/>
      <c r="B57" s="307" t="s">
        <v>984</v>
      </c>
      <c r="C57" s="95" t="s">
        <v>916</v>
      </c>
      <c r="D57" s="133">
        <v>0</v>
      </c>
      <c r="E57" s="133">
        <v>194</v>
      </c>
      <c r="F57" s="133">
        <v>128</v>
      </c>
      <c r="G57" s="133">
        <v>0</v>
      </c>
      <c r="H57" s="133">
        <v>27</v>
      </c>
      <c r="I57" s="133">
        <v>42</v>
      </c>
      <c r="J57" s="133">
        <v>0</v>
      </c>
      <c r="K57" s="133">
        <v>4</v>
      </c>
      <c r="L57" s="77">
        <v>395</v>
      </c>
      <c r="N57" s="90"/>
      <c r="O57" s="90"/>
      <c r="P57" s="90"/>
      <c r="Q57" s="90"/>
      <c r="R57" s="90"/>
      <c r="S57" s="90"/>
      <c r="T57" s="90"/>
      <c r="U57" s="90"/>
      <c r="V57" s="90"/>
    </row>
    <row r="58" spans="1:22" x14ac:dyDescent="0.3">
      <c r="A58" s="305"/>
      <c r="B58" s="323"/>
      <c r="C58" s="95" t="s">
        <v>985</v>
      </c>
      <c r="D58" s="133">
        <v>0</v>
      </c>
      <c r="E58" s="133">
        <v>59</v>
      </c>
      <c r="F58" s="133">
        <v>114</v>
      </c>
      <c r="G58" s="133">
        <v>0</v>
      </c>
      <c r="H58" s="133">
        <v>25</v>
      </c>
      <c r="I58" s="133">
        <v>221</v>
      </c>
      <c r="J58" s="133">
        <v>0</v>
      </c>
      <c r="K58" s="133">
        <v>20</v>
      </c>
      <c r="L58" s="77">
        <v>440</v>
      </c>
      <c r="N58" s="90"/>
      <c r="O58" s="90"/>
      <c r="P58" s="90"/>
      <c r="Q58" s="90"/>
      <c r="R58" s="90"/>
      <c r="S58" s="90"/>
      <c r="T58" s="90"/>
      <c r="U58" s="90"/>
      <c r="V58" s="90"/>
    </row>
    <row r="59" spans="1:22" x14ac:dyDescent="0.3">
      <c r="A59" s="305"/>
      <c r="B59" s="323"/>
      <c r="C59" s="95" t="s">
        <v>918</v>
      </c>
      <c r="D59" s="133">
        <v>0</v>
      </c>
      <c r="E59" s="133">
        <v>4</v>
      </c>
      <c r="F59" s="133">
        <v>78</v>
      </c>
      <c r="G59" s="133">
        <v>8</v>
      </c>
      <c r="H59" s="133">
        <v>0</v>
      </c>
      <c r="I59" s="133">
        <v>1</v>
      </c>
      <c r="J59" s="133">
        <v>0</v>
      </c>
      <c r="K59" s="133">
        <v>0</v>
      </c>
      <c r="L59" s="77">
        <v>90</v>
      </c>
      <c r="N59" s="90"/>
      <c r="O59" s="90"/>
      <c r="P59" s="90"/>
      <c r="Q59" s="90"/>
      <c r="R59" s="90"/>
      <c r="S59" s="90"/>
      <c r="T59" s="90"/>
      <c r="U59" s="90"/>
      <c r="V59" s="90"/>
    </row>
    <row r="60" spans="1:22" x14ac:dyDescent="0.3">
      <c r="A60" s="305"/>
      <c r="B60" s="323"/>
      <c r="C60" s="95" t="s">
        <v>919</v>
      </c>
      <c r="D60" s="133">
        <v>0</v>
      </c>
      <c r="E60" s="133">
        <v>57</v>
      </c>
      <c r="F60" s="133">
        <v>118</v>
      </c>
      <c r="G60" s="133">
        <v>0</v>
      </c>
      <c r="H60" s="133">
        <v>0</v>
      </c>
      <c r="I60" s="133">
        <v>59</v>
      </c>
      <c r="J60" s="133">
        <v>0</v>
      </c>
      <c r="K60" s="133">
        <v>3</v>
      </c>
      <c r="L60" s="77">
        <v>238</v>
      </c>
      <c r="N60" s="90"/>
      <c r="O60" s="90"/>
      <c r="P60" s="90"/>
      <c r="Q60" s="90"/>
      <c r="R60" s="90"/>
      <c r="S60" s="90"/>
      <c r="T60" s="90"/>
      <c r="U60" s="90"/>
      <c r="V60" s="90"/>
    </row>
    <row r="61" spans="1:22" x14ac:dyDescent="0.3">
      <c r="A61" s="305"/>
      <c r="B61" s="323"/>
      <c r="C61" s="95" t="s">
        <v>920</v>
      </c>
      <c r="D61" s="133">
        <v>0</v>
      </c>
      <c r="E61" s="133">
        <v>134</v>
      </c>
      <c r="F61" s="133">
        <v>73</v>
      </c>
      <c r="G61" s="133">
        <v>0</v>
      </c>
      <c r="H61" s="133">
        <v>0</v>
      </c>
      <c r="I61" s="133">
        <v>20</v>
      </c>
      <c r="J61" s="133">
        <v>0</v>
      </c>
      <c r="K61" s="133">
        <v>0</v>
      </c>
      <c r="L61" s="77">
        <v>228</v>
      </c>
      <c r="N61" s="90"/>
      <c r="O61" s="90"/>
      <c r="P61" s="90"/>
      <c r="Q61" s="90"/>
      <c r="R61" s="90"/>
      <c r="S61" s="90"/>
      <c r="T61" s="90"/>
      <c r="U61" s="90"/>
      <c r="V61" s="90"/>
    </row>
    <row r="62" spans="1:22" x14ac:dyDescent="0.3">
      <c r="A62" s="305"/>
      <c r="B62" s="323"/>
      <c r="C62" s="95" t="s">
        <v>921</v>
      </c>
      <c r="D62" s="133">
        <v>0</v>
      </c>
      <c r="E62" s="133">
        <v>35</v>
      </c>
      <c r="F62" s="133">
        <v>161</v>
      </c>
      <c r="G62" s="133">
        <v>0</v>
      </c>
      <c r="H62" s="133">
        <v>56</v>
      </c>
      <c r="I62" s="133">
        <v>63</v>
      </c>
      <c r="J62" s="133">
        <v>0</v>
      </c>
      <c r="K62" s="133">
        <v>8</v>
      </c>
      <c r="L62" s="77">
        <v>323</v>
      </c>
      <c r="N62" s="90"/>
      <c r="O62" s="90"/>
      <c r="P62" s="90"/>
      <c r="Q62" s="90"/>
      <c r="R62" s="90"/>
      <c r="S62" s="90"/>
      <c r="T62" s="90"/>
      <c r="U62" s="90"/>
      <c r="V62" s="90"/>
    </row>
    <row r="63" spans="1:22" x14ac:dyDescent="0.3">
      <c r="A63" s="305"/>
      <c r="B63" s="323"/>
      <c r="C63" s="95" t="s">
        <v>922</v>
      </c>
      <c r="D63" s="133">
        <v>0</v>
      </c>
      <c r="E63" s="133">
        <v>42</v>
      </c>
      <c r="F63" s="133">
        <v>170</v>
      </c>
      <c r="G63" s="133">
        <v>0</v>
      </c>
      <c r="H63" s="133">
        <v>73</v>
      </c>
      <c r="I63" s="133">
        <v>159</v>
      </c>
      <c r="J63" s="133">
        <v>0</v>
      </c>
      <c r="K63" s="133">
        <v>3</v>
      </c>
      <c r="L63" s="77">
        <v>447</v>
      </c>
      <c r="N63" s="90"/>
      <c r="O63" s="90"/>
      <c r="P63" s="90"/>
      <c r="Q63" s="90"/>
      <c r="R63" s="90"/>
      <c r="S63" s="90"/>
      <c r="T63" s="90"/>
      <c r="U63" s="90"/>
      <c r="V63" s="90"/>
    </row>
    <row r="64" spans="1:22" x14ac:dyDescent="0.3">
      <c r="A64" s="305"/>
      <c r="B64" s="308"/>
      <c r="C64" s="95" t="s">
        <v>923</v>
      </c>
      <c r="D64" s="133">
        <v>0</v>
      </c>
      <c r="E64" s="133">
        <v>315</v>
      </c>
      <c r="F64" s="133">
        <v>140</v>
      </c>
      <c r="G64" s="133">
        <v>26</v>
      </c>
      <c r="H64" s="133">
        <v>51</v>
      </c>
      <c r="I64" s="133">
        <v>318</v>
      </c>
      <c r="J64" s="133">
        <v>0</v>
      </c>
      <c r="K64" s="133">
        <v>26</v>
      </c>
      <c r="L64" s="77">
        <v>877</v>
      </c>
      <c r="N64" s="90"/>
      <c r="O64" s="90"/>
      <c r="P64" s="90"/>
      <c r="Q64" s="90"/>
      <c r="R64" s="90"/>
      <c r="S64" s="90"/>
      <c r="T64" s="90"/>
      <c r="U64" s="90"/>
      <c r="V64" s="90"/>
    </row>
    <row r="65" spans="1:22" x14ac:dyDescent="0.3">
      <c r="A65" s="306"/>
      <c r="B65" s="339" t="s">
        <v>110</v>
      </c>
      <c r="C65" s="322"/>
      <c r="D65" s="134">
        <v>5</v>
      </c>
      <c r="E65" s="134">
        <v>2677</v>
      </c>
      <c r="F65" s="134">
        <v>6042</v>
      </c>
      <c r="G65" s="134">
        <v>56</v>
      </c>
      <c r="H65" s="134">
        <v>790</v>
      </c>
      <c r="I65" s="134">
        <v>3293</v>
      </c>
      <c r="J65" s="134">
        <v>0</v>
      </c>
      <c r="K65" s="134">
        <v>865</v>
      </c>
      <c r="L65" s="78">
        <v>13729</v>
      </c>
      <c r="N65" s="90"/>
      <c r="O65" s="90"/>
      <c r="P65" s="90"/>
      <c r="Q65" s="90"/>
      <c r="R65" s="90"/>
      <c r="S65" s="90"/>
      <c r="T65" s="90"/>
      <c r="U65" s="90"/>
      <c r="V65" s="90"/>
    </row>
    <row r="66" spans="1:22" x14ac:dyDescent="0.3">
      <c r="A66" s="304" t="s">
        <v>924</v>
      </c>
      <c r="B66" s="307" t="s">
        <v>925</v>
      </c>
      <c r="C66" s="95" t="s">
        <v>926</v>
      </c>
      <c r="D66" s="133">
        <v>0</v>
      </c>
      <c r="E66" s="133">
        <v>3589</v>
      </c>
      <c r="F66" s="133">
        <v>201</v>
      </c>
      <c r="G66" s="133">
        <v>105</v>
      </c>
      <c r="H66" s="133">
        <v>321</v>
      </c>
      <c r="I66" s="133">
        <v>281</v>
      </c>
      <c r="J66" s="133">
        <v>0</v>
      </c>
      <c r="K66" s="133">
        <v>0</v>
      </c>
      <c r="L66" s="77">
        <v>4497</v>
      </c>
      <c r="N66" s="90"/>
      <c r="O66" s="90"/>
      <c r="P66" s="90"/>
      <c r="Q66" s="90"/>
      <c r="R66" s="90"/>
      <c r="S66" s="90"/>
      <c r="T66" s="90"/>
      <c r="U66" s="90"/>
      <c r="V66" s="90"/>
    </row>
    <row r="67" spans="1:22" x14ac:dyDescent="0.3">
      <c r="A67" s="305"/>
      <c r="B67" s="323"/>
      <c r="C67" s="95" t="s">
        <v>927</v>
      </c>
      <c r="D67" s="133">
        <v>98</v>
      </c>
      <c r="E67" s="133">
        <v>224</v>
      </c>
      <c r="F67" s="133">
        <v>11</v>
      </c>
      <c r="G67" s="133">
        <v>0</v>
      </c>
      <c r="H67" s="133">
        <v>0</v>
      </c>
      <c r="I67" s="133">
        <v>13</v>
      </c>
      <c r="J67" s="133">
        <v>0</v>
      </c>
      <c r="K67" s="133">
        <v>0</v>
      </c>
      <c r="L67" s="77">
        <v>346</v>
      </c>
      <c r="N67" s="90"/>
      <c r="O67" s="90"/>
      <c r="P67" s="90"/>
      <c r="Q67" s="90"/>
      <c r="R67" s="90"/>
      <c r="S67" s="90"/>
      <c r="T67" s="90"/>
      <c r="U67" s="90"/>
      <c r="V67" s="90"/>
    </row>
    <row r="68" spans="1:22" x14ac:dyDescent="0.3">
      <c r="A68" s="305"/>
      <c r="B68" s="323"/>
      <c r="C68" s="95" t="s">
        <v>928</v>
      </c>
      <c r="D68" s="133">
        <v>0</v>
      </c>
      <c r="E68" s="133">
        <v>684</v>
      </c>
      <c r="F68" s="133">
        <v>64</v>
      </c>
      <c r="G68" s="133">
        <v>128</v>
      </c>
      <c r="H68" s="133">
        <v>0</v>
      </c>
      <c r="I68" s="133">
        <v>72</v>
      </c>
      <c r="J68" s="133">
        <v>0</v>
      </c>
      <c r="K68" s="133">
        <v>0</v>
      </c>
      <c r="L68" s="77">
        <v>948</v>
      </c>
      <c r="N68" s="90"/>
      <c r="O68" s="90"/>
      <c r="P68" s="90"/>
      <c r="Q68" s="90"/>
      <c r="R68" s="90"/>
      <c r="S68" s="90"/>
      <c r="T68" s="90"/>
      <c r="U68" s="90"/>
      <c r="V68" s="90"/>
    </row>
    <row r="69" spans="1:22" x14ac:dyDescent="0.3">
      <c r="A69" s="305"/>
      <c r="B69" s="308"/>
      <c r="C69" s="95" t="s">
        <v>929</v>
      </c>
      <c r="D69" s="133">
        <v>17</v>
      </c>
      <c r="E69" s="133">
        <v>789</v>
      </c>
      <c r="F69" s="133">
        <v>106</v>
      </c>
      <c r="G69" s="133">
        <v>37</v>
      </c>
      <c r="H69" s="133">
        <v>142</v>
      </c>
      <c r="I69" s="133">
        <v>182</v>
      </c>
      <c r="J69" s="133">
        <v>4</v>
      </c>
      <c r="K69" s="133">
        <v>1</v>
      </c>
      <c r="L69" s="77">
        <v>1278</v>
      </c>
      <c r="N69" s="90"/>
      <c r="O69" s="90"/>
      <c r="P69" s="90"/>
      <c r="Q69" s="90"/>
      <c r="R69" s="90"/>
      <c r="S69" s="90"/>
      <c r="T69" s="90"/>
      <c r="U69" s="90"/>
      <c r="V69" s="90"/>
    </row>
    <row r="70" spans="1:22" x14ac:dyDescent="0.3">
      <c r="A70" s="305"/>
      <c r="B70" s="307" t="s">
        <v>930</v>
      </c>
      <c r="C70" s="95" t="s">
        <v>931</v>
      </c>
      <c r="D70" s="133">
        <v>0</v>
      </c>
      <c r="E70" s="133">
        <v>1761</v>
      </c>
      <c r="F70" s="133">
        <v>29</v>
      </c>
      <c r="G70" s="133">
        <v>25</v>
      </c>
      <c r="H70" s="133">
        <v>0</v>
      </c>
      <c r="I70" s="133">
        <v>44</v>
      </c>
      <c r="J70" s="133">
        <v>0</v>
      </c>
      <c r="K70" s="133">
        <v>0</v>
      </c>
      <c r="L70" s="77">
        <v>1859</v>
      </c>
      <c r="N70" s="90"/>
      <c r="O70" s="90"/>
      <c r="P70" s="90"/>
      <c r="Q70" s="90"/>
      <c r="R70" s="90"/>
      <c r="S70" s="90"/>
      <c r="T70" s="90"/>
      <c r="U70" s="90"/>
      <c r="V70" s="90"/>
    </row>
    <row r="71" spans="1:22" x14ac:dyDescent="0.3">
      <c r="A71" s="305"/>
      <c r="B71" s="323"/>
      <c r="C71" s="95" t="s">
        <v>932</v>
      </c>
      <c r="D71" s="133">
        <v>0</v>
      </c>
      <c r="E71" s="133">
        <v>221</v>
      </c>
      <c r="F71" s="133">
        <v>5</v>
      </c>
      <c r="G71" s="133">
        <v>4</v>
      </c>
      <c r="H71" s="133">
        <v>0</v>
      </c>
      <c r="I71" s="133">
        <v>20</v>
      </c>
      <c r="J71" s="133">
        <v>0</v>
      </c>
      <c r="K71" s="133">
        <v>0</v>
      </c>
      <c r="L71" s="77">
        <v>249</v>
      </c>
      <c r="N71" s="90"/>
      <c r="O71" s="90"/>
      <c r="P71" s="90"/>
      <c r="Q71" s="90"/>
      <c r="R71" s="90"/>
      <c r="S71" s="90"/>
      <c r="T71" s="90"/>
      <c r="U71" s="90"/>
      <c r="V71" s="90"/>
    </row>
    <row r="72" spans="1:22" x14ac:dyDescent="0.3">
      <c r="A72" s="305"/>
      <c r="B72" s="323"/>
      <c r="C72" s="95" t="s">
        <v>933</v>
      </c>
      <c r="D72" s="133">
        <v>0</v>
      </c>
      <c r="E72" s="133">
        <v>95</v>
      </c>
      <c r="F72" s="133">
        <v>1</v>
      </c>
      <c r="G72" s="133">
        <v>0</v>
      </c>
      <c r="H72" s="133">
        <v>0</v>
      </c>
      <c r="I72" s="133">
        <v>22</v>
      </c>
      <c r="J72" s="133">
        <v>0</v>
      </c>
      <c r="K72" s="133">
        <v>0</v>
      </c>
      <c r="L72" s="77">
        <v>118</v>
      </c>
      <c r="N72" s="90"/>
      <c r="O72" s="90"/>
      <c r="P72" s="90"/>
      <c r="Q72" s="90"/>
      <c r="R72" s="90"/>
      <c r="S72" s="90"/>
      <c r="T72" s="90"/>
      <c r="U72" s="90"/>
      <c r="V72" s="90"/>
    </row>
    <row r="73" spans="1:22" x14ac:dyDescent="0.3">
      <c r="A73" s="305"/>
      <c r="B73" s="308"/>
      <c r="C73" s="95" t="s">
        <v>934</v>
      </c>
      <c r="D73" s="133">
        <v>0</v>
      </c>
      <c r="E73" s="133">
        <v>309</v>
      </c>
      <c r="F73" s="133">
        <v>64</v>
      </c>
      <c r="G73" s="133">
        <v>70</v>
      </c>
      <c r="H73" s="133">
        <v>8</v>
      </c>
      <c r="I73" s="133">
        <v>31</v>
      </c>
      <c r="J73" s="133">
        <v>0</v>
      </c>
      <c r="K73" s="133">
        <v>0</v>
      </c>
      <c r="L73" s="77">
        <v>482</v>
      </c>
      <c r="N73" s="90"/>
      <c r="O73" s="90"/>
      <c r="P73" s="90"/>
      <c r="Q73" s="90"/>
      <c r="R73" s="90"/>
      <c r="S73" s="90"/>
      <c r="T73" s="90"/>
      <c r="U73" s="90"/>
      <c r="V73" s="90"/>
    </row>
    <row r="74" spans="1:22" x14ac:dyDescent="0.3">
      <c r="A74" s="305"/>
      <c r="B74" s="307" t="s">
        <v>935</v>
      </c>
      <c r="C74" s="95" t="s">
        <v>936</v>
      </c>
      <c r="D74" s="133">
        <v>0</v>
      </c>
      <c r="E74" s="133">
        <v>392</v>
      </c>
      <c r="F74" s="133">
        <v>86</v>
      </c>
      <c r="G74" s="133">
        <v>33</v>
      </c>
      <c r="H74" s="133">
        <v>3234</v>
      </c>
      <c r="I74" s="133">
        <v>60</v>
      </c>
      <c r="J74" s="133">
        <v>0</v>
      </c>
      <c r="K74" s="133">
        <v>30</v>
      </c>
      <c r="L74" s="77">
        <v>3835</v>
      </c>
      <c r="N74" s="90"/>
      <c r="O74" s="90"/>
      <c r="P74" s="90"/>
      <c r="Q74" s="90"/>
      <c r="R74" s="90"/>
      <c r="S74" s="90"/>
      <c r="T74" s="90"/>
      <c r="U74" s="90"/>
      <c r="V74" s="90"/>
    </row>
    <row r="75" spans="1:22" x14ac:dyDescent="0.3">
      <c r="A75" s="305"/>
      <c r="B75" s="323"/>
      <c r="C75" s="95" t="s">
        <v>937</v>
      </c>
      <c r="D75" s="133">
        <v>0</v>
      </c>
      <c r="E75" s="133">
        <v>969</v>
      </c>
      <c r="F75" s="133">
        <v>196</v>
      </c>
      <c r="G75" s="133">
        <v>8</v>
      </c>
      <c r="H75" s="133">
        <v>191</v>
      </c>
      <c r="I75" s="133">
        <v>308</v>
      </c>
      <c r="J75" s="133">
        <v>0</v>
      </c>
      <c r="K75" s="133">
        <v>22</v>
      </c>
      <c r="L75" s="77">
        <v>1695</v>
      </c>
      <c r="N75" s="90"/>
      <c r="O75" s="90"/>
      <c r="P75" s="90"/>
      <c r="Q75" s="90"/>
      <c r="R75" s="90"/>
      <c r="S75" s="90"/>
      <c r="T75" s="90"/>
      <c r="U75" s="90"/>
      <c r="V75" s="90"/>
    </row>
    <row r="76" spans="1:22" x14ac:dyDescent="0.3">
      <c r="A76" s="305"/>
      <c r="B76" s="323"/>
      <c r="C76" s="95" t="s">
        <v>938</v>
      </c>
      <c r="D76" s="133">
        <v>0</v>
      </c>
      <c r="E76" s="133">
        <v>38</v>
      </c>
      <c r="F76" s="133">
        <v>27</v>
      </c>
      <c r="G76" s="133">
        <v>0</v>
      </c>
      <c r="H76" s="133">
        <v>1490</v>
      </c>
      <c r="I76" s="133">
        <v>21</v>
      </c>
      <c r="J76" s="133">
        <v>0</v>
      </c>
      <c r="K76" s="133">
        <v>0</v>
      </c>
      <c r="L76" s="77">
        <v>1577</v>
      </c>
      <c r="N76" s="90"/>
      <c r="O76" s="90"/>
      <c r="P76" s="90"/>
      <c r="Q76" s="90"/>
      <c r="R76" s="90"/>
      <c r="S76" s="90"/>
      <c r="T76" s="90"/>
      <c r="U76" s="90"/>
      <c r="V76" s="90"/>
    </row>
    <row r="77" spans="1:22" x14ac:dyDescent="0.3">
      <c r="A77" s="305"/>
      <c r="B77" s="308"/>
      <c r="C77" s="95" t="s">
        <v>986</v>
      </c>
      <c r="D77" s="133">
        <v>0</v>
      </c>
      <c r="E77" s="133">
        <v>803</v>
      </c>
      <c r="F77" s="133">
        <v>79</v>
      </c>
      <c r="G77" s="133">
        <v>336</v>
      </c>
      <c r="H77" s="133">
        <v>637</v>
      </c>
      <c r="I77" s="133">
        <v>391</v>
      </c>
      <c r="J77" s="133">
        <v>0</v>
      </c>
      <c r="K77" s="133">
        <v>18</v>
      </c>
      <c r="L77" s="77">
        <v>2265</v>
      </c>
      <c r="N77" s="90"/>
      <c r="O77" s="90"/>
      <c r="P77" s="90"/>
      <c r="Q77" s="90"/>
      <c r="R77" s="90"/>
      <c r="S77" s="90"/>
      <c r="T77" s="90"/>
      <c r="U77" s="90"/>
      <c r="V77" s="90"/>
    </row>
    <row r="78" spans="1:22" x14ac:dyDescent="0.3">
      <c r="A78" s="305"/>
      <c r="B78" s="95" t="s">
        <v>85</v>
      </c>
      <c r="C78" s="95" t="s">
        <v>940</v>
      </c>
      <c r="D78" s="133">
        <v>2</v>
      </c>
      <c r="E78" s="133">
        <v>1975</v>
      </c>
      <c r="F78" s="133">
        <v>157</v>
      </c>
      <c r="G78" s="133">
        <v>40</v>
      </c>
      <c r="H78" s="133">
        <v>34</v>
      </c>
      <c r="I78" s="133">
        <v>179</v>
      </c>
      <c r="J78" s="133">
        <v>14</v>
      </c>
      <c r="K78" s="133">
        <v>45</v>
      </c>
      <c r="L78" s="77">
        <v>2447</v>
      </c>
      <c r="N78" s="90"/>
      <c r="O78" s="90"/>
      <c r="P78" s="90"/>
      <c r="Q78" s="90"/>
      <c r="R78" s="90"/>
      <c r="S78" s="90"/>
      <c r="T78" s="90"/>
      <c r="U78" s="90"/>
      <c r="V78" s="90"/>
    </row>
    <row r="79" spans="1:22" x14ac:dyDescent="0.3">
      <c r="A79" s="306"/>
      <c r="B79" s="339" t="s">
        <v>110</v>
      </c>
      <c r="C79" s="322"/>
      <c r="D79" s="134">
        <v>116</v>
      </c>
      <c r="E79" s="134">
        <v>11851</v>
      </c>
      <c r="F79" s="134">
        <v>1028</v>
      </c>
      <c r="G79" s="134">
        <v>785</v>
      </c>
      <c r="H79" s="134">
        <v>6058</v>
      </c>
      <c r="I79" s="134">
        <v>1622</v>
      </c>
      <c r="J79" s="134">
        <v>18</v>
      </c>
      <c r="K79" s="134">
        <v>116</v>
      </c>
      <c r="L79" s="78">
        <v>21595</v>
      </c>
      <c r="N79" s="90"/>
      <c r="O79" s="90"/>
      <c r="P79" s="90"/>
      <c r="Q79" s="90"/>
      <c r="R79" s="90"/>
      <c r="S79" s="90"/>
      <c r="T79" s="90"/>
      <c r="U79" s="90"/>
      <c r="V79" s="90"/>
    </row>
    <row r="80" spans="1:22" x14ac:dyDescent="0.3">
      <c r="A80" s="304" t="s">
        <v>941</v>
      </c>
      <c r="B80" s="307" t="s">
        <v>942</v>
      </c>
      <c r="C80" s="95" t="s">
        <v>943</v>
      </c>
      <c r="D80" s="133">
        <v>60</v>
      </c>
      <c r="E80" s="133">
        <v>819</v>
      </c>
      <c r="F80" s="133">
        <v>379</v>
      </c>
      <c r="G80" s="133">
        <v>312</v>
      </c>
      <c r="H80" s="133">
        <v>234</v>
      </c>
      <c r="I80" s="133">
        <v>1046</v>
      </c>
      <c r="J80" s="133">
        <v>0</v>
      </c>
      <c r="K80" s="133">
        <v>187</v>
      </c>
      <c r="L80" s="77">
        <v>3036</v>
      </c>
      <c r="N80" s="90"/>
      <c r="O80" s="90"/>
      <c r="P80" s="90"/>
      <c r="Q80" s="90"/>
      <c r="R80" s="90"/>
      <c r="S80" s="90"/>
      <c r="T80" s="90"/>
      <c r="U80" s="90"/>
      <c r="V80" s="90"/>
    </row>
    <row r="81" spans="1:22" x14ac:dyDescent="0.3">
      <c r="A81" s="305"/>
      <c r="B81" s="323"/>
      <c r="C81" s="95" t="s">
        <v>944</v>
      </c>
      <c r="D81" s="133">
        <v>49</v>
      </c>
      <c r="E81" s="133">
        <v>483</v>
      </c>
      <c r="F81" s="133">
        <v>202</v>
      </c>
      <c r="G81" s="133">
        <v>0</v>
      </c>
      <c r="H81" s="133">
        <v>5</v>
      </c>
      <c r="I81" s="133">
        <v>69</v>
      </c>
      <c r="J81" s="133">
        <v>0</v>
      </c>
      <c r="K81" s="133">
        <v>5</v>
      </c>
      <c r="L81" s="77">
        <v>814</v>
      </c>
      <c r="N81" s="90"/>
      <c r="O81" s="90"/>
      <c r="P81" s="90"/>
      <c r="Q81" s="90"/>
      <c r="R81" s="90"/>
      <c r="S81" s="90"/>
      <c r="T81" s="90"/>
      <c r="U81" s="90"/>
      <c r="V81" s="90"/>
    </row>
    <row r="82" spans="1:22" x14ac:dyDescent="0.3">
      <c r="A82" s="305"/>
      <c r="B82" s="323"/>
      <c r="C82" s="95" t="s">
        <v>945</v>
      </c>
      <c r="D82" s="133">
        <v>18</v>
      </c>
      <c r="E82" s="133">
        <v>73</v>
      </c>
      <c r="F82" s="133">
        <v>164</v>
      </c>
      <c r="G82" s="133">
        <v>0</v>
      </c>
      <c r="H82" s="133">
        <v>10</v>
      </c>
      <c r="I82" s="133">
        <v>189</v>
      </c>
      <c r="J82" s="133">
        <v>0</v>
      </c>
      <c r="K82" s="133">
        <v>4</v>
      </c>
      <c r="L82" s="77">
        <v>458</v>
      </c>
      <c r="N82" s="90"/>
      <c r="O82" s="90"/>
      <c r="P82" s="90"/>
      <c r="Q82" s="90"/>
      <c r="R82" s="90"/>
      <c r="S82" s="90"/>
      <c r="T82" s="90"/>
      <c r="U82" s="90"/>
      <c r="V82" s="90"/>
    </row>
    <row r="83" spans="1:22" x14ac:dyDescent="0.3">
      <c r="A83" s="305"/>
      <c r="B83" s="323"/>
      <c r="C83" s="95" t="s">
        <v>946</v>
      </c>
      <c r="D83" s="133">
        <v>39</v>
      </c>
      <c r="E83" s="133">
        <v>372</v>
      </c>
      <c r="F83" s="133">
        <v>237</v>
      </c>
      <c r="G83" s="133">
        <v>52</v>
      </c>
      <c r="H83" s="133">
        <v>160</v>
      </c>
      <c r="I83" s="133">
        <v>900</v>
      </c>
      <c r="J83" s="133">
        <v>0</v>
      </c>
      <c r="K83" s="133">
        <v>275</v>
      </c>
      <c r="L83" s="77">
        <v>2035</v>
      </c>
      <c r="N83" s="90"/>
      <c r="O83" s="90"/>
      <c r="P83" s="90"/>
      <c r="Q83" s="90"/>
      <c r="R83" s="90"/>
      <c r="S83" s="90"/>
      <c r="T83" s="90"/>
      <c r="U83" s="90"/>
      <c r="V83" s="90"/>
    </row>
    <row r="84" spans="1:22" x14ac:dyDescent="0.3">
      <c r="A84" s="305"/>
      <c r="B84" s="323"/>
      <c r="C84" s="95" t="s">
        <v>947</v>
      </c>
      <c r="D84" s="133">
        <v>120</v>
      </c>
      <c r="E84" s="133">
        <v>320</v>
      </c>
      <c r="F84" s="133">
        <v>647</v>
      </c>
      <c r="G84" s="133">
        <v>86</v>
      </c>
      <c r="H84" s="133">
        <v>5</v>
      </c>
      <c r="I84" s="133">
        <v>420</v>
      </c>
      <c r="J84" s="133">
        <v>0</v>
      </c>
      <c r="K84" s="133">
        <v>118</v>
      </c>
      <c r="L84" s="77">
        <v>1716</v>
      </c>
      <c r="N84" s="90"/>
      <c r="O84" s="90"/>
      <c r="P84" s="90"/>
      <c r="Q84" s="90"/>
      <c r="R84" s="90"/>
      <c r="S84" s="90"/>
      <c r="T84" s="90"/>
      <c r="U84" s="90"/>
      <c r="V84" s="90"/>
    </row>
    <row r="85" spans="1:22" x14ac:dyDescent="0.3">
      <c r="A85" s="305"/>
      <c r="B85" s="308"/>
      <c r="C85" s="95" t="s">
        <v>948</v>
      </c>
      <c r="D85" s="133">
        <v>1122</v>
      </c>
      <c r="E85" s="133">
        <v>843</v>
      </c>
      <c r="F85" s="133">
        <v>678</v>
      </c>
      <c r="G85" s="133">
        <v>17</v>
      </c>
      <c r="H85" s="133">
        <v>145</v>
      </c>
      <c r="I85" s="133">
        <v>508</v>
      </c>
      <c r="J85" s="133">
        <v>0</v>
      </c>
      <c r="K85" s="133">
        <v>274</v>
      </c>
      <c r="L85" s="77">
        <v>3587</v>
      </c>
      <c r="N85" s="90"/>
      <c r="O85" s="90"/>
      <c r="P85" s="90"/>
      <c r="Q85" s="90"/>
      <c r="R85" s="90"/>
      <c r="S85" s="90"/>
      <c r="T85" s="90"/>
      <c r="U85" s="90"/>
      <c r="V85" s="90"/>
    </row>
    <row r="86" spans="1:22" x14ac:dyDescent="0.3">
      <c r="A86" s="305"/>
      <c r="B86" s="307" t="s">
        <v>172</v>
      </c>
      <c r="C86" s="95" t="s">
        <v>949</v>
      </c>
      <c r="D86" s="133">
        <v>0</v>
      </c>
      <c r="E86" s="133">
        <v>1233</v>
      </c>
      <c r="F86" s="133">
        <v>1281</v>
      </c>
      <c r="G86" s="133">
        <v>279</v>
      </c>
      <c r="H86" s="133">
        <v>316</v>
      </c>
      <c r="I86" s="133">
        <v>1435</v>
      </c>
      <c r="J86" s="133">
        <v>0</v>
      </c>
      <c r="K86" s="133">
        <v>489</v>
      </c>
      <c r="L86" s="77">
        <v>5032</v>
      </c>
      <c r="N86" s="90"/>
      <c r="O86" s="90"/>
      <c r="P86" s="90"/>
      <c r="Q86" s="90"/>
      <c r="R86" s="90"/>
      <c r="S86" s="90"/>
      <c r="T86" s="90"/>
      <c r="U86" s="90"/>
      <c r="V86" s="90"/>
    </row>
    <row r="87" spans="1:22" x14ac:dyDescent="0.3">
      <c r="A87" s="305"/>
      <c r="B87" s="323"/>
      <c r="C87" s="95" t="s">
        <v>950</v>
      </c>
      <c r="D87" s="133">
        <v>5</v>
      </c>
      <c r="E87" s="133">
        <v>1410</v>
      </c>
      <c r="F87" s="133">
        <v>185</v>
      </c>
      <c r="G87" s="133">
        <v>175</v>
      </c>
      <c r="H87" s="133">
        <v>74</v>
      </c>
      <c r="I87" s="133">
        <v>422</v>
      </c>
      <c r="J87" s="133">
        <v>0</v>
      </c>
      <c r="K87" s="133">
        <v>26</v>
      </c>
      <c r="L87" s="77">
        <v>2297</v>
      </c>
      <c r="N87" s="90"/>
      <c r="O87" s="90"/>
      <c r="P87" s="90"/>
      <c r="Q87" s="90"/>
      <c r="R87" s="90"/>
      <c r="S87" s="90"/>
      <c r="T87" s="90"/>
      <c r="U87" s="90"/>
      <c r="V87" s="90"/>
    </row>
    <row r="88" spans="1:22" x14ac:dyDescent="0.3">
      <c r="A88" s="305"/>
      <c r="B88" s="323"/>
      <c r="C88" s="95" t="s">
        <v>951</v>
      </c>
      <c r="D88" s="133">
        <v>0</v>
      </c>
      <c r="E88" s="133">
        <v>184</v>
      </c>
      <c r="F88" s="133">
        <v>88</v>
      </c>
      <c r="G88" s="133">
        <v>29</v>
      </c>
      <c r="H88" s="133">
        <v>18</v>
      </c>
      <c r="I88" s="133">
        <v>127</v>
      </c>
      <c r="J88" s="133">
        <v>0</v>
      </c>
      <c r="K88" s="133">
        <v>10</v>
      </c>
      <c r="L88" s="77">
        <v>455</v>
      </c>
      <c r="N88" s="90"/>
      <c r="O88" s="90"/>
      <c r="P88" s="90"/>
      <c r="Q88" s="90"/>
      <c r="R88" s="90"/>
      <c r="S88" s="90"/>
      <c r="T88" s="90"/>
      <c r="U88" s="90"/>
      <c r="V88" s="90"/>
    </row>
    <row r="89" spans="1:22" x14ac:dyDescent="0.3">
      <c r="A89" s="305"/>
      <c r="B89" s="323"/>
      <c r="C89" s="95" t="s">
        <v>952</v>
      </c>
      <c r="D89" s="133">
        <v>1</v>
      </c>
      <c r="E89" s="133">
        <v>373</v>
      </c>
      <c r="F89" s="133">
        <v>233</v>
      </c>
      <c r="G89" s="133">
        <v>456</v>
      </c>
      <c r="H89" s="133">
        <v>356</v>
      </c>
      <c r="I89" s="133">
        <v>624</v>
      </c>
      <c r="J89" s="133">
        <v>0</v>
      </c>
      <c r="K89" s="133">
        <v>322</v>
      </c>
      <c r="L89" s="77">
        <v>2365</v>
      </c>
      <c r="N89" s="90"/>
      <c r="O89" s="90"/>
      <c r="P89" s="90"/>
      <c r="Q89" s="90"/>
      <c r="R89" s="90"/>
      <c r="S89" s="90"/>
      <c r="T89" s="90"/>
      <c r="U89" s="90"/>
      <c r="V89" s="90"/>
    </row>
    <row r="90" spans="1:22" x14ac:dyDescent="0.3">
      <c r="A90" s="305"/>
      <c r="B90" s="323"/>
      <c r="C90" s="95" t="s">
        <v>953</v>
      </c>
      <c r="D90" s="133">
        <v>10</v>
      </c>
      <c r="E90" s="133">
        <v>606</v>
      </c>
      <c r="F90" s="133">
        <v>374</v>
      </c>
      <c r="G90" s="133">
        <v>456</v>
      </c>
      <c r="H90" s="133">
        <v>219</v>
      </c>
      <c r="I90" s="133">
        <v>764</v>
      </c>
      <c r="J90" s="133">
        <v>0</v>
      </c>
      <c r="K90" s="133">
        <v>310</v>
      </c>
      <c r="L90" s="77">
        <v>2740</v>
      </c>
      <c r="N90" s="90"/>
      <c r="O90" s="90"/>
      <c r="P90" s="90"/>
      <c r="Q90" s="90"/>
      <c r="R90" s="90"/>
      <c r="S90" s="90"/>
      <c r="T90" s="90"/>
      <c r="U90" s="90"/>
      <c r="V90" s="90"/>
    </row>
    <row r="91" spans="1:22" x14ac:dyDescent="0.3">
      <c r="A91" s="305"/>
      <c r="B91" s="323"/>
      <c r="C91" s="95" t="s">
        <v>954</v>
      </c>
      <c r="D91" s="133">
        <v>8</v>
      </c>
      <c r="E91" s="133">
        <v>49</v>
      </c>
      <c r="F91" s="133">
        <v>96</v>
      </c>
      <c r="G91" s="133">
        <v>3</v>
      </c>
      <c r="H91" s="133">
        <v>11</v>
      </c>
      <c r="I91" s="133">
        <v>96</v>
      </c>
      <c r="J91" s="133">
        <v>0</v>
      </c>
      <c r="K91" s="133">
        <v>66</v>
      </c>
      <c r="L91" s="77">
        <v>329</v>
      </c>
      <c r="N91" s="90"/>
      <c r="O91" s="90"/>
      <c r="P91" s="90"/>
      <c r="Q91" s="90"/>
      <c r="R91" s="90"/>
      <c r="S91" s="90"/>
      <c r="T91" s="90"/>
      <c r="U91" s="90"/>
      <c r="V91" s="90"/>
    </row>
    <row r="92" spans="1:22" x14ac:dyDescent="0.3">
      <c r="A92" s="305"/>
      <c r="B92" s="323"/>
      <c r="C92" s="95" t="s">
        <v>955</v>
      </c>
      <c r="D92" s="133">
        <v>1</v>
      </c>
      <c r="E92" s="133">
        <v>498</v>
      </c>
      <c r="F92" s="133">
        <v>243</v>
      </c>
      <c r="G92" s="133">
        <v>217</v>
      </c>
      <c r="H92" s="133">
        <v>195</v>
      </c>
      <c r="I92" s="133">
        <v>867</v>
      </c>
      <c r="J92" s="133">
        <v>0</v>
      </c>
      <c r="K92" s="133">
        <v>399</v>
      </c>
      <c r="L92" s="77">
        <v>2420</v>
      </c>
      <c r="N92" s="90"/>
      <c r="O92" s="90"/>
      <c r="P92" s="90"/>
      <c r="Q92" s="90"/>
      <c r="R92" s="90"/>
      <c r="S92" s="90"/>
      <c r="T92" s="90"/>
      <c r="U92" s="90"/>
      <c r="V92" s="90"/>
    </row>
    <row r="93" spans="1:22" x14ac:dyDescent="0.3">
      <c r="A93" s="305"/>
      <c r="B93" s="308"/>
      <c r="C93" s="95" t="s">
        <v>956</v>
      </c>
      <c r="D93" s="133">
        <v>7</v>
      </c>
      <c r="E93" s="133">
        <v>4652</v>
      </c>
      <c r="F93" s="133">
        <v>1631</v>
      </c>
      <c r="G93" s="133">
        <v>754</v>
      </c>
      <c r="H93" s="133">
        <v>535</v>
      </c>
      <c r="I93" s="133">
        <v>2690</v>
      </c>
      <c r="J93" s="133">
        <v>0</v>
      </c>
      <c r="K93" s="133">
        <v>1069</v>
      </c>
      <c r="L93" s="77">
        <v>11337</v>
      </c>
      <c r="N93" s="90"/>
      <c r="O93" s="90"/>
      <c r="P93" s="90"/>
      <c r="Q93" s="90"/>
      <c r="R93" s="90"/>
      <c r="S93" s="90"/>
      <c r="T93" s="90"/>
      <c r="U93" s="90"/>
      <c r="V93" s="90"/>
    </row>
    <row r="94" spans="1:22" x14ac:dyDescent="0.3">
      <c r="A94" s="305"/>
      <c r="B94" s="307" t="s">
        <v>957</v>
      </c>
      <c r="C94" s="95" t="s">
        <v>958</v>
      </c>
      <c r="D94" s="133">
        <v>0</v>
      </c>
      <c r="E94" s="133">
        <v>233</v>
      </c>
      <c r="F94" s="133">
        <v>37</v>
      </c>
      <c r="G94" s="133">
        <v>40</v>
      </c>
      <c r="H94" s="133">
        <v>10</v>
      </c>
      <c r="I94" s="133">
        <v>70</v>
      </c>
      <c r="J94" s="133">
        <v>0</v>
      </c>
      <c r="K94" s="133">
        <v>7</v>
      </c>
      <c r="L94" s="77">
        <v>396</v>
      </c>
      <c r="N94" s="90"/>
      <c r="O94" s="90"/>
      <c r="P94" s="90"/>
      <c r="Q94" s="90"/>
      <c r="R94" s="90"/>
      <c r="S94" s="90"/>
      <c r="T94" s="90"/>
      <c r="U94" s="90"/>
      <c r="V94" s="90"/>
    </row>
    <row r="95" spans="1:22" x14ac:dyDescent="0.3">
      <c r="A95" s="305"/>
      <c r="B95" s="323"/>
      <c r="C95" s="168" t="s">
        <v>987</v>
      </c>
      <c r="D95" s="223">
        <v>13</v>
      </c>
      <c r="E95" s="223">
        <v>247</v>
      </c>
      <c r="F95" s="223">
        <v>150</v>
      </c>
      <c r="G95" s="223">
        <v>18</v>
      </c>
      <c r="H95" s="223">
        <v>212</v>
      </c>
      <c r="I95" s="223">
        <v>764</v>
      </c>
      <c r="J95" s="223">
        <v>0</v>
      </c>
      <c r="K95" s="223">
        <v>71</v>
      </c>
      <c r="L95" s="216">
        <v>1474</v>
      </c>
      <c r="N95" s="90"/>
      <c r="O95" s="90"/>
      <c r="P95" s="90"/>
      <c r="Q95" s="90"/>
      <c r="R95" s="90"/>
      <c r="S95" s="90"/>
      <c r="T95" s="90"/>
      <c r="U95" s="90"/>
      <c r="V95" s="90"/>
    </row>
    <row r="96" spans="1:22" x14ac:dyDescent="0.3">
      <c r="A96" s="305"/>
      <c r="B96" s="323"/>
      <c r="C96" s="95" t="s">
        <v>960</v>
      </c>
      <c r="D96" s="133">
        <v>0</v>
      </c>
      <c r="E96" s="133">
        <v>7</v>
      </c>
      <c r="F96" s="133">
        <v>10</v>
      </c>
      <c r="G96" s="133">
        <v>0</v>
      </c>
      <c r="H96" s="133">
        <v>44</v>
      </c>
      <c r="I96" s="133">
        <v>110</v>
      </c>
      <c r="J96" s="133">
        <v>0</v>
      </c>
      <c r="K96" s="133">
        <v>2</v>
      </c>
      <c r="L96" s="77">
        <v>173</v>
      </c>
      <c r="N96" s="90"/>
      <c r="O96" s="90"/>
      <c r="P96" s="90"/>
      <c r="Q96" s="90"/>
      <c r="R96" s="90"/>
      <c r="S96" s="90"/>
      <c r="T96" s="90"/>
      <c r="U96" s="90"/>
      <c r="V96" s="90"/>
    </row>
    <row r="97" spans="1:22" x14ac:dyDescent="0.3">
      <c r="A97" s="305"/>
      <c r="B97" s="323"/>
      <c r="C97" s="168" t="s">
        <v>988</v>
      </c>
      <c r="D97" s="223">
        <v>0</v>
      </c>
      <c r="E97" s="223">
        <v>4</v>
      </c>
      <c r="F97" s="223">
        <v>2</v>
      </c>
      <c r="G97" s="223">
        <v>0</v>
      </c>
      <c r="H97" s="223">
        <v>5</v>
      </c>
      <c r="I97" s="223">
        <v>108</v>
      </c>
      <c r="J97" s="223">
        <v>0</v>
      </c>
      <c r="K97" s="223">
        <v>86</v>
      </c>
      <c r="L97" s="216">
        <v>205</v>
      </c>
      <c r="N97" s="90"/>
      <c r="O97" s="90"/>
      <c r="P97" s="90"/>
      <c r="Q97" s="90"/>
      <c r="R97" s="90"/>
      <c r="S97" s="90"/>
      <c r="T97" s="90"/>
      <c r="U97" s="90"/>
      <c r="V97" s="90"/>
    </row>
    <row r="98" spans="1:22" x14ac:dyDescent="0.3">
      <c r="A98" s="305"/>
      <c r="B98" s="308"/>
      <c r="C98" s="95" t="s">
        <v>962</v>
      </c>
      <c r="D98" s="133">
        <v>21</v>
      </c>
      <c r="E98" s="133">
        <v>207</v>
      </c>
      <c r="F98" s="133">
        <v>74</v>
      </c>
      <c r="G98" s="133">
        <v>13</v>
      </c>
      <c r="H98" s="133">
        <v>52</v>
      </c>
      <c r="I98" s="133">
        <v>355</v>
      </c>
      <c r="J98" s="133">
        <v>0</v>
      </c>
      <c r="K98" s="133">
        <v>61</v>
      </c>
      <c r="L98" s="77">
        <v>784</v>
      </c>
      <c r="N98" s="90"/>
      <c r="O98" s="90"/>
      <c r="P98" s="90"/>
      <c r="Q98" s="90"/>
      <c r="R98" s="90"/>
      <c r="S98" s="90"/>
      <c r="T98" s="90"/>
      <c r="U98" s="90"/>
      <c r="V98" s="90"/>
    </row>
    <row r="99" spans="1:22" x14ac:dyDescent="0.3">
      <c r="A99" s="305"/>
      <c r="B99" s="307" t="s">
        <v>637</v>
      </c>
      <c r="C99" s="95" t="s">
        <v>963</v>
      </c>
      <c r="D99" s="133">
        <v>48</v>
      </c>
      <c r="E99" s="133">
        <v>587</v>
      </c>
      <c r="F99" s="133">
        <v>360</v>
      </c>
      <c r="G99" s="133">
        <v>7</v>
      </c>
      <c r="H99" s="133">
        <v>19</v>
      </c>
      <c r="I99" s="133">
        <v>293</v>
      </c>
      <c r="J99" s="133">
        <v>0</v>
      </c>
      <c r="K99" s="133">
        <v>87</v>
      </c>
      <c r="L99" s="77">
        <v>1402</v>
      </c>
      <c r="N99" s="90"/>
      <c r="O99" s="90"/>
      <c r="P99" s="90"/>
      <c r="Q99" s="90"/>
      <c r="R99" s="90"/>
      <c r="S99" s="90"/>
      <c r="T99" s="90"/>
      <c r="U99" s="90"/>
      <c r="V99" s="90"/>
    </row>
    <row r="100" spans="1:22" x14ac:dyDescent="0.3">
      <c r="A100" s="305"/>
      <c r="B100" s="323"/>
      <c r="C100" s="95" t="s">
        <v>964</v>
      </c>
      <c r="D100" s="133">
        <v>0</v>
      </c>
      <c r="E100" s="133">
        <v>5</v>
      </c>
      <c r="F100" s="133">
        <v>59</v>
      </c>
      <c r="G100" s="133">
        <v>3</v>
      </c>
      <c r="H100" s="133">
        <v>0</v>
      </c>
      <c r="I100" s="133">
        <v>58</v>
      </c>
      <c r="J100" s="133">
        <v>0</v>
      </c>
      <c r="K100" s="133">
        <v>0</v>
      </c>
      <c r="L100" s="77">
        <v>126</v>
      </c>
      <c r="N100" s="90"/>
      <c r="O100" s="90"/>
      <c r="P100" s="90"/>
      <c r="Q100" s="90"/>
      <c r="R100" s="90"/>
      <c r="S100" s="90"/>
      <c r="T100" s="90"/>
      <c r="U100" s="90"/>
      <c r="V100" s="90"/>
    </row>
    <row r="101" spans="1:22" x14ac:dyDescent="0.3">
      <c r="A101" s="305"/>
      <c r="B101" s="308"/>
      <c r="C101" s="95" t="s">
        <v>965</v>
      </c>
      <c r="D101" s="133">
        <v>38</v>
      </c>
      <c r="E101" s="133">
        <v>309</v>
      </c>
      <c r="F101" s="133">
        <v>169</v>
      </c>
      <c r="G101" s="133">
        <v>9</v>
      </c>
      <c r="H101" s="133">
        <v>2</v>
      </c>
      <c r="I101" s="133">
        <v>257</v>
      </c>
      <c r="J101" s="133">
        <v>0</v>
      </c>
      <c r="K101" s="133">
        <v>39</v>
      </c>
      <c r="L101" s="77">
        <v>822</v>
      </c>
      <c r="N101" s="90"/>
      <c r="O101" s="90"/>
      <c r="P101" s="90"/>
      <c r="Q101" s="90"/>
      <c r="R101" s="90"/>
      <c r="S101" s="90"/>
      <c r="T101" s="90"/>
      <c r="U101" s="90"/>
      <c r="V101" s="90"/>
    </row>
    <row r="102" spans="1:22" x14ac:dyDescent="0.3">
      <c r="A102" s="306"/>
      <c r="B102" s="339" t="s">
        <v>110</v>
      </c>
      <c r="C102" s="322"/>
      <c r="D102" s="134">
        <v>1560</v>
      </c>
      <c r="E102" s="134">
        <v>13514</v>
      </c>
      <c r="F102" s="134">
        <v>7299</v>
      </c>
      <c r="G102" s="134">
        <v>2926</v>
      </c>
      <c r="H102" s="134">
        <v>2628</v>
      </c>
      <c r="I102" s="134">
        <v>12174</v>
      </c>
      <c r="J102" s="134">
        <v>0</v>
      </c>
      <c r="K102" s="134">
        <v>3905</v>
      </c>
      <c r="L102" s="78">
        <v>44005</v>
      </c>
      <c r="N102" s="90"/>
      <c r="O102" s="90"/>
      <c r="P102" s="90"/>
      <c r="Q102" s="90"/>
      <c r="R102" s="90"/>
      <c r="S102" s="90"/>
      <c r="T102" s="90"/>
      <c r="U102" s="90"/>
      <c r="V102" s="90"/>
    </row>
    <row r="103" spans="1:22" x14ac:dyDescent="0.3">
      <c r="A103" s="304" t="s">
        <v>966</v>
      </c>
      <c r="B103" s="307" t="s">
        <v>967</v>
      </c>
      <c r="C103" s="95" t="s">
        <v>989</v>
      </c>
      <c r="D103" s="133">
        <v>0</v>
      </c>
      <c r="E103" s="133">
        <v>530</v>
      </c>
      <c r="F103" s="133">
        <v>699</v>
      </c>
      <c r="G103" s="133">
        <v>22</v>
      </c>
      <c r="H103" s="133">
        <v>53</v>
      </c>
      <c r="I103" s="133">
        <v>970</v>
      </c>
      <c r="J103" s="133">
        <v>0</v>
      </c>
      <c r="K103" s="133">
        <v>386</v>
      </c>
      <c r="L103" s="77">
        <v>2661</v>
      </c>
      <c r="N103" s="90"/>
      <c r="O103" s="90"/>
      <c r="P103" s="90"/>
      <c r="Q103" s="90"/>
      <c r="R103" s="90"/>
      <c r="S103" s="90"/>
      <c r="T103" s="90"/>
      <c r="U103" s="90"/>
      <c r="V103" s="90"/>
    </row>
    <row r="104" spans="1:22" x14ac:dyDescent="0.3">
      <c r="A104" s="305"/>
      <c r="B104" s="323"/>
      <c r="C104" s="95" t="s">
        <v>969</v>
      </c>
      <c r="D104" s="133">
        <v>5</v>
      </c>
      <c r="E104" s="133">
        <v>9</v>
      </c>
      <c r="F104" s="133">
        <v>58</v>
      </c>
      <c r="G104" s="133">
        <v>0</v>
      </c>
      <c r="H104" s="133">
        <v>3</v>
      </c>
      <c r="I104" s="133">
        <v>47</v>
      </c>
      <c r="J104" s="133">
        <v>0</v>
      </c>
      <c r="K104" s="133">
        <v>15</v>
      </c>
      <c r="L104" s="77">
        <v>136</v>
      </c>
      <c r="N104" s="90"/>
      <c r="O104" s="90"/>
      <c r="P104" s="90"/>
      <c r="Q104" s="90"/>
      <c r="R104" s="90"/>
      <c r="S104" s="90"/>
      <c r="T104" s="90"/>
      <c r="U104" s="90"/>
      <c r="V104" s="90"/>
    </row>
    <row r="105" spans="1:22" x14ac:dyDescent="0.3">
      <c r="A105" s="305"/>
      <c r="B105" s="323"/>
      <c r="C105" s="95" t="s">
        <v>970</v>
      </c>
      <c r="D105" s="133">
        <v>0</v>
      </c>
      <c r="E105" s="133">
        <v>48</v>
      </c>
      <c r="F105" s="133">
        <v>50</v>
      </c>
      <c r="G105" s="133">
        <v>0</v>
      </c>
      <c r="H105" s="133">
        <v>22</v>
      </c>
      <c r="I105" s="133">
        <v>183</v>
      </c>
      <c r="J105" s="133">
        <v>0</v>
      </c>
      <c r="K105" s="133">
        <v>56</v>
      </c>
      <c r="L105" s="77">
        <v>359</v>
      </c>
      <c r="N105" s="90"/>
      <c r="O105" s="90"/>
      <c r="P105" s="90"/>
      <c r="Q105" s="90"/>
      <c r="R105" s="90"/>
      <c r="S105" s="90"/>
      <c r="T105" s="90"/>
      <c r="U105" s="90"/>
      <c r="V105" s="90"/>
    </row>
    <row r="106" spans="1:22" x14ac:dyDescent="0.3">
      <c r="A106" s="305"/>
      <c r="B106" s="323"/>
      <c r="C106" s="95" t="s">
        <v>971</v>
      </c>
      <c r="D106" s="133">
        <v>0</v>
      </c>
      <c r="E106" s="133">
        <v>13</v>
      </c>
      <c r="F106" s="133">
        <v>10</v>
      </c>
      <c r="G106" s="133">
        <v>0</v>
      </c>
      <c r="H106" s="133">
        <v>0</v>
      </c>
      <c r="I106" s="133">
        <v>15</v>
      </c>
      <c r="J106" s="133">
        <v>0</v>
      </c>
      <c r="K106" s="133">
        <v>0</v>
      </c>
      <c r="L106" s="77">
        <v>37</v>
      </c>
      <c r="N106" s="90"/>
      <c r="O106" s="90"/>
      <c r="P106" s="90"/>
      <c r="Q106" s="90"/>
      <c r="R106" s="90"/>
      <c r="S106" s="90"/>
      <c r="T106" s="90"/>
      <c r="U106" s="90"/>
      <c r="V106" s="90"/>
    </row>
    <row r="107" spans="1:22" x14ac:dyDescent="0.3">
      <c r="A107" s="305"/>
      <c r="B107" s="308"/>
      <c r="C107" s="95" t="s">
        <v>972</v>
      </c>
      <c r="D107" s="133">
        <v>6</v>
      </c>
      <c r="E107" s="133">
        <v>138</v>
      </c>
      <c r="F107" s="133">
        <v>69</v>
      </c>
      <c r="G107" s="133">
        <v>0</v>
      </c>
      <c r="H107" s="133">
        <v>0</v>
      </c>
      <c r="I107" s="133">
        <v>121</v>
      </c>
      <c r="J107" s="133">
        <v>1</v>
      </c>
      <c r="K107" s="133">
        <v>44</v>
      </c>
      <c r="L107" s="77">
        <v>378</v>
      </c>
      <c r="N107" s="90"/>
      <c r="O107" s="90"/>
      <c r="P107" s="90"/>
      <c r="Q107" s="90"/>
      <c r="R107" s="90"/>
      <c r="S107" s="90"/>
      <c r="T107" s="90"/>
      <c r="U107" s="90"/>
      <c r="V107" s="90"/>
    </row>
    <row r="108" spans="1:22" x14ac:dyDescent="0.3">
      <c r="A108" s="305"/>
      <c r="B108" s="307" t="s">
        <v>973</v>
      </c>
      <c r="C108" s="95" t="s">
        <v>974</v>
      </c>
      <c r="D108" s="133">
        <v>1</v>
      </c>
      <c r="E108" s="133">
        <v>2</v>
      </c>
      <c r="F108" s="133">
        <v>16</v>
      </c>
      <c r="G108" s="133">
        <v>0</v>
      </c>
      <c r="H108" s="133">
        <v>0</v>
      </c>
      <c r="I108" s="133">
        <v>20</v>
      </c>
      <c r="J108" s="133">
        <v>0</v>
      </c>
      <c r="K108" s="133">
        <v>5</v>
      </c>
      <c r="L108" s="77">
        <v>44</v>
      </c>
      <c r="N108" s="90"/>
      <c r="O108" s="90"/>
      <c r="P108" s="90"/>
      <c r="Q108" s="90"/>
      <c r="R108" s="90"/>
      <c r="S108" s="90"/>
      <c r="T108" s="90"/>
      <c r="U108" s="90"/>
      <c r="V108" s="90"/>
    </row>
    <row r="109" spans="1:22" x14ac:dyDescent="0.3">
      <c r="A109" s="305"/>
      <c r="B109" s="323"/>
      <c r="C109" s="95" t="s">
        <v>975</v>
      </c>
      <c r="D109" s="133">
        <v>0</v>
      </c>
      <c r="E109" s="133">
        <v>39</v>
      </c>
      <c r="F109" s="133">
        <v>32</v>
      </c>
      <c r="G109" s="133">
        <v>0</v>
      </c>
      <c r="H109" s="133">
        <v>0</v>
      </c>
      <c r="I109" s="133">
        <v>32</v>
      </c>
      <c r="J109" s="133">
        <v>0</v>
      </c>
      <c r="K109" s="133">
        <v>2</v>
      </c>
      <c r="L109" s="77">
        <v>105</v>
      </c>
      <c r="N109" s="90"/>
      <c r="O109" s="90"/>
      <c r="P109" s="90"/>
      <c r="Q109" s="90"/>
      <c r="R109" s="90"/>
      <c r="S109" s="90"/>
      <c r="T109" s="90"/>
      <c r="U109" s="90"/>
      <c r="V109" s="90"/>
    </row>
    <row r="110" spans="1:22" x14ac:dyDescent="0.3">
      <c r="A110" s="305"/>
      <c r="B110" s="323"/>
      <c r="C110" s="95" t="s">
        <v>976</v>
      </c>
      <c r="D110" s="133">
        <v>0</v>
      </c>
      <c r="E110" s="133">
        <v>1</v>
      </c>
      <c r="F110" s="133">
        <v>38</v>
      </c>
      <c r="G110" s="133">
        <v>0</v>
      </c>
      <c r="H110" s="133">
        <v>48</v>
      </c>
      <c r="I110" s="133">
        <v>180</v>
      </c>
      <c r="J110" s="133">
        <v>0</v>
      </c>
      <c r="K110" s="133">
        <v>76</v>
      </c>
      <c r="L110" s="77">
        <v>343</v>
      </c>
      <c r="N110" s="90"/>
      <c r="O110" s="90"/>
      <c r="P110" s="90"/>
      <c r="Q110" s="90"/>
      <c r="R110" s="90"/>
      <c r="S110" s="90"/>
      <c r="T110" s="90"/>
      <c r="U110" s="90"/>
      <c r="V110" s="90"/>
    </row>
    <row r="111" spans="1:22" x14ac:dyDescent="0.3">
      <c r="A111" s="305"/>
      <c r="B111" s="308"/>
      <c r="C111" s="95" t="s">
        <v>977</v>
      </c>
      <c r="D111" s="133">
        <v>12</v>
      </c>
      <c r="E111" s="133">
        <v>11</v>
      </c>
      <c r="F111" s="133">
        <v>19</v>
      </c>
      <c r="G111" s="133">
        <v>0</v>
      </c>
      <c r="H111" s="133">
        <v>15</v>
      </c>
      <c r="I111" s="133">
        <v>23</v>
      </c>
      <c r="J111" s="133">
        <v>0</v>
      </c>
      <c r="K111" s="133">
        <v>0</v>
      </c>
      <c r="L111" s="77">
        <v>79</v>
      </c>
      <c r="N111" s="90"/>
      <c r="O111" s="90"/>
      <c r="P111" s="90"/>
      <c r="Q111" s="90"/>
      <c r="R111" s="90"/>
      <c r="S111" s="90"/>
      <c r="T111" s="90"/>
      <c r="U111" s="90"/>
      <c r="V111" s="90"/>
    </row>
    <row r="112" spans="1:22" x14ac:dyDescent="0.3">
      <c r="A112" s="305"/>
      <c r="B112" s="307" t="s">
        <v>762</v>
      </c>
      <c r="C112" s="95" t="s">
        <v>978</v>
      </c>
      <c r="D112" s="133">
        <v>13</v>
      </c>
      <c r="E112" s="133">
        <v>94</v>
      </c>
      <c r="F112" s="133">
        <v>45</v>
      </c>
      <c r="G112" s="133">
        <v>0</v>
      </c>
      <c r="H112" s="133">
        <v>0</v>
      </c>
      <c r="I112" s="133">
        <v>0</v>
      </c>
      <c r="J112" s="133">
        <v>0</v>
      </c>
      <c r="K112" s="133">
        <v>5</v>
      </c>
      <c r="L112" s="77">
        <v>156</v>
      </c>
      <c r="N112" s="90"/>
      <c r="O112" s="90"/>
      <c r="P112" s="90"/>
      <c r="Q112" s="90"/>
      <c r="R112" s="90"/>
      <c r="S112" s="90"/>
      <c r="T112" s="90"/>
      <c r="U112" s="90"/>
      <c r="V112" s="90"/>
    </row>
    <row r="113" spans="1:22" x14ac:dyDescent="0.3">
      <c r="A113" s="305"/>
      <c r="B113" s="308"/>
      <c r="C113" s="95" t="s">
        <v>979</v>
      </c>
      <c r="D113" s="133">
        <v>11</v>
      </c>
      <c r="E113" s="133">
        <v>12</v>
      </c>
      <c r="F113" s="133">
        <v>25</v>
      </c>
      <c r="G113" s="133">
        <v>0</v>
      </c>
      <c r="H113" s="133">
        <v>0</v>
      </c>
      <c r="I113" s="133">
        <v>2</v>
      </c>
      <c r="J113" s="133">
        <v>0</v>
      </c>
      <c r="K113" s="133">
        <v>0</v>
      </c>
      <c r="L113" s="77">
        <v>50</v>
      </c>
      <c r="N113" s="90"/>
      <c r="O113" s="90"/>
      <c r="P113" s="90"/>
      <c r="Q113" s="90"/>
      <c r="R113" s="90"/>
      <c r="S113" s="90"/>
      <c r="T113" s="90"/>
      <c r="U113" s="90"/>
      <c r="V113" s="90"/>
    </row>
    <row r="114" spans="1:22" x14ac:dyDescent="0.3">
      <c r="A114" s="306"/>
      <c r="B114" s="339" t="s">
        <v>110</v>
      </c>
      <c r="C114" s="322"/>
      <c r="D114" s="134">
        <v>47</v>
      </c>
      <c r="E114" s="134">
        <v>897</v>
      </c>
      <c r="F114" s="134">
        <v>1060</v>
      </c>
      <c r="G114" s="134">
        <v>22</v>
      </c>
      <c r="H114" s="134">
        <v>142</v>
      </c>
      <c r="I114" s="134">
        <v>1591</v>
      </c>
      <c r="J114" s="134">
        <v>1</v>
      </c>
      <c r="K114" s="134">
        <v>589</v>
      </c>
      <c r="L114" s="78">
        <v>4348</v>
      </c>
      <c r="N114" s="90"/>
      <c r="O114" s="90"/>
      <c r="P114" s="90"/>
      <c r="Q114" s="90"/>
      <c r="R114" s="90"/>
      <c r="S114" s="90"/>
      <c r="T114" s="90"/>
      <c r="U114" s="90"/>
      <c r="V114" s="90"/>
    </row>
    <row r="115" spans="1:22" x14ac:dyDescent="0.3">
      <c r="A115" s="124" t="s">
        <v>85</v>
      </c>
      <c r="B115" s="337" t="s">
        <v>980</v>
      </c>
      <c r="C115" s="338"/>
      <c r="D115" s="133">
        <v>3672</v>
      </c>
      <c r="E115" s="133">
        <v>51832</v>
      </c>
      <c r="F115" s="133">
        <v>17368</v>
      </c>
      <c r="G115" s="133">
        <v>2982</v>
      </c>
      <c r="H115" s="133">
        <v>3759</v>
      </c>
      <c r="I115" s="133">
        <v>10833</v>
      </c>
      <c r="J115" s="133">
        <v>622</v>
      </c>
      <c r="K115" s="133">
        <v>7893</v>
      </c>
      <c r="L115" s="77">
        <v>98961</v>
      </c>
      <c r="N115" s="90"/>
      <c r="O115" s="90"/>
      <c r="P115" s="90"/>
      <c r="Q115" s="90"/>
      <c r="R115" s="90"/>
      <c r="S115" s="90"/>
      <c r="T115" s="90"/>
      <c r="U115" s="90"/>
      <c r="V115" s="90"/>
    </row>
    <row r="116" spans="1:22" x14ac:dyDescent="0.3">
      <c r="A116" s="321" t="s">
        <v>86</v>
      </c>
      <c r="B116" s="321"/>
      <c r="C116" s="322"/>
      <c r="D116" s="134">
        <v>14400</v>
      </c>
      <c r="E116" s="134">
        <v>104677</v>
      </c>
      <c r="F116" s="134">
        <v>64966</v>
      </c>
      <c r="G116" s="134">
        <v>8121</v>
      </c>
      <c r="H116" s="134">
        <v>18542</v>
      </c>
      <c r="I116" s="134">
        <v>58176</v>
      </c>
      <c r="J116" s="134">
        <v>755</v>
      </c>
      <c r="K116" s="134">
        <v>20528</v>
      </c>
      <c r="L116" s="78">
        <v>290164</v>
      </c>
      <c r="N116" s="90"/>
      <c r="O116" s="90"/>
      <c r="P116" s="90"/>
      <c r="Q116" s="90"/>
      <c r="R116" s="90"/>
      <c r="S116" s="90"/>
      <c r="T116" s="90"/>
      <c r="U116" s="90"/>
      <c r="V116" s="90"/>
    </row>
    <row r="118" spans="1:22" x14ac:dyDescent="0.3">
      <c r="A118" s="90" t="s">
        <v>1203</v>
      </c>
    </row>
    <row r="119" spans="1:22" x14ac:dyDescent="0.3">
      <c r="A119" t="s">
        <v>95</v>
      </c>
    </row>
    <row r="120" spans="1:22" x14ac:dyDescent="0.3">
      <c r="A120" t="s">
        <v>96</v>
      </c>
    </row>
    <row r="121" spans="1:22" x14ac:dyDescent="0.3">
      <c r="A121" t="s">
        <v>97</v>
      </c>
    </row>
    <row r="122" spans="1:22" x14ac:dyDescent="0.3">
      <c r="D122" s="196"/>
      <c r="E122" s="196"/>
      <c r="F122" s="196"/>
      <c r="G122" s="196"/>
      <c r="H122" s="196"/>
      <c r="I122" s="196"/>
      <c r="J122" s="196"/>
      <c r="K122" s="196"/>
      <c r="L122" s="196"/>
    </row>
    <row r="123" spans="1:22" x14ac:dyDescent="0.3">
      <c r="D123" s="196"/>
      <c r="E123" s="196"/>
      <c r="F123" s="196"/>
      <c r="G123" s="196"/>
      <c r="H123" s="196"/>
      <c r="I123" s="196"/>
      <c r="J123" s="196"/>
      <c r="K123" s="196"/>
      <c r="L123" s="196"/>
    </row>
    <row r="124" spans="1:22" x14ac:dyDescent="0.3">
      <c r="D124" s="196"/>
      <c r="E124" s="196"/>
      <c r="F124" s="196"/>
      <c r="G124" s="196"/>
      <c r="H124" s="196"/>
      <c r="I124" s="196"/>
      <c r="J124" s="196"/>
      <c r="K124" s="196"/>
      <c r="L124" s="196"/>
    </row>
    <row r="125" spans="1:22" x14ac:dyDescent="0.3">
      <c r="D125" s="196"/>
      <c r="E125" s="196"/>
      <c r="F125" s="196"/>
      <c r="G125" s="196"/>
      <c r="H125" s="196"/>
      <c r="I125" s="196"/>
      <c r="J125" s="196"/>
      <c r="K125" s="196"/>
      <c r="L125" s="196"/>
    </row>
    <row r="126" spans="1:22" x14ac:dyDescent="0.3">
      <c r="D126" s="196"/>
      <c r="E126" s="196"/>
      <c r="F126" s="196"/>
      <c r="G126" s="196"/>
      <c r="H126" s="196"/>
      <c r="I126" s="196"/>
      <c r="J126" s="196"/>
      <c r="K126" s="196"/>
      <c r="L126" s="196"/>
    </row>
    <row r="127" spans="1:22" x14ac:dyDescent="0.3">
      <c r="D127" s="196"/>
      <c r="E127" s="196"/>
      <c r="F127" s="196"/>
      <c r="G127" s="196"/>
      <c r="H127" s="196"/>
      <c r="I127" s="196"/>
      <c r="J127" s="196"/>
      <c r="K127" s="196"/>
      <c r="L127" s="196"/>
    </row>
    <row r="128" spans="1:22" x14ac:dyDescent="0.3">
      <c r="D128" s="196"/>
      <c r="E128" s="196"/>
      <c r="F128" s="196"/>
      <c r="G128" s="196"/>
      <c r="H128" s="196"/>
      <c r="I128" s="196"/>
      <c r="J128" s="196"/>
      <c r="K128" s="196"/>
      <c r="L128" s="196"/>
    </row>
    <row r="129" spans="4:12" x14ac:dyDescent="0.3">
      <c r="D129" s="196"/>
      <c r="E129" s="196"/>
      <c r="F129" s="196"/>
      <c r="G129" s="196"/>
      <c r="H129" s="196"/>
      <c r="I129" s="196"/>
      <c r="J129" s="196"/>
      <c r="K129" s="196"/>
      <c r="L129" s="196"/>
    </row>
    <row r="130" spans="4:12" x14ac:dyDescent="0.3">
      <c r="D130" s="196"/>
      <c r="E130" s="196"/>
      <c r="F130" s="196"/>
      <c r="G130" s="196"/>
      <c r="H130" s="196"/>
      <c r="I130" s="196"/>
      <c r="J130" s="196"/>
      <c r="K130" s="196"/>
      <c r="L130" s="196"/>
    </row>
    <row r="131" spans="4:12" x14ac:dyDescent="0.3">
      <c r="D131" s="196"/>
      <c r="E131" s="196"/>
      <c r="F131" s="196"/>
      <c r="G131" s="196"/>
      <c r="H131" s="196"/>
      <c r="I131" s="196"/>
      <c r="J131" s="196"/>
      <c r="K131" s="196"/>
      <c r="L131" s="196"/>
    </row>
    <row r="132" spans="4:12" x14ac:dyDescent="0.3">
      <c r="D132" s="196"/>
      <c r="E132" s="196"/>
      <c r="F132" s="196"/>
      <c r="G132" s="196"/>
      <c r="H132" s="196"/>
      <c r="I132" s="196"/>
      <c r="J132" s="196"/>
      <c r="K132" s="196"/>
      <c r="L132" s="196"/>
    </row>
    <row r="133" spans="4:12" x14ac:dyDescent="0.3">
      <c r="D133" s="196"/>
      <c r="E133" s="196"/>
      <c r="F133" s="196"/>
      <c r="G133" s="196"/>
      <c r="H133" s="196"/>
      <c r="I133" s="196"/>
      <c r="J133" s="196"/>
      <c r="K133" s="196"/>
      <c r="L133" s="196"/>
    </row>
    <row r="134" spans="4:12" x14ac:dyDescent="0.3">
      <c r="D134" s="196"/>
      <c r="E134" s="196"/>
      <c r="F134" s="196"/>
      <c r="G134" s="196"/>
      <c r="H134" s="196"/>
      <c r="I134" s="196"/>
      <c r="J134" s="196"/>
      <c r="K134" s="196"/>
      <c r="L134" s="196"/>
    </row>
    <row r="135" spans="4:12" x14ac:dyDescent="0.3">
      <c r="D135" s="196"/>
      <c r="E135" s="196"/>
      <c r="F135" s="196"/>
      <c r="G135" s="196"/>
      <c r="H135" s="196"/>
      <c r="I135" s="196"/>
      <c r="J135" s="196"/>
      <c r="K135" s="196"/>
      <c r="L135" s="196"/>
    </row>
    <row r="136" spans="4:12" x14ac:dyDescent="0.3">
      <c r="D136" s="196"/>
      <c r="E136" s="196"/>
      <c r="F136" s="196"/>
      <c r="G136" s="196"/>
      <c r="H136" s="196"/>
      <c r="I136" s="196"/>
      <c r="J136" s="196"/>
      <c r="K136" s="196"/>
      <c r="L136" s="196"/>
    </row>
    <row r="137" spans="4:12" x14ac:dyDescent="0.3">
      <c r="D137" s="196"/>
      <c r="E137" s="196"/>
      <c r="F137" s="196"/>
      <c r="G137" s="196"/>
      <c r="H137" s="196"/>
      <c r="I137" s="196"/>
      <c r="J137" s="196"/>
      <c r="K137" s="196"/>
      <c r="L137" s="196"/>
    </row>
    <row r="138" spans="4:12" x14ac:dyDescent="0.3">
      <c r="D138" s="196"/>
      <c r="E138" s="196"/>
      <c r="F138" s="196"/>
      <c r="G138" s="196"/>
      <c r="H138" s="196"/>
      <c r="I138" s="196"/>
      <c r="J138" s="196"/>
      <c r="K138" s="196"/>
      <c r="L138" s="196"/>
    </row>
    <row r="139" spans="4:12" x14ac:dyDescent="0.3">
      <c r="D139" s="196"/>
      <c r="E139" s="196"/>
      <c r="F139" s="196"/>
      <c r="G139" s="196"/>
      <c r="H139" s="196"/>
      <c r="I139" s="196"/>
      <c r="J139" s="196"/>
      <c r="K139" s="196"/>
      <c r="L139" s="196"/>
    </row>
    <row r="140" spans="4:12" x14ac:dyDescent="0.3">
      <c r="D140" s="196"/>
      <c r="E140" s="196"/>
      <c r="F140" s="196"/>
      <c r="G140" s="196"/>
      <c r="H140" s="196"/>
      <c r="I140" s="196"/>
      <c r="J140" s="196"/>
      <c r="K140" s="196"/>
      <c r="L140" s="196"/>
    </row>
    <row r="141" spans="4:12" x14ac:dyDescent="0.3">
      <c r="D141" s="196"/>
      <c r="E141" s="196"/>
      <c r="F141" s="196"/>
      <c r="G141" s="196"/>
      <c r="H141" s="196"/>
      <c r="I141" s="196"/>
      <c r="J141" s="196"/>
      <c r="K141" s="196"/>
      <c r="L141" s="196"/>
    </row>
    <row r="142" spans="4:12" x14ac:dyDescent="0.3">
      <c r="D142" s="196"/>
      <c r="E142" s="196"/>
      <c r="F142" s="196"/>
      <c r="G142" s="196"/>
      <c r="H142" s="196"/>
      <c r="I142" s="196"/>
      <c r="J142" s="196"/>
      <c r="K142" s="196"/>
      <c r="L142" s="196"/>
    </row>
    <row r="143" spans="4:12" x14ac:dyDescent="0.3">
      <c r="D143" s="196"/>
      <c r="E143" s="196"/>
      <c r="F143" s="196"/>
      <c r="G143" s="196"/>
      <c r="H143" s="196"/>
      <c r="I143" s="196"/>
      <c r="J143" s="196"/>
      <c r="K143" s="196"/>
      <c r="L143" s="196"/>
    </row>
    <row r="144" spans="4:12" x14ac:dyDescent="0.3">
      <c r="D144" s="196"/>
      <c r="E144" s="196"/>
      <c r="F144" s="196"/>
      <c r="G144" s="196"/>
      <c r="H144" s="196"/>
      <c r="I144" s="196"/>
      <c r="J144" s="196"/>
      <c r="K144" s="196"/>
      <c r="L144" s="196"/>
    </row>
    <row r="145" spans="4:12" x14ac:dyDescent="0.3">
      <c r="D145" s="196"/>
      <c r="E145" s="196"/>
      <c r="F145" s="196"/>
      <c r="G145" s="196"/>
      <c r="H145" s="196"/>
      <c r="I145" s="196"/>
      <c r="J145" s="196"/>
      <c r="K145" s="196"/>
      <c r="L145" s="196"/>
    </row>
    <row r="146" spans="4:12" x14ac:dyDescent="0.3">
      <c r="D146" s="196"/>
      <c r="E146" s="196"/>
      <c r="F146" s="196"/>
      <c r="G146" s="196"/>
      <c r="H146" s="196"/>
      <c r="I146" s="196"/>
      <c r="J146" s="196"/>
      <c r="K146" s="196"/>
      <c r="L146" s="196"/>
    </row>
    <row r="147" spans="4:12" x14ac:dyDescent="0.3">
      <c r="D147" s="196"/>
      <c r="E147" s="196"/>
      <c r="F147" s="196"/>
      <c r="G147" s="196"/>
      <c r="H147" s="196"/>
      <c r="I147" s="196"/>
      <c r="J147" s="196"/>
      <c r="K147" s="196"/>
      <c r="L147" s="196"/>
    </row>
    <row r="148" spans="4:12" x14ac:dyDescent="0.3">
      <c r="D148" s="196"/>
      <c r="E148" s="196"/>
      <c r="F148" s="196"/>
      <c r="G148" s="196"/>
      <c r="H148" s="196"/>
      <c r="I148" s="196"/>
      <c r="J148" s="196"/>
      <c r="K148" s="196"/>
      <c r="L148" s="196"/>
    </row>
    <row r="149" spans="4:12" x14ac:dyDescent="0.3">
      <c r="D149" s="196"/>
      <c r="E149" s="196"/>
      <c r="F149" s="196"/>
      <c r="G149" s="196"/>
      <c r="H149" s="196"/>
      <c r="I149" s="196"/>
      <c r="J149" s="196"/>
      <c r="K149" s="196"/>
      <c r="L149" s="196"/>
    </row>
    <row r="150" spans="4:12" x14ac:dyDescent="0.3">
      <c r="D150" s="196"/>
      <c r="E150" s="196"/>
      <c r="F150" s="196"/>
      <c r="G150" s="196"/>
      <c r="H150" s="196"/>
      <c r="I150" s="196"/>
      <c r="J150" s="196"/>
      <c r="K150" s="196"/>
      <c r="L150" s="196"/>
    </row>
    <row r="151" spans="4:12" x14ac:dyDescent="0.3">
      <c r="D151" s="196"/>
      <c r="E151" s="196"/>
      <c r="F151" s="196"/>
      <c r="G151" s="196"/>
      <c r="H151" s="196"/>
      <c r="I151" s="196"/>
      <c r="J151" s="196"/>
      <c r="K151" s="196"/>
      <c r="L151" s="196"/>
    </row>
    <row r="152" spans="4:12" x14ac:dyDescent="0.3">
      <c r="D152" s="196"/>
      <c r="E152" s="196"/>
      <c r="F152" s="196"/>
      <c r="G152" s="196"/>
      <c r="H152" s="196"/>
      <c r="I152" s="196"/>
      <c r="J152" s="196"/>
      <c r="K152" s="196"/>
      <c r="L152" s="196"/>
    </row>
    <row r="153" spans="4:12" x14ac:dyDescent="0.3">
      <c r="D153" s="196"/>
      <c r="E153" s="196"/>
      <c r="F153" s="196"/>
      <c r="G153" s="196"/>
      <c r="H153" s="196"/>
      <c r="I153" s="196"/>
      <c r="J153" s="196"/>
      <c r="K153" s="196"/>
      <c r="L153" s="196"/>
    </row>
    <row r="154" spans="4:12" x14ac:dyDescent="0.3">
      <c r="D154" s="196"/>
      <c r="E154" s="196"/>
      <c r="F154" s="196"/>
      <c r="G154" s="196"/>
      <c r="H154" s="196"/>
      <c r="I154" s="196"/>
      <c r="J154" s="196"/>
      <c r="K154" s="196"/>
      <c r="L154" s="196"/>
    </row>
    <row r="155" spans="4:12" x14ac:dyDescent="0.3">
      <c r="D155" s="196"/>
      <c r="E155" s="196"/>
      <c r="F155" s="196"/>
      <c r="G155" s="196"/>
      <c r="H155" s="196"/>
      <c r="I155" s="196"/>
      <c r="J155" s="196"/>
      <c r="K155" s="196"/>
      <c r="L155" s="196"/>
    </row>
    <row r="156" spans="4:12" x14ac:dyDescent="0.3">
      <c r="D156" s="196"/>
      <c r="E156" s="196"/>
      <c r="F156" s="196"/>
      <c r="G156" s="196"/>
      <c r="H156" s="196"/>
      <c r="I156" s="196"/>
      <c r="J156" s="196"/>
      <c r="K156" s="196"/>
      <c r="L156" s="196"/>
    </row>
    <row r="157" spans="4:12" x14ac:dyDescent="0.3">
      <c r="D157" s="196"/>
      <c r="E157" s="196"/>
      <c r="F157" s="196"/>
      <c r="G157" s="196"/>
      <c r="H157" s="196"/>
      <c r="I157" s="196"/>
      <c r="J157" s="196"/>
      <c r="K157" s="196"/>
      <c r="L157" s="196"/>
    </row>
    <row r="158" spans="4:12" x14ac:dyDescent="0.3">
      <c r="D158" s="196"/>
      <c r="E158" s="196"/>
      <c r="F158" s="196"/>
      <c r="G158" s="196"/>
      <c r="H158" s="196"/>
      <c r="I158" s="196"/>
      <c r="J158" s="196"/>
      <c r="K158" s="196"/>
      <c r="L158" s="196"/>
    </row>
    <row r="159" spans="4:12" x14ac:dyDescent="0.3">
      <c r="D159" s="196"/>
      <c r="E159" s="196"/>
      <c r="F159" s="196"/>
      <c r="G159" s="196"/>
      <c r="H159" s="196"/>
      <c r="I159" s="196"/>
      <c r="J159" s="196"/>
      <c r="K159" s="196"/>
      <c r="L159" s="196"/>
    </row>
    <row r="160" spans="4:12" x14ac:dyDescent="0.3">
      <c r="D160" s="196"/>
      <c r="E160" s="196"/>
      <c r="F160" s="196"/>
      <c r="G160" s="196"/>
      <c r="H160" s="196"/>
      <c r="I160" s="196"/>
      <c r="J160" s="196"/>
      <c r="K160" s="196"/>
      <c r="L160" s="196"/>
    </row>
    <row r="161" spans="4:12" x14ac:dyDescent="0.3">
      <c r="D161" s="196"/>
      <c r="E161" s="196"/>
      <c r="F161" s="196"/>
      <c r="G161" s="196"/>
      <c r="H161" s="196"/>
      <c r="I161" s="196"/>
      <c r="J161" s="196"/>
      <c r="K161" s="196"/>
      <c r="L161" s="196"/>
    </row>
    <row r="162" spans="4:12" x14ac:dyDescent="0.3">
      <c r="D162" s="196"/>
      <c r="E162" s="196"/>
      <c r="F162" s="196"/>
      <c r="G162" s="196"/>
      <c r="H162" s="196"/>
      <c r="I162" s="196"/>
      <c r="J162" s="196"/>
      <c r="K162" s="196"/>
      <c r="L162" s="196"/>
    </row>
    <row r="163" spans="4:12" x14ac:dyDescent="0.3">
      <c r="D163" s="196"/>
      <c r="E163" s="196"/>
      <c r="F163" s="196"/>
      <c r="G163" s="196"/>
      <c r="H163" s="196"/>
      <c r="I163" s="196"/>
      <c r="J163" s="196"/>
      <c r="K163" s="196"/>
      <c r="L163" s="196"/>
    </row>
    <row r="164" spans="4:12" x14ac:dyDescent="0.3">
      <c r="D164" s="196"/>
      <c r="E164" s="196"/>
      <c r="F164" s="196"/>
      <c r="G164" s="196"/>
      <c r="H164" s="196"/>
      <c r="I164" s="196"/>
      <c r="J164" s="196"/>
      <c r="K164" s="196"/>
      <c r="L164" s="196"/>
    </row>
    <row r="165" spans="4:12" x14ac:dyDescent="0.3">
      <c r="D165" s="196"/>
      <c r="E165" s="196"/>
      <c r="F165" s="196"/>
      <c r="G165" s="196"/>
      <c r="H165" s="196"/>
      <c r="I165" s="196"/>
      <c r="J165" s="196"/>
      <c r="K165" s="196"/>
      <c r="L165" s="196"/>
    </row>
    <row r="166" spans="4:12" x14ac:dyDescent="0.3">
      <c r="D166" s="196"/>
      <c r="E166" s="196"/>
      <c r="F166" s="196"/>
      <c r="G166" s="196"/>
      <c r="H166" s="196"/>
      <c r="I166" s="196"/>
      <c r="J166" s="196"/>
      <c r="K166" s="196"/>
      <c r="L166" s="196"/>
    </row>
    <row r="167" spans="4:12" x14ac:dyDescent="0.3">
      <c r="D167" s="196"/>
      <c r="E167" s="196"/>
      <c r="F167" s="196"/>
      <c r="G167" s="196"/>
      <c r="H167" s="196"/>
      <c r="I167" s="196"/>
      <c r="J167" s="196"/>
      <c r="K167" s="196"/>
      <c r="L167" s="196"/>
    </row>
    <row r="168" spans="4:12" x14ac:dyDescent="0.3">
      <c r="D168" s="196"/>
      <c r="E168" s="196"/>
      <c r="F168" s="196"/>
      <c r="G168" s="196"/>
      <c r="H168" s="196"/>
      <c r="I168" s="196"/>
      <c r="J168" s="196"/>
      <c r="K168" s="196"/>
      <c r="L168" s="196"/>
    </row>
    <row r="169" spans="4:12" x14ac:dyDescent="0.3">
      <c r="D169" s="196"/>
      <c r="E169" s="196"/>
      <c r="F169" s="196"/>
      <c r="G169" s="196"/>
      <c r="H169" s="196"/>
      <c r="I169" s="196"/>
      <c r="J169" s="196"/>
      <c r="K169" s="196"/>
      <c r="L169" s="196"/>
    </row>
    <row r="170" spans="4:12" x14ac:dyDescent="0.3">
      <c r="D170" s="196"/>
      <c r="E170" s="196"/>
      <c r="F170" s="196"/>
      <c r="G170" s="196"/>
      <c r="H170" s="196"/>
      <c r="I170" s="196"/>
      <c r="J170" s="196"/>
      <c r="K170" s="196"/>
      <c r="L170" s="196"/>
    </row>
    <row r="171" spans="4:12" x14ac:dyDescent="0.3">
      <c r="D171" s="196"/>
      <c r="E171" s="196"/>
      <c r="F171" s="196"/>
      <c r="G171" s="196"/>
      <c r="H171" s="196"/>
      <c r="I171" s="196"/>
      <c r="J171" s="196"/>
      <c r="K171" s="196"/>
      <c r="L171" s="196"/>
    </row>
    <row r="172" spans="4:12" x14ac:dyDescent="0.3">
      <c r="D172" s="196"/>
      <c r="E172" s="196"/>
      <c r="F172" s="196"/>
      <c r="G172" s="196"/>
      <c r="H172" s="196"/>
      <c r="I172" s="196"/>
      <c r="J172" s="196"/>
      <c r="K172" s="196"/>
      <c r="L172" s="196"/>
    </row>
    <row r="173" spans="4:12" x14ac:dyDescent="0.3">
      <c r="D173" s="196"/>
      <c r="E173" s="196"/>
      <c r="F173" s="196"/>
      <c r="G173" s="196"/>
      <c r="H173" s="196"/>
      <c r="I173" s="196"/>
      <c r="J173" s="196"/>
      <c r="K173" s="196"/>
      <c r="L173" s="196"/>
    </row>
    <row r="174" spans="4:12" x14ac:dyDescent="0.3">
      <c r="D174" s="196"/>
      <c r="E174" s="196"/>
      <c r="F174" s="196"/>
      <c r="G174" s="196"/>
      <c r="H174" s="196"/>
      <c r="I174" s="196"/>
      <c r="J174" s="196"/>
      <c r="K174" s="196"/>
      <c r="L174" s="196"/>
    </row>
    <row r="175" spans="4:12" x14ac:dyDescent="0.3">
      <c r="D175" s="196"/>
      <c r="E175" s="196"/>
      <c r="F175" s="196"/>
      <c r="G175" s="196"/>
      <c r="H175" s="196"/>
      <c r="I175" s="196"/>
      <c r="J175" s="196"/>
      <c r="K175" s="196"/>
      <c r="L175" s="196"/>
    </row>
    <row r="176" spans="4:12" x14ac:dyDescent="0.3">
      <c r="D176" s="196"/>
      <c r="E176" s="196"/>
      <c r="F176" s="196"/>
      <c r="G176" s="196"/>
      <c r="H176" s="196"/>
      <c r="I176" s="196"/>
      <c r="J176" s="196"/>
      <c r="K176" s="196"/>
      <c r="L176" s="196"/>
    </row>
    <row r="177" spans="4:12" x14ac:dyDescent="0.3">
      <c r="D177" s="196"/>
      <c r="E177" s="196"/>
      <c r="F177" s="196"/>
      <c r="G177" s="196"/>
      <c r="H177" s="196"/>
      <c r="I177" s="196"/>
      <c r="J177" s="196"/>
      <c r="K177" s="196"/>
      <c r="L177" s="196"/>
    </row>
    <row r="178" spans="4:12" x14ac:dyDescent="0.3">
      <c r="D178" s="196"/>
      <c r="E178" s="196"/>
      <c r="F178" s="196"/>
      <c r="G178" s="196"/>
      <c r="H178" s="196"/>
      <c r="I178" s="196"/>
      <c r="J178" s="196"/>
      <c r="K178" s="196"/>
      <c r="L178" s="196"/>
    </row>
    <row r="179" spans="4:12" x14ac:dyDescent="0.3">
      <c r="D179" s="196"/>
      <c r="E179" s="196"/>
      <c r="F179" s="196"/>
      <c r="G179" s="196"/>
      <c r="H179" s="196"/>
      <c r="I179" s="196"/>
      <c r="J179" s="196"/>
      <c r="K179" s="196"/>
      <c r="L179" s="196"/>
    </row>
    <row r="180" spans="4:12" x14ac:dyDescent="0.3">
      <c r="D180" s="196"/>
      <c r="E180" s="196"/>
      <c r="F180" s="196"/>
      <c r="G180" s="196"/>
      <c r="H180" s="196"/>
      <c r="I180" s="196"/>
      <c r="J180" s="196"/>
      <c r="K180" s="196"/>
      <c r="L180" s="196"/>
    </row>
    <row r="181" spans="4:12" x14ac:dyDescent="0.3">
      <c r="D181" s="196"/>
      <c r="E181" s="196"/>
      <c r="F181" s="196"/>
      <c r="G181" s="196"/>
      <c r="H181" s="196"/>
      <c r="I181" s="196"/>
      <c r="J181" s="196"/>
      <c r="K181" s="196"/>
      <c r="L181" s="196"/>
    </row>
    <row r="182" spans="4:12" x14ac:dyDescent="0.3">
      <c r="D182" s="196"/>
      <c r="E182" s="196"/>
      <c r="F182" s="196"/>
      <c r="G182" s="196"/>
      <c r="H182" s="196"/>
      <c r="I182" s="196"/>
      <c r="J182" s="196"/>
      <c r="K182" s="196"/>
      <c r="L182" s="196"/>
    </row>
    <row r="183" spans="4:12" x14ac:dyDescent="0.3">
      <c r="D183" s="196"/>
      <c r="E183" s="196"/>
      <c r="F183" s="196"/>
      <c r="G183" s="196"/>
      <c r="H183" s="196"/>
      <c r="I183" s="196"/>
      <c r="J183" s="196"/>
      <c r="K183" s="196"/>
      <c r="L183" s="196"/>
    </row>
    <row r="184" spans="4:12" x14ac:dyDescent="0.3">
      <c r="D184" s="196"/>
      <c r="E184" s="196"/>
      <c r="F184" s="196"/>
      <c r="G184" s="196"/>
      <c r="H184" s="196"/>
      <c r="I184" s="196"/>
      <c r="J184" s="196"/>
      <c r="K184" s="196"/>
      <c r="L184" s="196"/>
    </row>
    <row r="185" spans="4:12" x14ac:dyDescent="0.3">
      <c r="D185" s="196"/>
      <c r="E185" s="196"/>
      <c r="F185" s="196"/>
      <c r="G185" s="196"/>
      <c r="H185" s="196"/>
      <c r="I185" s="196"/>
      <c r="J185" s="196"/>
      <c r="K185" s="196"/>
      <c r="L185" s="196"/>
    </row>
    <row r="186" spans="4:12" x14ac:dyDescent="0.3">
      <c r="D186" s="196"/>
      <c r="E186" s="196"/>
      <c r="F186" s="196"/>
      <c r="G186" s="196"/>
      <c r="H186" s="196"/>
      <c r="I186" s="196"/>
      <c r="J186" s="196"/>
      <c r="K186" s="196"/>
      <c r="L186" s="196"/>
    </row>
    <row r="187" spans="4:12" x14ac:dyDescent="0.3">
      <c r="D187" s="196"/>
      <c r="E187" s="196"/>
      <c r="F187" s="196"/>
      <c r="G187" s="196"/>
      <c r="H187" s="196"/>
      <c r="I187" s="196"/>
      <c r="J187" s="196"/>
      <c r="K187" s="196"/>
      <c r="L187" s="196"/>
    </row>
    <row r="188" spans="4:12" x14ac:dyDescent="0.3">
      <c r="D188" s="196"/>
      <c r="E188" s="196"/>
      <c r="F188" s="196"/>
      <c r="G188" s="196"/>
      <c r="H188" s="196"/>
      <c r="I188" s="196"/>
      <c r="J188" s="196"/>
      <c r="K188" s="196"/>
      <c r="L188" s="196"/>
    </row>
    <row r="189" spans="4:12" x14ac:dyDescent="0.3">
      <c r="D189" s="196"/>
      <c r="E189" s="196"/>
      <c r="F189" s="196"/>
      <c r="G189" s="196"/>
      <c r="H189" s="196"/>
      <c r="I189" s="196"/>
      <c r="J189" s="196"/>
      <c r="K189" s="196"/>
      <c r="L189" s="196"/>
    </row>
    <row r="190" spans="4:12" x14ac:dyDescent="0.3">
      <c r="D190" s="196"/>
      <c r="E190" s="196"/>
      <c r="F190" s="196"/>
      <c r="G190" s="196"/>
      <c r="H190" s="196"/>
      <c r="I190" s="196"/>
      <c r="J190" s="196"/>
      <c r="K190" s="196"/>
      <c r="L190" s="196"/>
    </row>
    <row r="191" spans="4:12" x14ac:dyDescent="0.3">
      <c r="D191" s="196"/>
      <c r="E191" s="196"/>
      <c r="F191" s="196"/>
      <c r="G191" s="196"/>
      <c r="H191" s="196"/>
      <c r="I191" s="196"/>
      <c r="J191" s="196"/>
      <c r="K191" s="196"/>
      <c r="L191" s="196"/>
    </row>
    <row r="192" spans="4:12" x14ac:dyDescent="0.3">
      <c r="D192" s="196"/>
      <c r="E192" s="196"/>
      <c r="F192" s="196"/>
      <c r="G192" s="196"/>
      <c r="H192" s="196"/>
      <c r="I192" s="196"/>
      <c r="J192" s="196"/>
      <c r="K192" s="196"/>
      <c r="L192" s="196"/>
    </row>
    <row r="193" spans="4:12" x14ac:dyDescent="0.3">
      <c r="D193" s="196"/>
      <c r="E193" s="196"/>
      <c r="F193" s="196"/>
      <c r="G193" s="196"/>
      <c r="H193" s="196"/>
      <c r="I193" s="196"/>
      <c r="J193" s="196"/>
      <c r="K193" s="196"/>
      <c r="L193" s="196"/>
    </row>
    <row r="194" spans="4:12" x14ac:dyDescent="0.3">
      <c r="D194" s="196"/>
      <c r="E194" s="196"/>
      <c r="F194" s="196"/>
      <c r="G194" s="196"/>
      <c r="H194" s="196"/>
      <c r="I194" s="196"/>
      <c r="J194" s="196"/>
      <c r="K194" s="196"/>
      <c r="L194" s="196"/>
    </row>
    <row r="195" spans="4:12" x14ac:dyDescent="0.3">
      <c r="D195" s="196"/>
      <c r="E195" s="196"/>
      <c r="F195" s="196"/>
      <c r="G195" s="196"/>
      <c r="H195" s="196"/>
      <c r="I195" s="196"/>
      <c r="J195" s="196"/>
      <c r="K195" s="196"/>
      <c r="L195" s="196"/>
    </row>
    <row r="196" spans="4:12" x14ac:dyDescent="0.3">
      <c r="D196" s="196"/>
      <c r="E196" s="196"/>
      <c r="F196" s="196"/>
      <c r="G196" s="196"/>
      <c r="H196" s="196"/>
      <c r="I196" s="196"/>
      <c r="J196" s="196"/>
      <c r="K196" s="196"/>
      <c r="L196" s="196"/>
    </row>
    <row r="197" spans="4:12" x14ac:dyDescent="0.3">
      <c r="D197" s="196"/>
      <c r="E197" s="196"/>
      <c r="F197" s="196"/>
      <c r="G197" s="196"/>
      <c r="H197" s="196"/>
      <c r="I197" s="196"/>
      <c r="J197" s="196"/>
      <c r="K197" s="196"/>
      <c r="L197" s="196"/>
    </row>
    <row r="198" spans="4:12" x14ac:dyDescent="0.3">
      <c r="D198" s="196"/>
      <c r="E198" s="196"/>
      <c r="F198" s="196"/>
      <c r="G198" s="196"/>
      <c r="H198" s="196"/>
      <c r="I198" s="196"/>
      <c r="J198" s="196"/>
      <c r="K198" s="196"/>
      <c r="L198" s="196"/>
    </row>
    <row r="199" spans="4:12" x14ac:dyDescent="0.3">
      <c r="D199" s="196"/>
      <c r="E199" s="196"/>
      <c r="F199" s="196"/>
      <c r="G199" s="196"/>
      <c r="H199" s="196"/>
      <c r="I199" s="196"/>
      <c r="J199" s="196"/>
      <c r="K199" s="196"/>
      <c r="L199" s="196"/>
    </row>
    <row r="200" spans="4:12" x14ac:dyDescent="0.3">
      <c r="D200" s="196"/>
      <c r="E200" s="196"/>
      <c r="F200" s="196"/>
      <c r="G200" s="196"/>
      <c r="H200" s="196"/>
      <c r="I200" s="196"/>
      <c r="J200" s="196"/>
      <c r="K200" s="196"/>
      <c r="L200" s="196"/>
    </row>
    <row r="201" spans="4:12" x14ac:dyDescent="0.3">
      <c r="D201" s="196"/>
      <c r="E201" s="196"/>
      <c r="F201" s="196"/>
      <c r="G201" s="196"/>
      <c r="H201" s="196"/>
      <c r="I201" s="196"/>
      <c r="J201" s="196"/>
      <c r="K201" s="196"/>
      <c r="L201" s="196"/>
    </row>
    <row r="202" spans="4:12" x14ac:dyDescent="0.3">
      <c r="D202" s="196"/>
      <c r="E202" s="196"/>
      <c r="F202" s="196"/>
      <c r="G202" s="196"/>
      <c r="H202" s="196"/>
      <c r="I202" s="196"/>
      <c r="J202" s="196"/>
      <c r="K202" s="196"/>
      <c r="L202" s="196"/>
    </row>
    <row r="203" spans="4:12" x14ac:dyDescent="0.3">
      <c r="D203" s="196"/>
      <c r="E203" s="196"/>
      <c r="F203" s="196"/>
      <c r="G203" s="196"/>
      <c r="H203" s="196"/>
      <c r="I203" s="196"/>
      <c r="J203" s="196"/>
      <c r="K203" s="196"/>
      <c r="L203" s="196"/>
    </row>
    <row r="204" spans="4:12" x14ac:dyDescent="0.3">
      <c r="D204" s="196"/>
      <c r="E204" s="196"/>
      <c r="F204" s="196"/>
      <c r="G204" s="196"/>
      <c r="H204" s="196"/>
      <c r="I204" s="196"/>
      <c r="J204" s="196"/>
      <c r="K204" s="196"/>
      <c r="L204" s="196"/>
    </row>
    <row r="205" spans="4:12" x14ac:dyDescent="0.3">
      <c r="D205" s="196"/>
      <c r="E205" s="196"/>
      <c r="F205" s="196"/>
      <c r="G205" s="196"/>
      <c r="H205" s="196"/>
      <c r="I205" s="196"/>
      <c r="J205" s="196"/>
      <c r="K205" s="196"/>
      <c r="L205" s="196"/>
    </row>
    <row r="206" spans="4:12" x14ac:dyDescent="0.3">
      <c r="D206" s="196"/>
      <c r="E206" s="196"/>
      <c r="F206" s="196"/>
      <c r="G206" s="196"/>
      <c r="H206" s="196"/>
      <c r="I206" s="196"/>
      <c r="J206" s="196"/>
      <c r="K206" s="196"/>
      <c r="L206" s="196"/>
    </row>
    <row r="207" spans="4:12" x14ac:dyDescent="0.3">
      <c r="D207" s="196"/>
      <c r="E207" s="196"/>
      <c r="F207" s="196"/>
      <c r="G207" s="196"/>
      <c r="H207" s="196"/>
      <c r="I207" s="196"/>
      <c r="J207" s="196"/>
      <c r="K207" s="196"/>
      <c r="L207" s="196"/>
    </row>
    <row r="208" spans="4:12" x14ac:dyDescent="0.3">
      <c r="D208" s="196"/>
      <c r="E208" s="196"/>
      <c r="F208" s="196"/>
      <c r="G208" s="196"/>
      <c r="H208" s="196"/>
      <c r="I208" s="196"/>
      <c r="J208" s="196"/>
      <c r="K208" s="196"/>
      <c r="L208" s="196"/>
    </row>
    <row r="209" spans="4:12" x14ac:dyDescent="0.3">
      <c r="D209" s="196"/>
      <c r="E209" s="196"/>
      <c r="F209" s="196"/>
      <c r="G209" s="196"/>
      <c r="H209" s="196"/>
      <c r="I209" s="196"/>
      <c r="J209" s="196"/>
      <c r="K209" s="196"/>
      <c r="L209" s="196"/>
    </row>
    <row r="210" spans="4:12" x14ac:dyDescent="0.3">
      <c r="D210" s="196"/>
      <c r="E210" s="196"/>
      <c r="F210" s="196"/>
      <c r="G210" s="196"/>
      <c r="H210" s="196"/>
      <c r="I210" s="196"/>
      <c r="J210" s="196"/>
      <c r="K210" s="196"/>
      <c r="L210" s="196"/>
    </row>
    <row r="211" spans="4:12" x14ac:dyDescent="0.3">
      <c r="D211" s="196"/>
      <c r="E211" s="196"/>
      <c r="F211" s="196"/>
      <c r="G211" s="196"/>
      <c r="H211" s="196"/>
      <c r="I211" s="196"/>
      <c r="J211" s="196"/>
      <c r="K211" s="196"/>
      <c r="L211" s="196"/>
    </row>
    <row r="212" spans="4:12" x14ac:dyDescent="0.3">
      <c r="D212" s="196"/>
      <c r="E212" s="196"/>
      <c r="F212" s="196"/>
      <c r="G212" s="196"/>
      <c r="H212" s="196"/>
      <c r="I212" s="196"/>
      <c r="J212" s="196"/>
      <c r="K212" s="196"/>
      <c r="L212" s="196"/>
    </row>
    <row r="213" spans="4:12" x14ac:dyDescent="0.3">
      <c r="D213" s="196"/>
      <c r="E213" s="196"/>
      <c r="F213" s="196"/>
      <c r="G213" s="196"/>
      <c r="H213" s="196"/>
      <c r="I213" s="196"/>
      <c r="J213" s="196"/>
      <c r="K213" s="196"/>
      <c r="L213" s="196"/>
    </row>
    <row r="214" spans="4:12" x14ac:dyDescent="0.3">
      <c r="D214" s="196"/>
      <c r="E214" s="196"/>
      <c r="F214" s="196"/>
      <c r="G214" s="196"/>
      <c r="H214" s="196"/>
      <c r="I214" s="196"/>
      <c r="J214" s="196"/>
      <c r="K214" s="196"/>
      <c r="L214" s="196"/>
    </row>
    <row r="215" spans="4:12" x14ac:dyDescent="0.3">
      <c r="D215" s="196"/>
      <c r="E215" s="196"/>
      <c r="F215" s="196"/>
      <c r="G215" s="196"/>
      <c r="H215" s="196"/>
      <c r="I215" s="196"/>
      <c r="J215" s="196"/>
      <c r="K215" s="196"/>
      <c r="L215" s="196"/>
    </row>
    <row r="216" spans="4:12" x14ac:dyDescent="0.3">
      <c r="D216" s="196"/>
      <c r="E216" s="196"/>
      <c r="F216" s="196"/>
      <c r="G216" s="196"/>
      <c r="H216" s="196"/>
      <c r="I216" s="196"/>
      <c r="J216" s="196"/>
      <c r="K216" s="196"/>
      <c r="L216" s="196"/>
    </row>
    <row r="217" spans="4:12" x14ac:dyDescent="0.3">
      <c r="D217" s="196"/>
      <c r="E217" s="196"/>
      <c r="F217" s="196"/>
      <c r="G217" s="196"/>
      <c r="H217" s="196"/>
      <c r="I217" s="196"/>
      <c r="J217" s="196"/>
      <c r="K217" s="196"/>
      <c r="L217" s="196"/>
    </row>
    <row r="218" spans="4:12" x14ac:dyDescent="0.3">
      <c r="D218" s="196"/>
      <c r="E218" s="196"/>
      <c r="F218" s="196"/>
      <c r="G218" s="196"/>
      <c r="H218" s="196"/>
      <c r="I218" s="196"/>
      <c r="J218" s="196"/>
      <c r="K218" s="196"/>
      <c r="L218" s="196"/>
    </row>
    <row r="219" spans="4:12" x14ac:dyDescent="0.3">
      <c r="D219" s="196"/>
      <c r="E219" s="196"/>
      <c r="F219" s="196"/>
      <c r="G219" s="196"/>
      <c r="H219" s="196"/>
      <c r="I219" s="196"/>
      <c r="J219" s="196"/>
      <c r="K219" s="196"/>
      <c r="L219" s="196"/>
    </row>
    <row r="220" spans="4:12" x14ac:dyDescent="0.3">
      <c r="D220" s="196"/>
      <c r="E220" s="196"/>
      <c r="F220" s="196"/>
      <c r="G220" s="196"/>
      <c r="H220" s="196"/>
      <c r="I220" s="196"/>
      <c r="J220" s="196"/>
      <c r="K220" s="196"/>
      <c r="L220" s="196"/>
    </row>
    <row r="221" spans="4:12" x14ac:dyDescent="0.3">
      <c r="D221" s="196"/>
      <c r="E221" s="196"/>
      <c r="F221" s="196"/>
      <c r="G221" s="196"/>
      <c r="H221" s="196"/>
      <c r="I221" s="196"/>
      <c r="J221" s="196"/>
      <c r="K221" s="196"/>
      <c r="L221" s="196"/>
    </row>
    <row r="222" spans="4:12" x14ac:dyDescent="0.3">
      <c r="D222" s="196"/>
      <c r="E222" s="196"/>
      <c r="F222" s="196"/>
      <c r="G222" s="196"/>
      <c r="H222" s="196"/>
      <c r="I222" s="196"/>
      <c r="J222" s="196"/>
      <c r="K222" s="196"/>
      <c r="L222" s="196"/>
    </row>
    <row r="223" spans="4:12" x14ac:dyDescent="0.3">
      <c r="D223" s="196"/>
      <c r="E223" s="196"/>
      <c r="F223" s="196"/>
      <c r="G223" s="196"/>
      <c r="H223" s="196"/>
      <c r="I223" s="196"/>
      <c r="J223" s="196"/>
      <c r="K223" s="196"/>
      <c r="L223" s="196"/>
    </row>
    <row r="224" spans="4:12" x14ac:dyDescent="0.3">
      <c r="D224" s="196"/>
      <c r="E224" s="196"/>
      <c r="F224" s="196"/>
      <c r="G224" s="196"/>
      <c r="H224" s="196"/>
      <c r="I224" s="196"/>
      <c r="J224" s="196"/>
      <c r="K224" s="196"/>
      <c r="L224" s="196"/>
    </row>
    <row r="225" spans="4:12" x14ac:dyDescent="0.3">
      <c r="D225" s="196"/>
      <c r="E225" s="196"/>
      <c r="F225" s="196"/>
      <c r="G225" s="196"/>
      <c r="H225" s="196"/>
      <c r="I225" s="196"/>
      <c r="J225" s="196"/>
      <c r="K225" s="196"/>
      <c r="L225" s="196"/>
    </row>
    <row r="226" spans="4:12" x14ac:dyDescent="0.3">
      <c r="D226" s="196"/>
      <c r="E226" s="196"/>
      <c r="F226" s="196"/>
      <c r="G226" s="196"/>
      <c r="H226" s="196"/>
      <c r="I226" s="196"/>
      <c r="J226" s="196"/>
      <c r="K226" s="196"/>
      <c r="L226" s="196"/>
    </row>
    <row r="227" spans="4:12" x14ac:dyDescent="0.3">
      <c r="D227" s="196"/>
      <c r="E227" s="196"/>
      <c r="F227" s="196"/>
      <c r="G227" s="196"/>
      <c r="H227" s="196"/>
      <c r="I227" s="196"/>
      <c r="J227" s="196"/>
      <c r="K227" s="196"/>
      <c r="L227" s="196"/>
    </row>
    <row r="228" spans="4:12" x14ac:dyDescent="0.3">
      <c r="D228" s="196"/>
      <c r="E228" s="196"/>
      <c r="F228" s="196"/>
      <c r="G228" s="196"/>
      <c r="H228" s="196"/>
      <c r="I228" s="196"/>
      <c r="J228" s="196"/>
      <c r="K228" s="196"/>
      <c r="L228" s="196"/>
    </row>
    <row r="229" spans="4:12" x14ac:dyDescent="0.3">
      <c r="D229" s="196"/>
      <c r="E229" s="196"/>
      <c r="F229" s="196"/>
      <c r="G229" s="196"/>
      <c r="H229" s="196"/>
      <c r="I229" s="196"/>
      <c r="J229" s="196"/>
      <c r="K229" s="196"/>
      <c r="L229" s="196"/>
    </row>
    <row r="230" spans="4:12" x14ac:dyDescent="0.3">
      <c r="D230" s="196"/>
      <c r="E230" s="196"/>
      <c r="F230" s="196"/>
      <c r="G230" s="196"/>
      <c r="H230" s="196"/>
      <c r="I230" s="196"/>
      <c r="J230" s="196"/>
      <c r="K230" s="196"/>
      <c r="L230" s="196"/>
    </row>
    <row r="231" spans="4:12" x14ac:dyDescent="0.3">
      <c r="D231" s="196"/>
      <c r="E231" s="196"/>
      <c r="F231" s="196"/>
      <c r="G231" s="196"/>
      <c r="H231" s="196"/>
      <c r="I231" s="196"/>
      <c r="J231" s="196"/>
      <c r="K231" s="196"/>
      <c r="L231" s="196"/>
    </row>
    <row r="232" spans="4:12" x14ac:dyDescent="0.3">
      <c r="D232" s="196"/>
      <c r="E232" s="196"/>
      <c r="F232" s="196"/>
      <c r="G232" s="196"/>
      <c r="H232" s="196"/>
      <c r="I232" s="196"/>
      <c r="J232" s="196"/>
      <c r="K232" s="196"/>
      <c r="L232" s="196"/>
    </row>
  </sheetData>
  <mergeCells count="41">
    <mergeCell ref="L4:L5"/>
    <mergeCell ref="A6:A22"/>
    <mergeCell ref="B6:B10"/>
    <mergeCell ref="B11:B14"/>
    <mergeCell ref="B15:B20"/>
    <mergeCell ref="B22:C22"/>
    <mergeCell ref="A4:A5"/>
    <mergeCell ref="B4:B5"/>
    <mergeCell ref="C4:C5"/>
    <mergeCell ref="F4:F5"/>
    <mergeCell ref="G4:G5"/>
    <mergeCell ref="K4:K5"/>
    <mergeCell ref="A23:A46"/>
    <mergeCell ref="B23:B31"/>
    <mergeCell ref="B32:B40"/>
    <mergeCell ref="B41:B45"/>
    <mergeCell ref="B46:C46"/>
    <mergeCell ref="B65:C65"/>
    <mergeCell ref="A66:A79"/>
    <mergeCell ref="B66:B69"/>
    <mergeCell ref="B70:B73"/>
    <mergeCell ref="B74:B77"/>
    <mergeCell ref="B79:C79"/>
    <mergeCell ref="A47:A65"/>
    <mergeCell ref="B47:B51"/>
    <mergeCell ref="B52:B53"/>
    <mergeCell ref="B54:B56"/>
    <mergeCell ref="B57:B64"/>
    <mergeCell ref="A80:A102"/>
    <mergeCell ref="B80:B85"/>
    <mergeCell ref="B86:B93"/>
    <mergeCell ref="B94:B98"/>
    <mergeCell ref="B99:B101"/>
    <mergeCell ref="B102:C102"/>
    <mergeCell ref="A116:C116"/>
    <mergeCell ref="A103:A114"/>
    <mergeCell ref="B103:B107"/>
    <mergeCell ref="B108:B111"/>
    <mergeCell ref="B112:B113"/>
    <mergeCell ref="B114:C114"/>
    <mergeCell ref="B115:C115"/>
  </mergeCells>
  <phoneticPr fontId="1" type="noConversion"/>
  <hyperlinks>
    <hyperlink ref="J1" location="목차!A1" display="목차" xr:uid="{C3F28B0B-25A4-42E2-B088-2C0648A9D2DB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5AFA-BBEA-41E9-923B-8DE6D279C414}">
  <sheetPr>
    <tabColor theme="0" tint="-4.9989318521683403E-2"/>
  </sheetPr>
  <dimension ref="A1:K74"/>
  <sheetViews>
    <sheetView topLeftCell="A36" zoomScale="55" zoomScaleNormal="55" workbookViewId="0">
      <selection activeCell="A71" sqref="A71"/>
    </sheetView>
  </sheetViews>
  <sheetFormatPr defaultRowHeight="16.5" x14ac:dyDescent="0.3"/>
  <cols>
    <col min="1" max="1" width="13.25" customWidth="1"/>
    <col min="2" max="2" width="37.625" customWidth="1"/>
    <col min="3" max="11" width="9.5" customWidth="1"/>
  </cols>
  <sheetData>
    <row r="1" spans="1:11" ht="17.25" x14ac:dyDescent="0.3">
      <c r="A1" s="7" t="s">
        <v>1268</v>
      </c>
      <c r="B1" s="2"/>
      <c r="C1" s="2"/>
      <c r="D1" s="2"/>
      <c r="E1" s="2"/>
      <c r="F1" s="2"/>
      <c r="G1" s="2"/>
      <c r="I1" s="72" t="s">
        <v>367</v>
      </c>
    </row>
    <row r="3" spans="1:11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33" t="s">
        <v>843</v>
      </c>
    </row>
    <row r="4" spans="1:11" x14ac:dyDescent="0.3">
      <c r="A4" s="311" t="s">
        <v>1208</v>
      </c>
      <c r="B4" s="311" t="s">
        <v>1209</v>
      </c>
      <c r="C4" s="341" t="s">
        <v>78</v>
      </c>
      <c r="D4" s="181" t="s">
        <v>499</v>
      </c>
      <c r="E4" s="341" t="s">
        <v>80</v>
      </c>
      <c r="F4" s="341" t="s">
        <v>81</v>
      </c>
      <c r="G4" s="181" t="s">
        <v>500</v>
      </c>
      <c r="H4" s="181" t="s">
        <v>501</v>
      </c>
      <c r="I4" s="181" t="s">
        <v>3</v>
      </c>
      <c r="J4" s="341" t="s">
        <v>85</v>
      </c>
      <c r="K4" s="340" t="s">
        <v>86</v>
      </c>
    </row>
    <row r="5" spans="1:11" x14ac:dyDescent="0.3">
      <c r="A5" s="311"/>
      <c r="B5" s="311"/>
      <c r="C5" s="341"/>
      <c r="D5" s="181" t="s">
        <v>502</v>
      </c>
      <c r="E5" s="341"/>
      <c r="F5" s="341"/>
      <c r="G5" s="181" t="s">
        <v>255</v>
      </c>
      <c r="H5" s="181" t="s">
        <v>255</v>
      </c>
      <c r="I5" s="181" t="s">
        <v>254</v>
      </c>
      <c r="J5" s="341"/>
      <c r="K5" s="340"/>
    </row>
    <row r="6" spans="1:11" ht="15.75" customHeight="1" x14ac:dyDescent="0.3">
      <c r="A6" s="307" t="s">
        <v>460</v>
      </c>
      <c r="B6" s="95" t="s">
        <v>1210</v>
      </c>
      <c r="C6" s="95">
        <v>0</v>
      </c>
      <c r="D6" s="95">
        <v>1079</v>
      </c>
      <c r="E6" s="95">
        <v>1769</v>
      </c>
      <c r="F6" s="95">
        <v>0</v>
      </c>
      <c r="G6" s="95">
        <v>141</v>
      </c>
      <c r="H6" s="95">
        <v>910</v>
      </c>
      <c r="I6" s="95">
        <v>0</v>
      </c>
      <c r="J6" s="95">
        <v>234</v>
      </c>
      <c r="K6" s="95">
        <v>4133</v>
      </c>
    </row>
    <row r="7" spans="1:11" ht="15.75" customHeight="1" x14ac:dyDescent="0.3">
      <c r="A7" s="323"/>
      <c r="B7" s="95" t="s">
        <v>1211</v>
      </c>
      <c r="C7" s="95">
        <v>0</v>
      </c>
      <c r="D7" s="95">
        <v>35</v>
      </c>
      <c r="E7" s="95">
        <v>133</v>
      </c>
      <c r="F7" s="95">
        <v>0</v>
      </c>
      <c r="G7" s="95">
        <v>45</v>
      </c>
      <c r="H7" s="95">
        <v>35</v>
      </c>
      <c r="I7" s="95">
        <v>0</v>
      </c>
      <c r="J7" s="95">
        <v>22</v>
      </c>
      <c r="K7" s="95">
        <v>270</v>
      </c>
    </row>
    <row r="8" spans="1:11" ht="15.75" customHeight="1" x14ac:dyDescent="0.3">
      <c r="A8" s="323"/>
      <c r="B8" s="95" t="s">
        <v>1212</v>
      </c>
      <c r="C8" s="95">
        <v>0</v>
      </c>
      <c r="D8" s="95">
        <v>432</v>
      </c>
      <c r="E8" s="95">
        <v>425</v>
      </c>
      <c r="F8" s="95">
        <v>0</v>
      </c>
      <c r="G8" s="95">
        <v>85</v>
      </c>
      <c r="H8" s="95">
        <v>233</v>
      </c>
      <c r="I8" s="95">
        <v>0</v>
      </c>
      <c r="J8" s="95">
        <v>43</v>
      </c>
      <c r="K8" s="95">
        <v>1218</v>
      </c>
    </row>
    <row r="9" spans="1:11" ht="15.75" customHeight="1" x14ac:dyDescent="0.3">
      <c r="A9" s="323"/>
      <c r="B9" s="95" t="s">
        <v>1213</v>
      </c>
      <c r="C9" s="95">
        <v>0</v>
      </c>
      <c r="D9" s="95">
        <v>551</v>
      </c>
      <c r="E9" s="95">
        <v>1157</v>
      </c>
      <c r="F9" s="95">
        <v>80</v>
      </c>
      <c r="G9" s="95">
        <v>113</v>
      </c>
      <c r="H9" s="95">
        <v>608</v>
      </c>
      <c r="I9" s="95">
        <v>0</v>
      </c>
      <c r="J9" s="95">
        <v>73</v>
      </c>
      <c r="K9" s="95">
        <v>2581</v>
      </c>
    </row>
    <row r="10" spans="1:11" ht="15.75" customHeight="1" x14ac:dyDescent="0.3">
      <c r="A10" s="323"/>
      <c r="B10" s="95" t="s">
        <v>1214</v>
      </c>
      <c r="C10" s="95">
        <v>0</v>
      </c>
      <c r="D10" s="95">
        <v>56</v>
      </c>
      <c r="E10" s="95">
        <v>283</v>
      </c>
      <c r="F10" s="95">
        <v>0</v>
      </c>
      <c r="G10" s="95">
        <v>0</v>
      </c>
      <c r="H10" s="95">
        <v>37</v>
      </c>
      <c r="I10" s="95">
        <v>0</v>
      </c>
      <c r="J10" s="95">
        <v>28</v>
      </c>
      <c r="K10" s="95">
        <v>404</v>
      </c>
    </row>
    <row r="11" spans="1:11" ht="15.75" customHeight="1" x14ac:dyDescent="0.3">
      <c r="A11" s="323"/>
      <c r="B11" s="95" t="s">
        <v>1215</v>
      </c>
      <c r="C11" s="95">
        <v>0</v>
      </c>
      <c r="D11" s="95">
        <v>67</v>
      </c>
      <c r="E11" s="95">
        <v>190</v>
      </c>
      <c r="F11" s="95">
        <v>32</v>
      </c>
      <c r="G11" s="95">
        <v>0</v>
      </c>
      <c r="H11" s="95">
        <v>151</v>
      </c>
      <c r="I11" s="95">
        <v>0</v>
      </c>
      <c r="J11" s="95">
        <v>40</v>
      </c>
      <c r="K11" s="95">
        <v>480</v>
      </c>
    </row>
    <row r="12" spans="1:11" ht="15.75" customHeight="1" x14ac:dyDescent="0.3">
      <c r="A12" s="323"/>
      <c r="B12" s="95" t="s">
        <v>1216</v>
      </c>
      <c r="C12" s="95">
        <v>0</v>
      </c>
      <c r="D12" s="95">
        <v>45</v>
      </c>
      <c r="E12" s="95">
        <v>126</v>
      </c>
      <c r="F12" s="95">
        <v>0</v>
      </c>
      <c r="G12" s="95">
        <v>9</v>
      </c>
      <c r="H12" s="95">
        <v>9</v>
      </c>
      <c r="I12" s="95">
        <v>0</v>
      </c>
      <c r="J12" s="95">
        <v>0</v>
      </c>
      <c r="K12" s="95">
        <v>190</v>
      </c>
    </row>
    <row r="13" spans="1:11" ht="15.75" customHeight="1" x14ac:dyDescent="0.3">
      <c r="A13" s="323"/>
      <c r="B13" s="95" t="s">
        <v>1217</v>
      </c>
      <c r="C13" s="95">
        <v>0</v>
      </c>
      <c r="D13" s="95">
        <v>10</v>
      </c>
      <c r="E13" s="95">
        <v>84</v>
      </c>
      <c r="F13" s="95">
        <v>0</v>
      </c>
      <c r="G13" s="95">
        <v>0</v>
      </c>
      <c r="H13" s="95">
        <v>3</v>
      </c>
      <c r="I13" s="95">
        <v>0</v>
      </c>
      <c r="J13" s="95">
        <v>23</v>
      </c>
      <c r="K13" s="95">
        <v>120</v>
      </c>
    </row>
    <row r="14" spans="1:11" ht="15.75" customHeight="1" x14ac:dyDescent="0.3">
      <c r="A14" s="308"/>
      <c r="B14" s="98" t="s">
        <v>110</v>
      </c>
      <c r="C14" s="98">
        <v>0</v>
      </c>
      <c r="D14" s="98">
        <v>2276</v>
      </c>
      <c r="E14" s="98">
        <v>4166</v>
      </c>
      <c r="F14" s="98">
        <v>112</v>
      </c>
      <c r="G14" s="98">
        <v>393</v>
      </c>
      <c r="H14" s="98">
        <v>1985</v>
      </c>
      <c r="I14" s="98">
        <v>0</v>
      </c>
      <c r="J14" s="98">
        <v>464</v>
      </c>
      <c r="K14" s="98">
        <v>9397</v>
      </c>
    </row>
    <row r="15" spans="1:11" ht="15.75" customHeight="1" x14ac:dyDescent="0.3">
      <c r="A15" s="307" t="s">
        <v>461</v>
      </c>
      <c r="B15" s="95" t="s">
        <v>1218</v>
      </c>
      <c r="C15" s="95">
        <v>0</v>
      </c>
      <c r="D15" s="95">
        <v>162</v>
      </c>
      <c r="E15" s="95">
        <v>117</v>
      </c>
      <c r="F15" s="95">
        <v>0</v>
      </c>
      <c r="G15" s="95">
        <v>0</v>
      </c>
      <c r="H15" s="95">
        <v>123</v>
      </c>
      <c r="I15" s="95">
        <v>0</v>
      </c>
      <c r="J15" s="95">
        <v>38</v>
      </c>
      <c r="K15" s="95">
        <v>440</v>
      </c>
    </row>
    <row r="16" spans="1:11" ht="15.75" customHeight="1" x14ac:dyDescent="0.3">
      <c r="A16" s="323"/>
      <c r="B16" s="95" t="s">
        <v>1219</v>
      </c>
      <c r="C16" s="95">
        <v>0</v>
      </c>
      <c r="D16" s="95">
        <v>19</v>
      </c>
      <c r="E16" s="95">
        <v>62</v>
      </c>
      <c r="F16" s="95">
        <v>0</v>
      </c>
      <c r="G16" s="95">
        <v>0</v>
      </c>
      <c r="H16" s="95">
        <v>70</v>
      </c>
      <c r="I16" s="95">
        <v>0</v>
      </c>
      <c r="J16" s="95">
        <v>4</v>
      </c>
      <c r="K16" s="95">
        <v>155</v>
      </c>
    </row>
    <row r="17" spans="1:11" ht="15.75" customHeight="1" x14ac:dyDescent="0.3">
      <c r="A17" s="323"/>
      <c r="B17" s="95" t="s">
        <v>1220</v>
      </c>
      <c r="C17" s="95">
        <v>0</v>
      </c>
      <c r="D17" s="95">
        <v>187</v>
      </c>
      <c r="E17" s="95">
        <v>306</v>
      </c>
      <c r="F17" s="95">
        <v>9</v>
      </c>
      <c r="G17" s="95">
        <v>15</v>
      </c>
      <c r="H17" s="95">
        <v>122</v>
      </c>
      <c r="I17" s="95">
        <v>0</v>
      </c>
      <c r="J17" s="95">
        <v>6</v>
      </c>
      <c r="K17" s="95">
        <v>645</v>
      </c>
    </row>
    <row r="18" spans="1:11" ht="15.75" customHeight="1" x14ac:dyDescent="0.3">
      <c r="A18" s="323"/>
      <c r="B18" s="95" t="s">
        <v>1221</v>
      </c>
      <c r="C18" s="95">
        <v>0</v>
      </c>
      <c r="D18" s="95">
        <v>482</v>
      </c>
      <c r="E18" s="95">
        <v>626</v>
      </c>
      <c r="F18" s="95">
        <v>11</v>
      </c>
      <c r="G18" s="95">
        <v>29</v>
      </c>
      <c r="H18" s="95">
        <v>175</v>
      </c>
      <c r="I18" s="95">
        <v>0</v>
      </c>
      <c r="J18" s="95">
        <v>19</v>
      </c>
      <c r="K18" s="95">
        <v>1342</v>
      </c>
    </row>
    <row r="19" spans="1:11" ht="15.75" customHeight="1" x14ac:dyDescent="0.3">
      <c r="A19" s="308"/>
      <c r="B19" s="98" t="s">
        <v>110</v>
      </c>
      <c r="C19" s="98">
        <v>0</v>
      </c>
      <c r="D19" s="98">
        <v>850</v>
      </c>
      <c r="E19" s="98">
        <v>1111</v>
      </c>
      <c r="F19" s="98">
        <v>20</v>
      </c>
      <c r="G19" s="98">
        <v>44</v>
      </c>
      <c r="H19" s="98">
        <v>489</v>
      </c>
      <c r="I19" s="98">
        <v>0</v>
      </c>
      <c r="J19" s="98">
        <v>66</v>
      </c>
      <c r="K19" s="98">
        <v>2581</v>
      </c>
    </row>
    <row r="20" spans="1:11" ht="15.75" customHeight="1" x14ac:dyDescent="0.3">
      <c r="A20" s="307" t="s">
        <v>462</v>
      </c>
      <c r="B20" s="95" t="s">
        <v>1222</v>
      </c>
      <c r="C20" s="95">
        <v>0</v>
      </c>
      <c r="D20" s="95">
        <v>289</v>
      </c>
      <c r="E20" s="95">
        <v>385</v>
      </c>
      <c r="F20" s="95">
        <v>109</v>
      </c>
      <c r="G20" s="95">
        <v>142</v>
      </c>
      <c r="H20" s="95">
        <v>361</v>
      </c>
      <c r="I20" s="95">
        <v>0</v>
      </c>
      <c r="J20" s="95">
        <v>617</v>
      </c>
      <c r="K20" s="95">
        <v>1903</v>
      </c>
    </row>
    <row r="21" spans="1:11" ht="15.75" customHeight="1" x14ac:dyDescent="0.3">
      <c r="A21" s="323"/>
      <c r="B21" s="95" t="s">
        <v>1223</v>
      </c>
      <c r="C21" s="95">
        <v>0</v>
      </c>
      <c r="D21" s="95">
        <v>329</v>
      </c>
      <c r="E21" s="95">
        <v>199</v>
      </c>
      <c r="F21" s="95">
        <v>0</v>
      </c>
      <c r="G21" s="95">
        <v>5</v>
      </c>
      <c r="H21" s="95">
        <v>87</v>
      </c>
      <c r="I21" s="95">
        <v>0</v>
      </c>
      <c r="J21" s="95">
        <v>11</v>
      </c>
      <c r="K21" s="95">
        <v>632</v>
      </c>
    </row>
    <row r="22" spans="1:11" ht="15.75" customHeight="1" x14ac:dyDescent="0.3">
      <c r="A22" s="323"/>
      <c r="B22" s="95" t="s">
        <v>1224</v>
      </c>
      <c r="C22" s="95">
        <v>0</v>
      </c>
      <c r="D22" s="95">
        <v>284</v>
      </c>
      <c r="E22" s="95">
        <v>155</v>
      </c>
      <c r="F22" s="95">
        <v>45</v>
      </c>
      <c r="G22" s="95">
        <v>100</v>
      </c>
      <c r="H22" s="95">
        <v>383</v>
      </c>
      <c r="I22" s="95">
        <v>0</v>
      </c>
      <c r="J22" s="95">
        <v>308</v>
      </c>
      <c r="K22" s="95">
        <v>1275</v>
      </c>
    </row>
    <row r="23" spans="1:11" ht="15.75" customHeight="1" x14ac:dyDescent="0.3">
      <c r="A23" s="308"/>
      <c r="B23" s="98" t="s">
        <v>110</v>
      </c>
      <c r="C23" s="98">
        <v>0</v>
      </c>
      <c r="D23" s="98">
        <v>902</v>
      </c>
      <c r="E23" s="98">
        <v>738</v>
      </c>
      <c r="F23" s="98">
        <v>154</v>
      </c>
      <c r="G23" s="98">
        <v>247</v>
      </c>
      <c r="H23" s="98">
        <v>831</v>
      </c>
      <c r="I23" s="98">
        <v>0</v>
      </c>
      <c r="J23" s="98">
        <v>936</v>
      </c>
      <c r="K23" s="98">
        <v>3809</v>
      </c>
    </row>
    <row r="24" spans="1:11" ht="15.75" customHeight="1" x14ac:dyDescent="0.3">
      <c r="A24" s="307" t="s">
        <v>463</v>
      </c>
      <c r="B24" s="95" t="s">
        <v>1225</v>
      </c>
      <c r="C24" s="95">
        <v>0</v>
      </c>
      <c r="D24" s="95">
        <v>205</v>
      </c>
      <c r="E24" s="95">
        <v>95</v>
      </c>
      <c r="F24" s="95">
        <v>14</v>
      </c>
      <c r="G24" s="95">
        <v>0</v>
      </c>
      <c r="H24" s="95">
        <v>75</v>
      </c>
      <c r="I24" s="95">
        <v>0</v>
      </c>
      <c r="J24" s="95">
        <v>25</v>
      </c>
      <c r="K24" s="95">
        <v>413</v>
      </c>
    </row>
    <row r="25" spans="1:11" ht="15.75" customHeight="1" x14ac:dyDescent="0.3">
      <c r="A25" s="323"/>
      <c r="B25" s="95" t="s">
        <v>1226</v>
      </c>
      <c r="C25" s="95">
        <v>0</v>
      </c>
      <c r="D25" s="95">
        <v>682</v>
      </c>
      <c r="E25" s="95">
        <v>108</v>
      </c>
      <c r="F25" s="95">
        <v>18</v>
      </c>
      <c r="G25" s="95">
        <v>33</v>
      </c>
      <c r="H25" s="95">
        <v>167</v>
      </c>
      <c r="I25" s="95">
        <v>0</v>
      </c>
      <c r="J25" s="95">
        <v>278</v>
      </c>
      <c r="K25" s="95">
        <v>1286</v>
      </c>
    </row>
    <row r="26" spans="1:11" ht="15.75" customHeight="1" x14ac:dyDescent="0.3">
      <c r="A26" s="308"/>
      <c r="B26" s="98" t="s">
        <v>110</v>
      </c>
      <c r="C26" s="98">
        <v>0</v>
      </c>
      <c r="D26" s="98">
        <v>887</v>
      </c>
      <c r="E26" s="98">
        <v>203</v>
      </c>
      <c r="F26" s="98">
        <v>32</v>
      </c>
      <c r="G26" s="98">
        <v>33</v>
      </c>
      <c r="H26" s="98">
        <v>241</v>
      </c>
      <c r="I26" s="98">
        <v>0</v>
      </c>
      <c r="J26" s="98">
        <v>303</v>
      </c>
      <c r="K26" s="98">
        <v>1700</v>
      </c>
    </row>
    <row r="27" spans="1:11" ht="15.75" customHeight="1" x14ac:dyDescent="0.3">
      <c r="A27" s="307" t="s">
        <v>464</v>
      </c>
      <c r="B27" s="95" t="s">
        <v>1227</v>
      </c>
      <c r="C27" s="95">
        <v>31</v>
      </c>
      <c r="D27" s="95">
        <v>938</v>
      </c>
      <c r="E27" s="95">
        <v>2471</v>
      </c>
      <c r="F27" s="95">
        <v>0</v>
      </c>
      <c r="G27" s="95">
        <v>49</v>
      </c>
      <c r="H27" s="95">
        <v>1059</v>
      </c>
      <c r="I27" s="95">
        <v>0</v>
      </c>
      <c r="J27" s="95">
        <v>158</v>
      </c>
      <c r="K27" s="95">
        <v>4706</v>
      </c>
    </row>
    <row r="28" spans="1:11" ht="15.75" customHeight="1" x14ac:dyDescent="0.3">
      <c r="A28" s="323"/>
      <c r="B28" s="95" t="s">
        <v>1228</v>
      </c>
      <c r="C28" s="95">
        <v>15</v>
      </c>
      <c r="D28" s="95">
        <v>806</v>
      </c>
      <c r="E28" s="95">
        <v>1646</v>
      </c>
      <c r="F28" s="95">
        <v>0</v>
      </c>
      <c r="G28" s="95">
        <v>20</v>
      </c>
      <c r="H28" s="95">
        <v>366</v>
      </c>
      <c r="I28" s="95">
        <v>4</v>
      </c>
      <c r="J28" s="95">
        <v>33</v>
      </c>
      <c r="K28" s="95">
        <v>2889</v>
      </c>
    </row>
    <row r="29" spans="1:11" ht="15.75" customHeight="1" x14ac:dyDescent="0.3">
      <c r="A29" s="323"/>
      <c r="B29" s="95" t="s">
        <v>1229</v>
      </c>
      <c r="C29" s="95">
        <v>176</v>
      </c>
      <c r="D29" s="95">
        <v>1309</v>
      </c>
      <c r="E29" s="95">
        <v>4808</v>
      </c>
      <c r="F29" s="95">
        <v>0</v>
      </c>
      <c r="G29" s="95">
        <v>21</v>
      </c>
      <c r="H29" s="95">
        <v>578</v>
      </c>
      <c r="I29" s="95">
        <v>0</v>
      </c>
      <c r="J29" s="95">
        <v>108</v>
      </c>
      <c r="K29" s="95">
        <v>7000</v>
      </c>
    </row>
    <row r="30" spans="1:11" ht="15.75" customHeight="1" x14ac:dyDescent="0.3">
      <c r="A30" s="323"/>
      <c r="B30" s="95" t="s">
        <v>1230</v>
      </c>
      <c r="C30" s="95">
        <v>176</v>
      </c>
      <c r="D30" s="95">
        <v>859</v>
      </c>
      <c r="E30" s="95">
        <v>1160</v>
      </c>
      <c r="F30" s="95">
        <v>14</v>
      </c>
      <c r="G30" s="95">
        <v>21</v>
      </c>
      <c r="H30" s="95">
        <v>217</v>
      </c>
      <c r="I30" s="95">
        <v>0</v>
      </c>
      <c r="J30" s="95">
        <v>386</v>
      </c>
      <c r="K30" s="95">
        <v>2832</v>
      </c>
    </row>
    <row r="31" spans="1:11" ht="15.75" customHeight="1" x14ac:dyDescent="0.3">
      <c r="A31" s="308"/>
      <c r="B31" s="98" t="s">
        <v>110</v>
      </c>
      <c r="C31" s="98">
        <v>397</v>
      </c>
      <c r="D31" s="98">
        <v>3912</v>
      </c>
      <c r="E31" s="98">
        <v>10084</v>
      </c>
      <c r="F31" s="98">
        <v>14</v>
      </c>
      <c r="G31" s="98">
        <v>111</v>
      </c>
      <c r="H31" s="98">
        <v>2220</v>
      </c>
      <c r="I31" s="98">
        <v>4</v>
      </c>
      <c r="J31" s="98">
        <v>685</v>
      </c>
      <c r="K31" s="98">
        <v>17427</v>
      </c>
    </row>
    <row r="32" spans="1:11" ht="15.75" customHeight="1" x14ac:dyDescent="0.3">
      <c r="A32" s="307" t="s">
        <v>465</v>
      </c>
      <c r="B32" s="95" t="s">
        <v>1231</v>
      </c>
      <c r="C32" s="95">
        <v>133</v>
      </c>
      <c r="D32" s="95">
        <v>697</v>
      </c>
      <c r="E32" s="95">
        <v>213</v>
      </c>
      <c r="F32" s="95">
        <v>0</v>
      </c>
      <c r="G32" s="95">
        <v>14</v>
      </c>
      <c r="H32" s="95">
        <v>49</v>
      </c>
      <c r="I32" s="95">
        <v>0</v>
      </c>
      <c r="J32" s="95">
        <v>52</v>
      </c>
      <c r="K32" s="95">
        <v>1158</v>
      </c>
    </row>
    <row r="33" spans="1:11" ht="15.75" customHeight="1" x14ac:dyDescent="0.3">
      <c r="A33" s="323"/>
      <c r="B33" s="95" t="s">
        <v>1232</v>
      </c>
      <c r="C33" s="95">
        <v>0</v>
      </c>
      <c r="D33" s="95">
        <v>115</v>
      </c>
      <c r="E33" s="95">
        <v>40</v>
      </c>
      <c r="F33" s="95">
        <v>48</v>
      </c>
      <c r="G33" s="95">
        <v>25</v>
      </c>
      <c r="H33" s="95">
        <v>7</v>
      </c>
      <c r="I33" s="95">
        <v>0</v>
      </c>
      <c r="J33" s="95">
        <v>2</v>
      </c>
      <c r="K33" s="95">
        <v>237</v>
      </c>
    </row>
    <row r="34" spans="1:11" ht="15.75" customHeight="1" x14ac:dyDescent="0.3">
      <c r="A34" s="323"/>
      <c r="B34" s="95" t="s">
        <v>1233</v>
      </c>
      <c r="C34" s="95">
        <v>2</v>
      </c>
      <c r="D34" s="95">
        <v>3635</v>
      </c>
      <c r="E34" s="95">
        <v>212</v>
      </c>
      <c r="F34" s="95">
        <v>59</v>
      </c>
      <c r="G34" s="95">
        <v>121</v>
      </c>
      <c r="H34" s="95">
        <v>499</v>
      </c>
      <c r="I34" s="95">
        <v>0</v>
      </c>
      <c r="J34" s="95">
        <v>1</v>
      </c>
      <c r="K34" s="95">
        <v>4528</v>
      </c>
    </row>
    <row r="35" spans="1:11" ht="15.75" customHeight="1" x14ac:dyDescent="0.3">
      <c r="A35" s="323"/>
      <c r="B35" s="95" t="s">
        <v>1234</v>
      </c>
      <c r="C35" s="95">
        <v>0</v>
      </c>
      <c r="D35" s="95">
        <v>469</v>
      </c>
      <c r="E35" s="95">
        <v>184</v>
      </c>
      <c r="F35" s="95">
        <v>435</v>
      </c>
      <c r="G35" s="95">
        <v>12</v>
      </c>
      <c r="H35" s="95">
        <v>248</v>
      </c>
      <c r="I35" s="95">
        <v>0</v>
      </c>
      <c r="J35" s="95">
        <v>247</v>
      </c>
      <c r="K35" s="95">
        <v>1595</v>
      </c>
    </row>
    <row r="36" spans="1:11" ht="15.75" customHeight="1" x14ac:dyDescent="0.3">
      <c r="A36" s="323"/>
      <c r="B36" s="95" t="s">
        <v>1235</v>
      </c>
      <c r="C36" s="95">
        <v>0</v>
      </c>
      <c r="D36" s="95">
        <v>377</v>
      </c>
      <c r="E36" s="95">
        <v>8</v>
      </c>
      <c r="F36" s="95">
        <v>1</v>
      </c>
      <c r="G36" s="95">
        <v>6</v>
      </c>
      <c r="H36" s="95">
        <v>2</v>
      </c>
      <c r="I36" s="95">
        <v>0</v>
      </c>
      <c r="J36" s="95">
        <v>1</v>
      </c>
      <c r="K36" s="95">
        <v>396</v>
      </c>
    </row>
    <row r="37" spans="1:11" ht="15.75" customHeight="1" x14ac:dyDescent="0.3">
      <c r="A37" s="308"/>
      <c r="B37" s="98" t="s">
        <v>110</v>
      </c>
      <c r="C37" s="98">
        <v>136</v>
      </c>
      <c r="D37" s="98">
        <v>5292</v>
      </c>
      <c r="E37" s="98">
        <v>657</v>
      </c>
      <c r="F37" s="98">
        <v>543</v>
      </c>
      <c r="G37" s="98">
        <v>179</v>
      </c>
      <c r="H37" s="98">
        <v>805</v>
      </c>
      <c r="I37" s="98">
        <v>0</v>
      </c>
      <c r="J37" s="98">
        <v>303</v>
      </c>
      <c r="K37" s="98">
        <v>7914</v>
      </c>
    </row>
    <row r="38" spans="1:11" ht="15.75" customHeight="1" x14ac:dyDescent="0.3">
      <c r="A38" s="307" t="s">
        <v>466</v>
      </c>
      <c r="B38" s="95" t="s">
        <v>1236</v>
      </c>
      <c r="C38" s="95">
        <v>0</v>
      </c>
      <c r="D38" s="95">
        <v>449</v>
      </c>
      <c r="E38" s="95">
        <v>279</v>
      </c>
      <c r="F38" s="95">
        <v>120</v>
      </c>
      <c r="G38" s="95">
        <v>2</v>
      </c>
      <c r="H38" s="95">
        <v>209</v>
      </c>
      <c r="I38" s="95">
        <v>0</v>
      </c>
      <c r="J38" s="95">
        <v>17</v>
      </c>
      <c r="K38" s="95">
        <v>1075</v>
      </c>
    </row>
    <row r="39" spans="1:11" ht="15.75" customHeight="1" x14ac:dyDescent="0.3">
      <c r="A39" s="323"/>
      <c r="B39" s="95" t="s">
        <v>1237</v>
      </c>
      <c r="C39" s="95">
        <v>0</v>
      </c>
      <c r="D39" s="95">
        <v>316</v>
      </c>
      <c r="E39" s="95">
        <v>203</v>
      </c>
      <c r="F39" s="95">
        <v>23</v>
      </c>
      <c r="G39" s="95">
        <v>10</v>
      </c>
      <c r="H39" s="95">
        <v>136</v>
      </c>
      <c r="I39" s="95">
        <v>0</v>
      </c>
      <c r="J39" s="95">
        <v>36</v>
      </c>
      <c r="K39" s="95">
        <v>724</v>
      </c>
    </row>
    <row r="40" spans="1:11" ht="15.75" customHeight="1" x14ac:dyDescent="0.3">
      <c r="A40" s="323"/>
      <c r="B40" s="95" t="s">
        <v>1238</v>
      </c>
      <c r="C40" s="95">
        <v>0</v>
      </c>
      <c r="D40" s="95">
        <v>241</v>
      </c>
      <c r="E40" s="95">
        <v>559</v>
      </c>
      <c r="F40" s="95">
        <v>103</v>
      </c>
      <c r="G40" s="95">
        <v>0</v>
      </c>
      <c r="H40" s="95">
        <v>66</v>
      </c>
      <c r="I40" s="95">
        <v>0</v>
      </c>
      <c r="J40" s="95">
        <v>62</v>
      </c>
      <c r="K40" s="95">
        <v>1031</v>
      </c>
    </row>
    <row r="41" spans="1:11" ht="15.75" customHeight="1" x14ac:dyDescent="0.3">
      <c r="A41" s="308"/>
      <c r="B41" s="98" t="s">
        <v>110</v>
      </c>
      <c r="C41" s="98">
        <v>0</v>
      </c>
      <c r="D41" s="98">
        <v>1006</v>
      </c>
      <c r="E41" s="98">
        <v>1042</v>
      </c>
      <c r="F41" s="98">
        <v>246</v>
      </c>
      <c r="G41" s="98">
        <v>12</v>
      </c>
      <c r="H41" s="98">
        <v>411</v>
      </c>
      <c r="I41" s="98">
        <v>0</v>
      </c>
      <c r="J41" s="98">
        <v>114</v>
      </c>
      <c r="K41" s="98">
        <v>2830</v>
      </c>
    </row>
    <row r="42" spans="1:11" ht="15.75" customHeight="1" x14ac:dyDescent="0.3">
      <c r="A42" s="307" t="s">
        <v>467</v>
      </c>
      <c r="B42" s="95" t="s">
        <v>1239</v>
      </c>
      <c r="C42" s="95">
        <v>19</v>
      </c>
      <c r="D42" s="95">
        <v>389</v>
      </c>
      <c r="E42" s="95">
        <v>349</v>
      </c>
      <c r="F42" s="95">
        <v>11</v>
      </c>
      <c r="G42" s="95">
        <v>27</v>
      </c>
      <c r="H42" s="95">
        <v>247</v>
      </c>
      <c r="I42" s="95">
        <v>0</v>
      </c>
      <c r="J42" s="95">
        <v>78</v>
      </c>
      <c r="K42" s="95">
        <v>1119</v>
      </c>
    </row>
    <row r="43" spans="1:11" ht="15.75" customHeight="1" x14ac:dyDescent="0.3">
      <c r="A43" s="323"/>
      <c r="B43" s="95" t="s">
        <v>1240</v>
      </c>
      <c r="C43" s="95">
        <v>5</v>
      </c>
      <c r="D43" s="95">
        <v>195</v>
      </c>
      <c r="E43" s="95">
        <v>119</v>
      </c>
      <c r="F43" s="95">
        <v>0</v>
      </c>
      <c r="G43" s="95">
        <v>0</v>
      </c>
      <c r="H43" s="95">
        <v>101</v>
      </c>
      <c r="I43" s="95">
        <v>0</v>
      </c>
      <c r="J43" s="95">
        <v>59</v>
      </c>
      <c r="K43" s="95">
        <v>479</v>
      </c>
    </row>
    <row r="44" spans="1:11" ht="15.75" customHeight="1" x14ac:dyDescent="0.3">
      <c r="A44" s="323"/>
      <c r="B44" s="95" t="s">
        <v>1241</v>
      </c>
      <c r="C44" s="95">
        <v>0</v>
      </c>
      <c r="D44" s="95">
        <v>132</v>
      </c>
      <c r="E44" s="95">
        <v>69</v>
      </c>
      <c r="F44" s="95">
        <v>0</v>
      </c>
      <c r="G44" s="95">
        <v>0</v>
      </c>
      <c r="H44" s="95">
        <v>145</v>
      </c>
      <c r="I44" s="95">
        <v>0</v>
      </c>
      <c r="J44" s="95">
        <v>4</v>
      </c>
      <c r="K44" s="95">
        <v>350</v>
      </c>
    </row>
    <row r="45" spans="1:11" ht="15.75" customHeight="1" x14ac:dyDescent="0.3">
      <c r="A45" s="323"/>
      <c r="B45" s="95" t="s">
        <v>1242</v>
      </c>
      <c r="C45" s="95">
        <v>0</v>
      </c>
      <c r="D45" s="95">
        <v>207</v>
      </c>
      <c r="E45" s="95">
        <v>107</v>
      </c>
      <c r="F45" s="95">
        <v>30</v>
      </c>
      <c r="G45" s="95">
        <v>137</v>
      </c>
      <c r="H45" s="95">
        <v>80</v>
      </c>
      <c r="I45" s="95">
        <v>0</v>
      </c>
      <c r="J45" s="95">
        <v>29</v>
      </c>
      <c r="K45" s="95">
        <v>590</v>
      </c>
    </row>
    <row r="46" spans="1:11" ht="15.75" customHeight="1" x14ac:dyDescent="0.3">
      <c r="A46" s="308"/>
      <c r="B46" s="98" t="s">
        <v>110</v>
      </c>
      <c r="C46" s="98">
        <v>23</v>
      </c>
      <c r="D46" s="98">
        <v>922</v>
      </c>
      <c r="E46" s="98">
        <v>644</v>
      </c>
      <c r="F46" s="98">
        <v>40</v>
      </c>
      <c r="G46" s="98">
        <v>164</v>
      </c>
      <c r="H46" s="98">
        <v>573</v>
      </c>
      <c r="I46" s="98">
        <v>0</v>
      </c>
      <c r="J46" s="98">
        <v>170</v>
      </c>
      <c r="K46" s="98">
        <v>2538</v>
      </c>
    </row>
    <row r="47" spans="1:11" ht="15.75" customHeight="1" x14ac:dyDescent="0.3">
      <c r="A47" s="307" t="s">
        <v>468</v>
      </c>
      <c r="B47" s="95" t="s">
        <v>1243</v>
      </c>
      <c r="C47" s="95">
        <v>977</v>
      </c>
      <c r="D47" s="95">
        <v>751</v>
      </c>
      <c r="E47" s="95">
        <v>1379</v>
      </c>
      <c r="F47" s="95">
        <v>121</v>
      </c>
      <c r="G47" s="95">
        <v>76</v>
      </c>
      <c r="H47" s="95">
        <v>1578</v>
      </c>
      <c r="I47" s="95">
        <v>0</v>
      </c>
      <c r="J47" s="95">
        <v>170</v>
      </c>
      <c r="K47" s="95">
        <v>5052</v>
      </c>
    </row>
    <row r="48" spans="1:11" ht="15.75" customHeight="1" x14ac:dyDescent="0.3">
      <c r="A48" s="323"/>
      <c r="B48" s="95" t="s">
        <v>1244</v>
      </c>
      <c r="C48" s="95">
        <v>1</v>
      </c>
      <c r="D48" s="95">
        <v>363</v>
      </c>
      <c r="E48" s="95">
        <v>642</v>
      </c>
      <c r="F48" s="95">
        <v>38</v>
      </c>
      <c r="G48" s="95">
        <v>1</v>
      </c>
      <c r="H48" s="95">
        <v>348</v>
      </c>
      <c r="I48" s="95">
        <v>2</v>
      </c>
      <c r="J48" s="95">
        <v>65</v>
      </c>
      <c r="K48" s="95">
        <v>1459</v>
      </c>
    </row>
    <row r="49" spans="1:11" ht="15.75" customHeight="1" x14ac:dyDescent="0.3">
      <c r="A49" s="323"/>
      <c r="B49" s="95" t="s">
        <v>1245</v>
      </c>
      <c r="C49" s="95">
        <v>12</v>
      </c>
      <c r="D49" s="95">
        <v>783</v>
      </c>
      <c r="E49" s="95">
        <v>986</v>
      </c>
      <c r="F49" s="95">
        <v>56</v>
      </c>
      <c r="G49" s="95">
        <v>23</v>
      </c>
      <c r="H49" s="95">
        <v>808</v>
      </c>
      <c r="I49" s="95">
        <v>0</v>
      </c>
      <c r="J49" s="95">
        <v>92</v>
      </c>
      <c r="K49" s="95">
        <v>2760</v>
      </c>
    </row>
    <row r="50" spans="1:11" ht="15.75" customHeight="1" x14ac:dyDescent="0.3">
      <c r="A50" s="323"/>
      <c r="B50" s="95" t="s">
        <v>1246</v>
      </c>
      <c r="C50" s="95">
        <v>17</v>
      </c>
      <c r="D50" s="95">
        <v>796</v>
      </c>
      <c r="E50" s="95">
        <v>1710</v>
      </c>
      <c r="F50" s="95">
        <v>104</v>
      </c>
      <c r="G50" s="95">
        <v>225</v>
      </c>
      <c r="H50" s="95">
        <v>1011</v>
      </c>
      <c r="I50" s="95">
        <v>4</v>
      </c>
      <c r="J50" s="95">
        <v>178</v>
      </c>
      <c r="K50" s="95">
        <v>4044</v>
      </c>
    </row>
    <row r="51" spans="1:11" ht="15.75" customHeight="1" x14ac:dyDescent="0.3">
      <c r="A51" s="308"/>
      <c r="B51" s="98" t="s">
        <v>110</v>
      </c>
      <c r="C51" s="98">
        <v>1008</v>
      </c>
      <c r="D51" s="98">
        <v>2693</v>
      </c>
      <c r="E51" s="98">
        <v>4716</v>
      </c>
      <c r="F51" s="98">
        <v>318</v>
      </c>
      <c r="G51" s="98">
        <v>325</v>
      </c>
      <c r="H51" s="98">
        <v>3744</v>
      </c>
      <c r="I51" s="98">
        <v>5</v>
      </c>
      <c r="J51" s="98">
        <v>505</v>
      </c>
      <c r="K51" s="98">
        <v>13315</v>
      </c>
    </row>
    <row r="52" spans="1:11" ht="15.75" customHeight="1" x14ac:dyDescent="0.3">
      <c r="A52" s="307" t="s">
        <v>469</v>
      </c>
      <c r="B52" s="95" t="s">
        <v>1247</v>
      </c>
      <c r="C52" s="95">
        <v>0</v>
      </c>
      <c r="D52" s="95">
        <v>364</v>
      </c>
      <c r="E52" s="95">
        <v>128</v>
      </c>
      <c r="F52" s="95">
        <v>0</v>
      </c>
      <c r="G52" s="95">
        <v>143</v>
      </c>
      <c r="H52" s="95">
        <v>172</v>
      </c>
      <c r="I52" s="95">
        <v>0</v>
      </c>
      <c r="J52" s="95">
        <v>66</v>
      </c>
      <c r="K52" s="95">
        <v>873</v>
      </c>
    </row>
    <row r="53" spans="1:11" ht="15.75" customHeight="1" x14ac:dyDescent="0.3">
      <c r="A53" s="323"/>
      <c r="B53" s="95" t="s">
        <v>1248</v>
      </c>
      <c r="C53" s="95">
        <v>0</v>
      </c>
      <c r="D53" s="95">
        <v>83</v>
      </c>
      <c r="E53" s="95">
        <v>6</v>
      </c>
      <c r="F53" s="95">
        <v>0</v>
      </c>
      <c r="G53" s="95">
        <v>30</v>
      </c>
      <c r="H53" s="95">
        <v>23</v>
      </c>
      <c r="I53" s="95">
        <v>0</v>
      </c>
      <c r="J53" s="95">
        <v>0</v>
      </c>
      <c r="K53" s="95">
        <v>142</v>
      </c>
    </row>
    <row r="54" spans="1:11" ht="15.75" customHeight="1" x14ac:dyDescent="0.3">
      <c r="A54" s="323"/>
      <c r="B54" s="95" t="s">
        <v>1249</v>
      </c>
      <c r="C54" s="95">
        <v>4</v>
      </c>
      <c r="D54" s="95">
        <v>379</v>
      </c>
      <c r="E54" s="95">
        <v>161</v>
      </c>
      <c r="F54" s="95">
        <v>128</v>
      </c>
      <c r="G54" s="95">
        <v>14</v>
      </c>
      <c r="H54" s="95">
        <v>63</v>
      </c>
      <c r="I54" s="95">
        <v>0</v>
      </c>
      <c r="J54" s="95">
        <v>22</v>
      </c>
      <c r="K54" s="95">
        <v>772</v>
      </c>
    </row>
    <row r="55" spans="1:11" ht="15.75" customHeight="1" x14ac:dyDescent="0.3">
      <c r="A55" s="323"/>
      <c r="B55" s="95" t="s">
        <v>1250</v>
      </c>
      <c r="C55" s="95">
        <v>2</v>
      </c>
      <c r="D55" s="95">
        <v>324</v>
      </c>
      <c r="E55" s="95">
        <v>284</v>
      </c>
      <c r="F55" s="95">
        <v>0</v>
      </c>
      <c r="G55" s="95">
        <v>0</v>
      </c>
      <c r="H55" s="95">
        <v>20</v>
      </c>
      <c r="I55" s="95">
        <v>0</v>
      </c>
      <c r="J55" s="95">
        <v>20</v>
      </c>
      <c r="K55" s="95">
        <v>650</v>
      </c>
    </row>
    <row r="56" spans="1:11" ht="15.75" customHeight="1" x14ac:dyDescent="0.3">
      <c r="A56" s="323"/>
      <c r="B56" s="95" t="s">
        <v>1251</v>
      </c>
      <c r="C56" s="95">
        <v>0</v>
      </c>
      <c r="D56" s="95">
        <v>470</v>
      </c>
      <c r="E56" s="95">
        <v>203</v>
      </c>
      <c r="F56" s="95">
        <v>99</v>
      </c>
      <c r="G56" s="95">
        <v>0</v>
      </c>
      <c r="H56" s="95">
        <v>167</v>
      </c>
      <c r="I56" s="95">
        <v>0</v>
      </c>
      <c r="J56" s="95">
        <v>233</v>
      </c>
      <c r="K56" s="95">
        <v>1172</v>
      </c>
    </row>
    <row r="57" spans="1:11" ht="15.75" customHeight="1" x14ac:dyDescent="0.3">
      <c r="A57" s="308"/>
      <c r="B57" s="98" t="s">
        <v>110</v>
      </c>
      <c r="C57" s="98">
        <v>6</v>
      </c>
      <c r="D57" s="98">
        <v>1620</v>
      </c>
      <c r="E57" s="98">
        <v>782</v>
      </c>
      <c r="F57" s="98">
        <v>227</v>
      </c>
      <c r="G57" s="98">
        <v>188</v>
      </c>
      <c r="H57" s="98">
        <v>445</v>
      </c>
      <c r="I57" s="98">
        <v>0</v>
      </c>
      <c r="J57" s="98">
        <v>341</v>
      </c>
      <c r="K57" s="98">
        <v>3609</v>
      </c>
    </row>
    <row r="58" spans="1:11" ht="15.75" customHeight="1" x14ac:dyDescent="0.3">
      <c r="A58" s="307" t="s">
        <v>470</v>
      </c>
      <c r="B58" s="95" t="s">
        <v>1252</v>
      </c>
      <c r="C58" s="95">
        <v>0</v>
      </c>
      <c r="D58" s="95">
        <v>56</v>
      </c>
      <c r="E58" s="95">
        <v>69</v>
      </c>
      <c r="F58" s="95">
        <v>7</v>
      </c>
      <c r="G58" s="95">
        <v>0</v>
      </c>
      <c r="H58" s="95">
        <v>69</v>
      </c>
      <c r="I58" s="95">
        <v>0</v>
      </c>
      <c r="J58" s="95">
        <v>0</v>
      </c>
      <c r="K58" s="95">
        <v>202</v>
      </c>
    </row>
    <row r="59" spans="1:11" ht="15.75" customHeight="1" x14ac:dyDescent="0.3">
      <c r="A59" s="323"/>
      <c r="B59" s="95" t="s">
        <v>1253</v>
      </c>
      <c r="C59" s="95">
        <v>11</v>
      </c>
      <c r="D59" s="95">
        <v>350</v>
      </c>
      <c r="E59" s="95">
        <v>187</v>
      </c>
      <c r="F59" s="95">
        <v>12</v>
      </c>
      <c r="G59" s="95">
        <v>12</v>
      </c>
      <c r="H59" s="95">
        <v>397</v>
      </c>
      <c r="I59" s="95">
        <v>0</v>
      </c>
      <c r="J59" s="95">
        <v>62</v>
      </c>
      <c r="K59" s="95">
        <v>1031</v>
      </c>
    </row>
    <row r="60" spans="1:11" ht="15.75" customHeight="1" x14ac:dyDescent="0.3">
      <c r="A60" s="323"/>
      <c r="B60" s="95" t="s">
        <v>1254</v>
      </c>
      <c r="C60" s="95">
        <v>9</v>
      </c>
      <c r="D60" s="95">
        <v>546</v>
      </c>
      <c r="E60" s="95">
        <v>71</v>
      </c>
      <c r="F60" s="95">
        <v>4</v>
      </c>
      <c r="G60" s="95">
        <v>13</v>
      </c>
      <c r="H60" s="95">
        <v>94</v>
      </c>
      <c r="I60" s="95">
        <v>0</v>
      </c>
      <c r="J60" s="95">
        <v>26</v>
      </c>
      <c r="K60" s="95">
        <v>762</v>
      </c>
    </row>
    <row r="61" spans="1:11" ht="15.75" customHeight="1" x14ac:dyDescent="0.3">
      <c r="A61" s="323"/>
      <c r="B61" s="95" t="s">
        <v>1255</v>
      </c>
      <c r="C61" s="95">
        <v>19</v>
      </c>
      <c r="D61" s="95">
        <v>248</v>
      </c>
      <c r="E61" s="95">
        <v>261</v>
      </c>
      <c r="F61" s="95">
        <v>22</v>
      </c>
      <c r="G61" s="95">
        <v>27</v>
      </c>
      <c r="H61" s="95">
        <v>142</v>
      </c>
      <c r="I61" s="95">
        <v>0</v>
      </c>
      <c r="J61" s="95">
        <v>26</v>
      </c>
      <c r="K61" s="95">
        <v>744</v>
      </c>
    </row>
    <row r="62" spans="1:11" ht="15.75" customHeight="1" x14ac:dyDescent="0.3">
      <c r="A62" s="323"/>
      <c r="B62" s="95" t="s">
        <v>1256</v>
      </c>
      <c r="C62" s="95">
        <v>0</v>
      </c>
      <c r="D62" s="95">
        <v>115</v>
      </c>
      <c r="E62" s="95">
        <v>51</v>
      </c>
      <c r="F62" s="95">
        <v>0</v>
      </c>
      <c r="G62" s="95">
        <v>0</v>
      </c>
      <c r="H62" s="95">
        <v>33</v>
      </c>
      <c r="I62" s="95">
        <v>0</v>
      </c>
      <c r="J62" s="95">
        <v>2</v>
      </c>
      <c r="K62" s="95">
        <v>201</v>
      </c>
    </row>
    <row r="63" spans="1:11" ht="15.75" customHeight="1" x14ac:dyDescent="0.3">
      <c r="A63" s="308"/>
      <c r="B63" s="98" t="s">
        <v>110</v>
      </c>
      <c r="C63" s="98">
        <v>39</v>
      </c>
      <c r="D63" s="98">
        <v>1314</v>
      </c>
      <c r="E63" s="98">
        <v>639</v>
      </c>
      <c r="F63" s="98">
        <v>44</v>
      </c>
      <c r="G63" s="98">
        <v>52</v>
      </c>
      <c r="H63" s="98">
        <v>735</v>
      </c>
      <c r="I63" s="98">
        <v>0</v>
      </c>
      <c r="J63" s="98">
        <v>116</v>
      </c>
      <c r="K63" s="98">
        <v>2939</v>
      </c>
    </row>
    <row r="64" spans="1:11" ht="15.75" customHeight="1" x14ac:dyDescent="0.3">
      <c r="A64" s="307" t="s">
        <v>471</v>
      </c>
      <c r="B64" s="95" t="s">
        <v>1257</v>
      </c>
      <c r="C64" s="95">
        <v>0</v>
      </c>
      <c r="D64" s="95">
        <v>99</v>
      </c>
      <c r="E64" s="95">
        <v>190</v>
      </c>
      <c r="F64" s="95">
        <v>6</v>
      </c>
      <c r="G64" s="95">
        <v>0</v>
      </c>
      <c r="H64" s="95">
        <v>12</v>
      </c>
      <c r="I64" s="95">
        <v>0</v>
      </c>
      <c r="J64" s="95">
        <v>0</v>
      </c>
      <c r="K64" s="95">
        <v>308</v>
      </c>
    </row>
    <row r="65" spans="1:11" ht="15.75" customHeight="1" x14ac:dyDescent="0.3">
      <c r="A65" s="323"/>
      <c r="B65" s="95" t="s">
        <v>1258</v>
      </c>
      <c r="C65" s="95">
        <v>0</v>
      </c>
      <c r="D65" s="95">
        <v>593</v>
      </c>
      <c r="E65" s="95">
        <v>679</v>
      </c>
      <c r="F65" s="95">
        <v>8</v>
      </c>
      <c r="G65" s="95">
        <v>0</v>
      </c>
      <c r="H65" s="95">
        <v>15</v>
      </c>
      <c r="I65" s="95">
        <v>0</v>
      </c>
      <c r="J65" s="95">
        <v>16</v>
      </c>
      <c r="K65" s="95">
        <v>1310</v>
      </c>
    </row>
    <row r="66" spans="1:11" ht="15.75" customHeight="1" x14ac:dyDescent="0.3">
      <c r="A66" s="323"/>
      <c r="B66" s="95" t="s">
        <v>1259</v>
      </c>
      <c r="C66" s="95">
        <v>0</v>
      </c>
      <c r="D66" s="95">
        <v>257</v>
      </c>
      <c r="E66" s="95">
        <v>120</v>
      </c>
      <c r="F66" s="95">
        <v>0</v>
      </c>
      <c r="G66" s="95">
        <v>0</v>
      </c>
      <c r="H66" s="95">
        <v>18</v>
      </c>
      <c r="I66" s="95">
        <v>0</v>
      </c>
      <c r="J66" s="95">
        <v>0</v>
      </c>
      <c r="K66" s="95">
        <v>395</v>
      </c>
    </row>
    <row r="67" spans="1:11" ht="15.75" customHeight="1" x14ac:dyDescent="0.3">
      <c r="A67" s="308"/>
      <c r="B67" s="98" t="s">
        <v>110</v>
      </c>
      <c r="C67" s="98">
        <v>0</v>
      </c>
      <c r="D67" s="98">
        <v>949</v>
      </c>
      <c r="E67" s="98">
        <v>989</v>
      </c>
      <c r="F67" s="98">
        <v>14</v>
      </c>
      <c r="G67" s="98">
        <v>0</v>
      </c>
      <c r="H67" s="98">
        <v>45</v>
      </c>
      <c r="I67" s="98">
        <v>0</v>
      </c>
      <c r="J67" s="98">
        <v>16</v>
      </c>
      <c r="K67" s="98">
        <v>2013</v>
      </c>
    </row>
    <row r="68" spans="1:11" ht="15.75" customHeight="1" x14ac:dyDescent="0.3">
      <c r="A68" s="95" t="s">
        <v>85</v>
      </c>
      <c r="B68" s="95" t="s">
        <v>472</v>
      </c>
      <c r="C68" s="95">
        <v>12791</v>
      </c>
      <c r="D68" s="95">
        <v>82052</v>
      </c>
      <c r="E68" s="95">
        <v>39192</v>
      </c>
      <c r="F68" s="95">
        <v>6356</v>
      </c>
      <c r="G68" s="95">
        <v>16794</v>
      </c>
      <c r="H68" s="95">
        <v>45650</v>
      </c>
      <c r="I68" s="95">
        <v>745</v>
      </c>
      <c r="J68" s="95">
        <v>16511</v>
      </c>
      <c r="K68" s="95">
        <v>220092</v>
      </c>
    </row>
    <row r="69" spans="1:11" ht="15.75" customHeight="1" x14ac:dyDescent="0.3">
      <c r="A69" s="343" t="s">
        <v>86</v>
      </c>
      <c r="B69" s="344"/>
      <c r="C69" s="98">
        <v>14400</v>
      </c>
      <c r="D69" s="98">
        <v>104677</v>
      </c>
      <c r="E69" s="98">
        <v>64966</v>
      </c>
      <c r="F69" s="98">
        <v>8121</v>
      </c>
      <c r="G69" s="98">
        <v>18542</v>
      </c>
      <c r="H69" s="98">
        <v>58176</v>
      </c>
      <c r="I69" s="98">
        <v>755</v>
      </c>
      <c r="J69" s="98">
        <v>20528</v>
      </c>
      <c r="K69" s="98">
        <v>290164</v>
      </c>
    </row>
    <row r="71" spans="1:11" x14ac:dyDescent="0.3">
      <c r="A71" s="90" t="s">
        <v>1203</v>
      </c>
    </row>
    <row r="72" spans="1:11" x14ac:dyDescent="0.3">
      <c r="A72" t="s">
        <v>95</v>
      </c>
    </row>
    <row r="73" spans="1:11" x14ac:dyDescent="0.3">
      <c r="A73" t="s">
        <v>96</v>
      </c>
    </row>
    <row r="74" spans="1:11" x14ac:dyDescent="0.3">
      <c r="A74" t="s">
        <v>97</v>
      </c>
    </row>
  </sheetData>
  <mergeCells count="20">
    <mergeCell ref="A69:B69"/>
    <mergeCell ref="A6:A14"/>
    <mergeCell ref="A15:A19"/>
    <mergeCell ref="A20:A23"/>
    <mergeCell ref="B4:B5"/>
    <mergeCell ref="A4:A5"/>
    <mergeCell ref="A47:A51"/>
    <mergeCell ref="A52:A57"/>
    <mergeCell ref="A58:A63"/>
    <mergeCell ref="A64:A67"/>
    <mergeCell ref="A24:A26"/>
    <mergeCell ref="A27:A31"/>
    <mergeCell ref="A32:A37"/>
    <mergeCell ref="A38:A41"/>
    <mergeCell ref="A42:A46"/>
    <mergeCell ref="J4:J5"/>
    <mergeCell ref="K4:K5"/>
    <mergeCell ref="C4:C5"/>
    <mergeCell ref="E4:E5"/>
    <mergeCell ref="F4:F5"/>
  </mergeCells>
  <phoneticPr fontId="1" type="noConversion"/>
  <hyperlinks>
    <hyperlink ref="I1" location="목차!A1" display="목차" xr:uid="{C475939B-D2EB-437C-81BF-C34C6E463F1B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 tint="-4.9989318521683403E-2"/>
  </sheetPr>
  <dimension ref="A1:AM78"/>
  <sheetViews>
    <sheetView zoomScale="70" zoomScaleNormal="70" workbookViewId="0">
      <selection activeCell="A42" sqref="A42"/>
    </sheetView>
  </sheetViews>
  <sheetFormatPr defaultRowHeight="16.5" x14ac:dyDescent="0.3"/>
  <cols>
    <col min="2" max="2" width="16.375" customWidth="1"/>
  </cols>
  <sheetData>
    <row r="1" spans="1:39" ht="17.25" x14ac:dyDescent="0.3">
      <c r="A1" s="7" t="s">
        <v>419</v>
      </c>
      <c r="B1" s="4"/>
      <c r="C1" s="4"/>
      <c r="D1" s="4"/>
      <c r="E1" s="4"/>
      <c r="F1" s="4"/>
      <c r="H1" s="72" t="s">
        <v>368</v>
      </c>
    </row>
    <row r="3" spans="1:39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33" t="s">
        <v>87</v>
      </c>
    </row>
    <row r="4" spans="1:39" ht="17.25" thickBot="1" x14ac:dyDescent="0.35">
      <c r="A4" s="342" t="s">
        <v>245</v>
      </c>
      <c r="B4" s="341" t="s">
        <v>139</v>
      </c>
      <c r="C4" s="335" t="s">
        <v>78</v>
      </c>
      <c r="D4" s="345"/>
      <c r="E4" s="335" t="s">
        <v>79</v>
      </c>
      <c r="F4" s="345"/>
      <c r="G4" s="335" t="s">
        <v>80</v>
      </c>
      <c r="H4" s="345"/>
      <c r="I4" s="335" t="s">
        <v>81</v>
      </c>
      <c r="J4" s="345"/>
      <c r="K4" s="335" t="s">
        <v>82</v>
      </c>
      <c r="L4" s="345"/>
      <c r="M4" s="335" t="s">
        <v>83</v>
      </c>
      <c r="N4" s="345"/>
      <c r="O4" s="335" t="s">
        <v>84</v>
      </c>
      <c r="P4" s="345"/>
      <c r="Q4" s="335" t="s">
        <v>85</v>
      </c>
      <c r="R4" s="345"/>
      <c r="S4" s="335" t="s">
        <v>86</v>
      </c>
      <c r="T4" s="336"/>
    </row>
    <row r="5" spans="1:39" ht="17.25" thickTop="1" x14ac:dyDescent="0.3">
      <c r="A5" s="342"/>
      <c r="B5" s="341"/>
      <c r="C5" s="39" t="s">
        <v>77</v>
      </c>
      <c r="D5" s="39" t="s">
        <v>36</v>
      </c>
      <c r="E5" s="39" t="s">
        <v>77</v>
      </c>
      <c r="F5" s="39" t="s">
        <v>36</v>
      </c>
      <c r="G5" s="39" t="s">
        <v>77</v>
      </c>
      <c r="H5" s="39" t="s">
        <v>36</v>
      </c>
      <c r="I5" s="39" t="s">
        <v>77</v>
      </c>
      <c r="J5" s="39" t="s">
        <v>36</v>
      </c>
      <c r="K5" s="39" t="s">
        <v>77</v>
      </c>
      <c r="L5" s="39" t="s">
        <v>36</v>
      </c>
      <c r="M5" s="39" t="s">
        <v>77</v>
      </c>
      <c r="N5" s="39" t="s">
        <v>36</v>
      </c>
      <c r="O5" s="39" t="s">
        <v>256</v>
      </c>
      <c r="P5" s="39" t="s">
        <v>36</v>
      </c>
      <c r="Q5" s="39" t="s">
        <v>77</v>
      </c>
      <c r="R5" s="39" t="s">
        <v>36</v>
      </c>
      <c r="S5" s="39" t="s">
        <v>77</v>
      </c>
      <c r="T5" s="40" t="s">
        <v>36</v>
      </c>
    </row>
    <row r="6" spans="1:39" x14ac:dyDescent="0.3">
      <c r="A6" s="304" t="s">
        <v>8</v>
      </c>
      <c r="B6" s="95" t="s">
        <v>261</v>
      </c>
      <c r="C6" s="96">
        <v>3816</v>
      </c>
      <c r="D6" s="95">
        <v>36.5</v>
      </c>
      <c r="E6" s="96">
        <v>17305</v>
      </c>
      <c r="F6" s="95">
        <v>29.5</v>
      </c>
      <c r="G6" s="96">
        <v>12626</v>
      </c>
      <c r="H6" s="95">
        <v>28.6</v>
      </c>
      <c r="I6" s="95">
        <v>283</v>
      </c>
      <c r="J6" s="95">
        <v>9.1</v>
      </c>
      <c r="K6" s="95">
        <v>200</v>
      </c>
      <c r="L6" s="95">
        <v>3.2</v>
      </c>
      <c r="M6" s="96">
        <v>6764</v>
      </c>
      <c r="N6" s="95">
        <v>18.600000000000001</v>
      </c>
      <c r="O6" s="95">
        <v>19</v>
      </c>
      <c r="P6" s="95">
        <v>3.6</v>
      </c>
      <c r="Q6" s="96">
        <v>1670</v>
      </c>
      <c r="R6" s="95">
        <v>11.2</v>
      </c>
      <c r="S6" s="96">
        <v>42683</v>
      </c>
      <c r="T6" s="123">
        <v>24.5</v>
      </c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</row>
    <row r="7" spans="1:39" x14ac:dyDescent="0.3">
      <c r="A7" s="305"/>
      <c r="B7" s="95" t="s">
        <v>262</v>
      </c>
      <c r="C7" s="96">
        <v>6419</v>
      </c>
      <c r="D7" s="95">
        <v>61.4</v>
      </c>
      <c r="E7" s="96">
        <v>35769</v>
      </c>
      <c r="F7" s="95">
        <v>61</v>
      </c>
      <c r="G7" s="96">
        <v>24643</v>
      </c>
      <c r="H7" s="95">
        <v>55.8</v>
      </c>
      <c r="I7" s="96">
        <v>2657</v>
      </c>
      <c r="J7" s="95">
        <v>85.1</v>
      </c>
      <c r="K7" s="96">
        <v>5755</v>
      </c>
      <c r="L7" s="95">
        <v>91.2</v>
      </c>
      <c r="M7" s="96">
        <v>27315</v>
      </c>
      <c r="N7" s="95">
        <v>75.2</v>
      </c>
      <c r="O7" s="95">
        <v>513</v>
      </c>
      <c r="P7" s="95">
        <v>96.3</v>
      </c>
      <c r="Q7" s="96">
        <v>12090</v>
      </c>
      <c r="R7" s="95">
        <v>80.900000000000006</v>
      </c>
      <c r="S7" s="96">
        <v>115162</v>
      </c>
      <c r="T7" s="123">
        <v>66</v>
      </c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39" x14ac:dyDescent="0.3">
      <c r="A8" s="305"/>
      <c r="B8" s="95" t="s">
        <v>257</v>
      </c>
      <c r="C8" s="95">
        <v>40</v>
      </c>
      <c r="D8" s="95">
        <v>0.4</v>
      </c>
      <c r="E8" s="96">
        <v>4135</v>
      </c>
      <c r="F8" s="95">
        <v>7.1</v>
      </c>
      <c r="G8" s="96">
        <v>6333</v>
      </c>
      <c r="H8" s="95">
        <v>14.3</v>
      </c>
      <c r="I8" s="95">
        <v>136</v>
      </c>
      <c r="J8" s="95">
        <v>4.3</v>
      </c>
      <c r="K8" s="95">
        <v>252</v>
      </c>
      <c r="L8" s="95">
        <v>4</v>
      </c>
      <c r="M8" s="96">
        <v>1344</v>
      </c>
      <c r="N8" s="95">
        <v>3.7</v>
      </c>
      <c r="O8" s="95">
        <v>0</v>
      </c>
      <c r="P8" s="95">
        <v>0</v>
      </c>
      <c r="Q8" s="96">
        <v>1063</v>
      </c>
      <c r="R8" s="95">
        <v>7.1</v>
      </c>
      <c r="S8" s="96">
        <v>13302</v>
      </c>
      <c r="T8" s="123">
        <v>7.6</v>
      </c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</row>
    <row r="9" spans="1:39" x14ac:dyDescent="0.3">
      <c r="A9" s="305"/>
      <c r="B9" s="95" t="s">
        <v>258</v>
      </c>
      <c r="C9" s="95">
        <v>175</v>
      </c>
      <c r="D9" s="95">
        <v>1.7</v>
      </c>
      <c r="E9" s="96">
        <v>1411</v>
      </c>
      <c r="F9" s="95">
        <v>2.4</v>
      </c>
      <c r="G9" s="95">
        <v>561</v>
      </c>
      <c r="H9" s="95">
        <v>1.3</v>
      </c>
      <c r="I9" s="95">
        <v>47</v>
      </c>
      <c r="J9" s="95">
        <v>1.5</v>
      </c>
      <c r="K9" s="95">
        <v>100</v>
      </c>
      <c r="L9" s="95">
        <v>1.6</v>
      </c>
      <c r="M9" s="96">
        <v>917</v>
      </c>
      <c r="N9" s="95">
        <v>2.5</v>
      </c>
      <c r="O9" s="95">
        <v>0</v>
      </c>
      <c r="P9" s="95">
        <v>0</v>
      </c>
      <c r="Q9" s="95">
        <v>125</v>
      </c>
      <c r="R9" s="95">
        <v>0.8</v>
      </c>
      <c r="S9" s="96">
        <v>3337</v>
      </c>
      <c r="T9" s="123">
        <v>1.9</v>
      </c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</row>
    <row r="10" spans="1:39" x14ac:dyDescent="0.3">
      <c r="A10" s="305"/>
      <c r="B10" s="97" t="s">
        <v>110</v>
      </c>
      <c r="C10" s="98">
        <v>10449</v>
      </c>
      <c r="D10" s="97">
        <v>100</v>
      </c>
      <c r="E10" s="98">
        <v>58620</v>
      </c>
      <c r="F10" s="97">
        <v>100</v>
      </c>
      <c r="G10" s="98">
        <v>44163</v>
      </c>
      <c r="H10" s="97">
        <v>100</v>
      </c>
      <c r="I10" s="98">
        <v>3123</v>
      </c>
      <c r="J10" s="97">
        <v>100</v>
      </c>
      <c r="K10" s="98">
        <v>6307</v>
      </c>
      <c r="L10" s="97">
        <v>100</v>
      </c>
      <c r="M10" s="98">
        <v>36340</v>
      </c>
      <c r="N10" s="97">
        <v>100</v>
      </c>
      <c r="O10" s="97">
        <v>532</v>
      </c>
      <c r="P10" s="97">
        <v>100</v>
      </c>
      <c r="Q10" s="98">
        <v>14949</v>
      </c>
      <c r="R10" s="97">
        <v>100</v>
      </c>
      <c r="S10" s="98">
        <v>174484</v>
      </c>
      <c r="T10" s="125">
        <v>100</v>
      </c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</row>
    <row r="11" spans="1:39" x14ac:dyDescent="0.3">
      <c r="A11" s="305"/>
      <c r="B11" s="95" t="s">
        <v>259</v>
      </c>
      <c r="C11" s="95">
        <v>78</v>
      </c>
      <c r="D11" s="95"/>
      <c r="E11" s="95">
        <v>9</v>
      </c>
      <c r="F11" s="95"/>
      <c r="G11" s="95">
        <v>355</v>
      </c>
      <c r="H11" s="95"/>
      <c r="I11" s="95">
        <v>0</v>
      </c>
      <c r="J11" s="95"/>
      <c r="K11" s="95">
        <v>5</v>
      </c>
      <c r="L11" s="95"/>
      <c r="M11" s="95">
        <v>54</v>
      </c>
      <c r="N11" s="95"/>
      <c r="O11" s="95">
        <v>0</v>
      </c>
      <c r="P11" s="95"/>
      <c r="Q11" s="95">
        <v>10</v>
      </c>
      <c r="R11" s="95"/>
      <c r="S11" s="95">
        <v>511</v>
      </c>
      <c r="T11" s="123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</row>
    <row r="12" spans="1:39" x14ac:dyDescent="0.3">
      <c r="A12" s="306"/>
      <c r="B12" s="97" t="s">
        <v>260</v>
      </c>
      <c r="C12" s="98">
        <v>10528</v>
      </c>
      <c r="D12" s="97"/>
      <c r="E12" s="98">
        <v>58629</v>
      </c>
      <c r="F12" s="97"/>
      <c r="G12" s="98">
        <v>44518</v>
      </c>
      <c r="H12" s="97"/>
      <c r="I12" s="98">
        <v>3123</v>
      </c>
      <c r="J12" s="97"/>
      <c r="K12" s="98">
        <v>6312</v>
      </c>
      <c r="L12" s="97"/>
      <c r="M12" s="98">
        <v>36394</v>
      </c>
      <c r="N12" s="97"/>
      <c r="O12" s="97">
        <v>532</v>
      </c>
      <c r="P12" s="97"/>
      <c r="Q12" s="98">
        <v>14959</v>
      </c>
      <c r="R12" s="97"/>
      <c r="S12" s="98">
        <v>174995</v>
      </c>
      <c r="T12" s="125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</row>
    <row r="13" spans="1:39" x14ac:dyDescent="0.3">
      <c r="A13" s="304" t="s">
        <v>9</v>
      </c>
      <c r="B13" s="95" t="s">
        <v>261</v>
      </c>
      <c r="C13" s="96">
        <v>3231</v>
      </c>
      <c r="D13" s="95">
        <v>29.4</v>
      </c>
      <c r="E13" s="96">
        <v>18584</v>
      </c>
      <c r="F13" s="95">
        <v>29.6</v>
      </c>
      <c r="G13" s="96">
        <v>14824</v>
      </c>
      <c r="H13" s="95">
        <v>29.6</v>
      </c>
      <c r="I13" s="95">
        <v>339</v>
      </c>
      <c r="J13" s="95">
        <v>7.4</v>
      </c>
      <c r="K13" s="95">
        <v>328</v>
      </c>
      <c r="L13" s="95">
        <v>4.0999999999999996</v>
      </c>
      <c r="M13" s="96">
        <v>5126</v>
      </c>
      <c r="N13" s="95">
        <v>12.2</v>
      </c>
      <c r="O13" s="95">
        <v>35</v>
      </c>
      <c r="P13" s="95">
        <v>11.8</v>
      </c>
      <c r="Q13" s="96">
        <v>3294</v>
      </c>
      <c r="R13" s="95">
        <v>16.5</v>
      </c>
      <c r="S13" s="96">
        <v>45759</v>
      </c>
      <c r="T13" s="123">
        <v>23</v>
      </c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</row>
    <row r="14" spans="1:39" x14ac:dyDescent="0.3">
      <c r="A14" s="305"/>
      <c r="B14" s="95" t="s">
        <v>262</v>
      </c>
      <c r="C14" s="96">
        <v>7603</v>
      </c>
      <c r="D14" s="95">
        <v>69.099999999999994</v>
      </c>
      <c r="E14" s="96">
        <v>38195</v>
      </c>
      <c r="F14" s="95">
        <v>60.9</v>
      </c>
      <c r="G14" s="96">
        <v>27712</v>
      </c>
      <c r="H14" s="95">
        <v>55.3</v>
      </c>
      <c r="I14" s="96">
        <v>3989</v>
      </c>
      <c r="J14" s="95">
        <v>87.4</v>
      </c>
      <c r="K14" s="96">
        <v>7316</v>
      </c>
      <c r="L14" s="95">
        <v>91.1</v>
      </c>
      <c r="M14" s="96">
        <v>33983</v>
      </c>
      <c r="N14" s="95">
        <v>81.099999999999994</v>
      </c>
      <c r="O14" s="95">
        <v>256</v>
      </c>
      <c r="P14" s="95">
        <v>87.3</v>
      </c>
      <c r="Q14" s="96">
        <v>15190</v>
      </c>
      <c r="R14" s="95">
        <v>75.900000000000006</v>
      </c>
      <c r="S14" s="96">
        <v>134244</v>
      </c>
      <c r="T14" s="123">
        <v>67.599999999999994</v>
      </c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</row>
    <row r="15" spans="1:39" x14ac:dyDescent="0.3">
      <c r="A15" s="305"/>
      <c r="B15" s="95" t="s">
        <v>257</v>
      </c>
      <c r="C15" s="95">
        <v>17</v>
      </c>
      <c r="D15" s="95">
        <v>0.2</v>
      </c>
      <c r="E15" s="96">
        <v>4428</v>
      </c>
      <c r="F15" s="95">
        <v>7.1</v>
      </c>
      <c r="G15" s="96">
        <v>7061</v>
      </c>
      <c r="H15" s="95">
        <v>14.1</v>
      </c>
      <c r="I15" s="95">
        <v>179</v>
      </c>
      <c r="J15" s="95">
        <v>3.9</v>
      </c>
      <c r="K15" s="95">
        <v>296</v>
      </c>
      <c r="L15" s="95">
        <v>3.7</v>
      </c>
      <c r="M15" s="96">
        <v>1567</v>
      </c>
      <c r="N15" s="95">
        <v>3.7</v>
      </c>
      <c r="O15" s="95">
        <v>3</v>
      </c>
      <c r="P15" s="95">
        <v>0.9</v>
      </c>
      <c r="Q15" s="96">
        <v>1352</v>
      </c>
      <c r="R15" s="95">
        <v>6.8</v>
      </c>
      <c r="S15" s="96">
        <v>14902</v>
      </c>
      <c r="T15" s="123">
        <v>7.5</v>
      </c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</row>
    <row r="16" spans="1:39" x14ac:dyDescent="0.3">
      <c r="A16" s="305"/>
      <c r="B16" s="95" t="s">
        <v>258</v>
      </c>
      <c r="C16" s="95">
        <v>150</v>
      </c>
      <c r="D16" s="95">
        <v>1.4</v>
      </c>
      <c r="E16" s="96">
        <v>1505</v>
      </c>
      <c r="F16" s="95">
        <v>2.4</v>
      </c>
      <c r="G16" s="95">
        <v>557</v>
      </c>
      <c r="H16" s="95">
        <v>1.1000000000000001</v>
      </c>
      <c r="I16" s="95">
        <v>59</v>
      </c>
      <c r="J16" s="95">
        <v>1.3</v>
      </c>
      <c r="K16" s="95">
        <v>90</v>
      </c>
      <c r="L16" s="95">
        <v>1.1000000000000001</v>
      </c>
      <c r="M16" s="95">
        <v>1210</v>
      </c>
      <c r="N16" s="95">
        <v>2.9</v>
      </c>
      <c r="O16" s="95">
        <v>0</v>
      </c>
      <c r="P16" s="95">
        <v>0</v>
      </c>
      <c r="Q16" s="95">
        <v>180</v>
      </c>
      <c r="R16" s="95">
        <v>0.9</v>
      </c>
      <c r="S16" s="96">
        <v>3751</v>
      </c>
      <c r="T16" s="123">
        <v>1.9</v>
      </c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</row>
    <row r="17" spans="1:39" x14ac:dyDescent="0.3">
      <c r="A17" s="305"/>
      <c r="B17" s="97" t="s">
        <v>110</v>
      </c>
      <c r="C17" s="98">
        <v>11001</v>
      </c>
      <c r="D17" s="97">
        <v>100</v>
      </c>
      <c r="E17" s="98">
        <v>62713</v>
      </c>
      <c r="F17" s="97">
        <v>100</v>
      </c>
      <c r="G17" s="98">
        <v>50153</v>
      </c>
      <c r="H17" s="97">
        <v>100</v>
      </c>
      <c r="I17" s="98">
        <v>4565</v>
      </c>
      <c r="J17" s="97">
        <v>100</v>
      </c>
      <c r="K17" s="98">
        <v>8030</v>
      </c>
      <c r="L17" s="97">
        <v>100</v>
      </c>
      <c r="M17" s="98">
        <v>41886</v>
      </c>
      <c r="N17" s="97">
        <v>100</v>
      </c>
      <c r="O17" s="97">
        <v>293</v>
      </c>
      <c r="P17" s="97">
        <v>100</v>
      </c>
      <c r="Q17" s="98">
        <v>20016</v>
      </c>
      <c r="R17" s="97">
        <v>100</v>
      </c>
      <c r="S17" s="98">
        <v>198657</v>
      </c>
      <c r="T17" s="125">
        <v>100</v>
      </c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</row>
    <row r="18" spans="1:39" x14ac:dyDescent="0.3">
      <c r="A18" s="305"/>
      <c r="B18" s="95" t="s">
        <v>259</v>
      </c>
      <c r="C18" s="95">
        <v>324</v>
      </c>
      <c r="D18" s="95"/>
      <c r="E18" s="95">
        <v>4</v>
      </c>
      <c r="F18" s="95"/>
      <c r="G18" s="95">
        <v>1031</v>
      </c>
      <c r="H18" s="95"/>
      <c r="I18" s="95">
        <v>0</v>
      </c>
      <c r="J18" s="95"/>
      <c r="K18" s="95">
        <v>3</v>
      </c>
      <c r="L18" s="95"/>
      <c r="M18" s="95">
        <v>0</v>
      </c>
      <c r="N18" s="95"/>
      <c r="O18" s="95">
        <v>0</v>
      </c>
      <c r="P18" s="95"/>
      <c r="Q18" s="95">
        <v>0</v>
      </c>
      <c r="R18" s="95"/>
      <c r="S18" s="95">
        <v>1362</v>
      </c>
      <c r="T18" s="123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</row>
    <row r="19" spans="1:39" x14ac:dyDescent="0.3">
      <c r="A19" s="306"/>
      <c r="B19" s="97" t="s">
        <v>260</v>
      </c>
      <c r="C19" s="98">
        <v>11325</v>
      </c>
      <c r="D19" s="97"/>
      <c r="E19" s="98">
        <v>62717</v>
      </c>
      <c r="F19" s="97"/>
      <c r="G19" s="98">
        <v>51184</v>
      </c>
      <c r="H19" s="97"/>
      <c r="I19" s="98">
        <v>4565</v>
      </c>
      <c r="J19" s="97"/>
      <c r="K19" s="98">
        <v>8033</v>
      </c>
      <c r="L19" s="97"/>
      <c r="M19" s="98">
        <v>41886</v>
      </c>
      <c r="N19" s="97"/>
      <c r="O19" s="97">
        <v>293</v>
      </c>
      <c r="P19" s="97"/>
      <c r="Q19" s="98">
        <v>20016</v>
      </c>
      <c r="R19" s="97"/>
      <c r="S19" s="98">
        <v>200019</v>
      </c>
      <c r="T19" s="125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</row>
    <row r="20" spans="1:39" x14ac:dyDescent="0.3">
      <c r="A20" s="304" t="s">
        <v>10</v>
      </c>
      <c r="B20" s="95" t="s">
        <v>261</v>
      </c>
      <c r="C20" s="96">
        <v>2812</v>
      </c>
      <c r="D20" s="95">
        <v>22.7</v>
      </c>
      <c r="E20" s="96">
        <v>20171</v>
      </c>
      <c r="F20" s="95">
        <v>30.1</v>
      </c>
      <c r="G20" s="96">
        <v>16974</v>
      </c>
      <c r="H20" s="95">
        <v>30</v>
      </c>
      <c r="I20" s="95">
        <v>270</v>
      </c>
      <c r="J20" s="95">
        <v>5.6</v>
      </c>
      <c r="K20" s="95">
        <v>448</v>
      </c>
      <c r="L20" s="95">
        <v>6</v>
      </c>
      <c r="M20" s="96">
        <v>5966</v>
      </c>
      <c r="N20" s="95">
        <v>11.7</v>
      </c>
      <c r="O20" s="95">
        <v>46</v>
      </c>
      <c r="P20" s="95">
        <v>9.4</v>
      </c>
      <c r="Q20" s="96">
        <v>4587</v>
      </c>
      <c r="R20" s="95">
        <v>17.7</v>
      </c>
      <c r="S20" s="96">
        <v>51276</v>
      </c>
      <c r="T20" s="123">
        <v>22.7</v>
      </c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</row>
    <row r="21" spans="1:39" x14ac:dyDescent="0.3">
      <c r="A21" s="305"/>
      <c r="B21" s="95" t="s">
        <v>262</v>
      </c>
      <c r="C21" s="96">
        <v>9390</v>
      </c>
      <c r="D21" s="95">
        <v>75.7</v>
      </c>
      <c r="E21" s="96">
        <v>40054</v>
      </c>
      <c r="F21" s="95">
        <v>59.7</v>
      </c>
      <c r="G21" s="96">
        <v>31177</v>
      </c>
      <c r="H21" s="95">
        <v>55.1</v>
      </c>
      <c r="I21" s="96">
        <v>4318</v>
      </c>
      <c r="J21" s="95">
        <v>89.1</v>
      </c>
      <c r="K21" s="96">
        <v>6614</v>
      </c>
      <c r="L21" s="95">
        <v>88</v>
      </c>
      <c r="M21" s="96">
        <v>41694</v>
      </c>
      <c r="N21" s="95">
        <v>81.599999999999994</v>
      </c>
      <c r="O21" s="95">
        <v>448</v>
      </c>
      <c r="P21" s="95">
        <v>90.5</v>
      </c>
      <c r="Q21" s="96">
        <v>19237</v>
      </c>
      <c r="R21" s="95">
        <v>74.400000000000006</v>
      </c>
      <c r="S21" s="96">
        <v>152932</v>
      </c>
      <c r="T21" s="123">
        <v>67.7</v>
      </c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</row>
    <row r="22" spans="1:39" x14ac:dyDescent="0.3">
      <c r="A22" s="305"/>
      <c r="B22" s="95" t="s">
        <v>257</v>
      </c>
      <c r="C22" s="95">
        <v>35</v>
      </c>
      <c r="D22" s="95">
        <v>0.3</v>
      </c>
      <c r="E22" s="96">
        <v>4968</v>
      </c>
      <c r="F22" s="95">
        <v>7.4</v>
      </c>
      <c r="G22" s="96">
        <v>7834</v>
      </c>
      <c r="H22" s="95">
        <v>13.9</v>
      </c>
      <c r="I22" s="95">
        <v>216</v>
      </c>
      <c r="J22" s="95">
        <v>4.4000000000000004</v>
      </c>
      <c r="K22" s="95">
        <v>358</v>
      </c>
      <c r="L22" s="95">
        <v>4.8</v>
      </c>
      <c r="M22" s="96">
        <v>2029</v>
      </c>
      <c r="N22" s="95">
        <v>4</v>
      </c>
      <c r="O22" s="95">
        <v>0</v>
      </c>
      <c r="P22" s="95">
        <v>0.1</v>
      </c>
      <c r="Q22" s="96">
        <v>1770</v>
      </c>
      <c r="R22" s="95">
        <v>6.8</v>
      </c>
      <c r="S22" s="96">
        <v>17211</v>
      </c>
      <c r="T22" s="123">
        <v>7.6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</row>
    <row r="23" spans="1:39" x14ac:dyDescent="0.3">
      <c r="A23" s="305"/>
      <c r="B23" s="95" t="s">
        <v>258</v>
      </c>
      <c r="C23" s="95">
        <v>173</v>
      </c>
      <c r="D23" s="95">
        <v>1.4</v>
      </c>
      <c r="E23" s="96">
        <v>1867</v>
      </c>
      <c r="F23" s="95">
        <v>2.8</v>
      </c>
      <c r="G23" s="95">
        <v>559</v>
      </c>
      <c r="H23" s="95">
        <v>1</v>
      </c>
      <c r="I23" s="95">
        <v>42</v>
      </c>
      <c r="J23" s="95">
        <v>0.9</v>
      </c>
      <c r="K23" s="95">
        <v>98</v>
      </c>
      <c r="L23" s="95">
        <v>1.3</v>
      </c>
      <c r="M23" s="96">
        <v>1427</v>
      </c>
      <c r="N23" s="95">
        <v>2.8</v>
      </c>
      <c r="O23" s="95">
        <v>0</v>
      </c>
      <c r="P23" s="95">
        <v>0</v>
      </c>
      <c r="Q23" s="95">
        <v>252</v>
      </c>
      <c r="R23" s="95">
        <v>1</v>
      </c>
      <c r="S23" s="96">
        <v>4419</v>
      </c>
      <c r="T23" s="123">
        <v>2</v>
      </c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</row>
    <row r="24" spans="1:39" x14ac:dyDescent="0.3">
      <c r="A24" s="305"/>
      <c r="B24" s="97" t="s">
        <v>110</v>
      </c>
      <c r="C24" s="98">
        <v>12410</v>
      </c>
      <c r="D24" s="97">
        <v>100</v>
      </c>
      <c r="E24" s="98">
        <v>67061</v>
      </c>
      <c r="F24" s="97">
        <v>100</v>
      </c>
      <c r="G24" s="98">
        <v>56544</v>
      </c>
      <c r="H24" s="97">
        <v>100</v>
      </c>
      <c r="I24" s="98">
        <v>4846</v>
      </c>
      <c r="J24" s="97">
        <v>100</v>
      </c>
      <c r="K24" s="98">
        <v>7519</v>
      </c>
      <c r="L24" s="97">
        <v>100</v>
      </c>
      <c r="M24" s="98">
        <v>51117</v>
      </c>
      <c r="N24" s="97">
        <v>100</v>
      </c>
      <c r="O24" s="97">
        <v>495</v>
      </c>
      <c r="P24" s="97">
        <v>100</v>
      </c>
      <c r="Q24" s="98">
        <v>25847</v>
      </c>
      <c r="R24" s="97">
        <v>100</v>
      </c>
      <c r="S24" s="98">
        <v>225839</v>
      </c>
      <c r="T24" s="125">
        <v>100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</row>
    <row r="25" spans="1:39" x14ac:dyDescent="0.3">
      <c r="A25" s="305"/>
      <c r="B25" s="95" t="s">
        <v>259</v>
      </c>
      <c r="C25" s="95">
        <v>15</v>
      </c>
      <c r="D25" s="95"/>
      <c r="E25" s="95">
        <v>5</v>
      </c>
      <c r="F25" s="95"/>
      <c r="G25" s="96">
        <v>533</v>
      </c>
      <c r="H25" s="95"/>
      <c r="I25" s="95">
        <v>0</v>
      </c>
      <c r="J25" s="95"/>
      <c r="K25" s="95">
        <v>0</v>
      </c>
      <c r="L25" s="95"/>
      <c r="M25" s="95">
        <v>8</v>
      </c>
      <c r="N25" s="95"/>
      <c r="O25" s="95">
        <v>0</v>
      </c>
      <c r="P25" s="95"/>
      <c r="Q25" s="95">
        <v>30</v>
      </c>
      <c r="R25" s="95"/>
      <c r="S25" s="96">
        <v>592</v>
      </c>
      <c r="T25" s="123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</row>
    <row r="26" spans="1:39" x14ac:dyDescent="0.3">
      <c r="A26" s="306"/>
      <c r="B26" s="97" t="s">
        <v>260</v>
      </c>
      <c r="C26" s="98">
        <v>12426</v>
      </c>
      <c r="D26" s="97"/>
      <c r="E26" s="98">
        <v>67066</v>
      </c>
      <c r="F26" s="97"/>
      <c r="G26" s="98">
        <v>57078</v>
      </c>
      <c r="H26" s="97"/>
      <c r="I26" s="98">
        <v>4846</v>
      </c>
      <c r="J26" s="97"/>
      <c r="K26" s="98">
        <v>7519</v>
      </c>
      <c r="L26" s="97"/>
      <c r="M26" s="98">
        <v>51125</v>
      </c>
      <c r="N26" s="97"/>
      <c r="O26" s="97">
        <v>495</v>
      </c>
      <c r="P26" s="97"/>
      <c r="Q26" s="98">
        <v>25877</v>
      </c>
      <c r="R26" s="97"/>
      <c r="S26" s="98">
        <v>226431</v>
      </c>
      <c r="T26" s="125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</row>
    <row r="27" spans="1:39" x14ac:dyDescent="0.3">
      <c r="A27" s="304" t="s">
        <v>369</v>
      </c>
      <c r="B27" s="95" t="s">
        <v>261</v>
      </c>
      <c r="C27" s="96">
        <v>3075</v>
      </c>
      <c r="D27" s="95">
        <v>23.1</v>
      </c>
      <c r="E27" s="96">
        <v>20585</v>
      </c>
      <c r="F27" s="95">
        <v>28.7</v>
      </c>
      <c r="G27" s="96">
        <v>18987</v>
      </c>
      <c r="H27" s="95">
        <v>30</v>
      </c>
      <c r="I27" s="95">
        <v>384</v>
      </c>
      <c r="J27" s="95">
        <v>7.6</v>
      </c>
      <c r="K27" s="95">
        <v>623</v>
      </c>
      <c r="L27" s="95">
        <v>6.4</v>
      </c>
      <c r="M27" s="96">
        <v>7138</v>
      </c>
      <c r="N27" s="95">
        <v>12.8</v>
      </c>
      <c r="O27" s="95">
        <v>46</v>
      </c>
      <c r="P27" s="95">
        <v>7.3</v>
      </c>
      <c r="Q27" s="96">
        <v>5172</v>
      </c>
      <c r="R27" s="95">
        <v>20.9</v>
      </c>
      <c r="S27" s="96">
        <v>56009</v>
      </c>
      <c r="T27" s="123">
        <v>22.9</v>
      </c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</row>
    <row r="28" spans="1:39" x14ac:dyDescent="0.3">
      <c r="A28" s="305"/>
      <c r="B28" s="95" t="s">
        <v>262</v>
      </c>
      <c r="C28" s="96">
        <v>10038</v>
      </c>
      <c r="D28" s="95">
        <v>75.3</v>
      </c>
      <c r="E28" s="96">
        <v>44099</v>
      </c>
      <c r="F28" s="95">
        <v>61.4</v>
      </c>
      <c r="G28" s="96">
        <v>35256</v>
      </c>
      <c r="H28" s="95">
        <v>55.7</v>
      </c>
      <c r="I28" s="96">
        <v>4332</v>
      </c>
      <c r="J28" s="95">
        <v>86.1</v>
      </c>
      <c r="K28" s="96">
        <v>8541</v>
      </c>
      <c r="L28" s="95">
        <v>88.4</v>
      </c>
      <c r="M28" s="96">
        <v>44528</v>
      </c>
      <c r="N28" s="95">
        <v>79.7</v>
      </c>
      <c r="O28" s="95">
        <v>578</v>
      </c>
      <c r="P28" s="95">
        <v>92.7</v>
      </c>
      <c r="Q28" s="96">
        <v>17329</v>
      </c>
      <c r="R28" s="95">
        <v>70.2</v>
      </c>
      <c r="S28" s="96">
        <v>164701</v>
      </c>
      <c r="T28" s="123">
        <v>67.400000000000006</v>
      </c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</row>
    <row r="29" spans="1:39" x14ac:dyDescent="0.3">
      <c r="A29" s="305"/>
      <c r="B29" s="95" t="s">
        <v>257</v>
      </c>
      <c r="C29" s="95">
        <v>18</v>
      </c>
      <c r="D29" s="95">
        <v>0.1</v>
      </c>
      <c r="E29" s="96">
        <v>5408</v>
      </c>
      <c r="F29" s="95">
        <v>7.5</v>
      </c>
      <c r="G29" s="96">
        <v>8476</v>
      </c>
      <c r="H29" s="95">
        <v>13.4</v>
      </c>
      <c r="I29" s="95">
        <v>278</v>
      </c>
      <c r="J29" s="95">
        <v>5.5</v>
      </c>
      <c r="K29" s="95">
        <v>445</v>
      </c>
      <c r="L29" s="95">
        <v>4.5999999999999996</v>
      </c>
      <c r="M29" s="96">
        <v>2422</v>
      </c>
      <c r="N29" s="95">
        <v>4.3</v>
      </c>
      <c r="O29" s="95">
        <v>0</v>
      </c>
      <c r="P29" s="95">
        <v>0.1</v>
      </c>
      <c r="Q29" s="96">
        <v>1923</v>
      </c>
      <c r="R29" s="95">
        <v>7.8</v>
      </c>
      <c r="S29" s="96">
        <v>18970</v>
      </c>
      <c r="T29" s="123">
        <v>7.8</v>
      </c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</row>
    <row r="30" spans="1:39" x14ac:dyDescent="0.3">
      <c r="A30" s="305"/>
      <c r="B30" s="95" t="s">
        <v>258</v>
      </c>
      <c r="C30" s="95">
        <v>192</v>
      </c>
      <c r="D30" s="95">
        <v>1.4</v>
      </c>
      <c r="E30" s="96">
        <v>1709</v>
      </c>
      <c r="F30" s="95">
        <v>2.4</v>
      </c>
      <c r="G30" s="95">
        <v>549</v>
      </c>
      <c r="H30" s="95">
        <v>0.9</v>
      </c>
      <c r="I30" s="95">
        <v>39</v>
      </c>
      <c r="J30" s="95">
        <v>0.8</v>
      </c>
      <c r="K30" s="95">
        <v>56</v>
      </c>
      <c r="L30" s="95">
        <v>0.6</v>
      </c>
      <c r="M30" s="96">
        <v>1813</v>
      </c>
      <c r="N30" s="95">
        <v>3.2</v>
      </c>
      <c r="O30" s="95">
        <v>0</v>
      </c>
      <c r="P30" s="95">
        <v>0</v>
      </c>
      <c r="Q30" s="95">
        <v>274</v>
      </c>
      <c r="R30" s="95">
        <v>1.1000000000000001</v>
      </c>
      <c r="S30" s="96">
        <v>4633</v>
      </c>
      <c r="T30" s="123">
        <v>1.9</v>
      </c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</row>
    <row r="31" spans="1:39" x14ac:dyDescent="0.3">
      <c r="A31" s="305"/>
      <c r="B31" s="97" t="s">
        <v>110</v>
      </c>
      <c r="C31" s="98">
        <v>13323</v>
      </c>
      <c r="D31" s="97">
        <v>100</v>
      </c>
      <c r="E31" s="98">
        <v>71802</v>
      </c>
      <c r="F31" s="97">
        <v>100</v>
      </c>
      <c r="G31" s="98">
        <v>63267</v>
      </c>
      <c r="H31" s="97">
        <v>100</v>
      </c>
      <c r="I31" s="98">
        <v>5033</v>
      </c>
      <c r="J31" s="97">
        <v>100</v>
      </c>
      <c r="K31" s="98">
        <v>9665</v>
      </c>
      <c r="L31" s="97">
        <v>100</v>
      </c>
      <c r="M31" s="98">
        <v>55902</v>
      </c>
      <c r="N31" s="97">
        <v>100</v>
      </c>
      <c r="O31" s="97">
        <v>624</v>
      </c>
      <c r="P31" s="97">
        <v>100</v>
      </c>
      <c r="Q31" s="98">
        <v>24698</v>
      </c>
      <c r="R31" s="97">
        <v>100</v>
      </c>
      <c r="S31" s="98">
        <v>244313</v>
      </c>
      <c r="T31" s="125">
        <v>100</v>
      </c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</row>
    <row r="32" spans="1:39" x14ac:dyDescent="0.3">
      <c r="A32" s="305"/>
      <c r="B32" s="95" t="s">
        <v>259</v>
      </c>
      <c r="C32" s="95">
        <v>19</v>
      </c>
      <c r="D32" s="95"/>
      <c r="E32" s="95">
        <v>49</v>
      </c>
      <c r="F32" s="95"/>
      <c r="G32" s="95">
        <v>0</v>
      </c>
      <c r="H32" s="95"/>
      <c r="I32" s="95">
        <v>0</v>
      </c>
      <c r="J32" s="95"/>
      <c r="K32" s="95">
        <v>0</v>
      </c>
      <c r="L32" s="95"/>
      <c r="M32" s="95">
        <v>5</v>
      </c>
      <c r="N32" s="95"/>
      <c r="O32" s="95">
        <v>0</v>
      </c>
      <c r="P32" s="95"/>
      <c r="Q32" s="95">
        <v>0</v>
      </c>
      <c r="R32" s="95"/>
      <c r="S32" s="95">
        <v>72</v>
      </c>
      <c r="T32" s="123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</row>
    <row r="33" spans="1:39" x14ac:dyDescent="0.3">
      <c r="A33" s="306"/>
      <c r="B33" s="97" t="s">
        <v>260</v>
      </c>
      <c r="C33" s="98">
        <v>13341</v>
      </c>
      <c r="D33" s="97"/>
      <c r="E33" s="98">
        <v>71851</v>
      </c>
      <c r="F33" s="97"/>
      <c r="G33" s="98">
        <v>63267</v>
      </c>
      <c r="H33" s="97"/>
      <c r="I33" s="98">
        <v>5033</v>
      </c>
      <c r="J33" s="97"/>
      <c r="K33" s="98">
        <v>9665</v>
      </c>
      <c r="L33" s="97"/>
      <c r="M33" s="98">
        <v>55907</v>
      </c>
      <c r="N33" s="97"/>
      <c r="O33" s="97">
        <v>624</v>
      </c>
      <c r="P33" s="97"/>
      <c r="Q33" s="98">
        <v>24698</v>
      </c>
      <c r="R33" s="97"/>
      <c r="S33" s="98">
        <v>244386</v>
      </c>
      <c r="T33" s="125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</row>
    <row r="34" spans="1:39" x14ac:dyDescent="0.3">
      <c r="A34" s="304" t="s">
        <v>402</v>
      </c>
      <c r="B34" s="13" t="s">
        <v>261</v>
      </c>
      <c r="C34" s="14">
        <v>4693</v>
      </c>
      <c r="D34" s="13">
        <v>31.7</v>
      </c>
      <c r="E34" s="14">
        <v>20672</v>
      </c>
      <c r="F34" s="13">
        <v>27.5</v>
      </c>
      <c r="G34" s="14">
        <v>20492</v>
      </c>
      <c r="H34" s="13">
        <v>30.7</v>
      </c>
      <c r="I34" s="13">
        <v>404</v>
      </c>
      <c r="J34" s="13">
        <v>7</v>
      </c>
      <c r="K34" s="13">
        <v>712</v>
      </c>
      <c r="L34" s="13">
        <v>6.8</v>
      </c>
      <c r="M34" s="14">
        <v>10392</v>
      </c>
      <c r="N34" s="13">
        <v>17.8</v>
      </c>
      <c r="O34" s="13">
        <v>49</v>
      </c>
      <c r="P34" s="13">
        <v>6.5</v>
      </c>
      <c r="Q34" s="14">
        <v>5317</v>
      </c>
      <c r="R34" s="13">
        <v>21.4</v>
      </c>
      <c r="S34" s="14">
        <v>62731</v>
      </c>
      <c r="T34" s="35">
        <v>24.4</v>
      </c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</row>
    <row r="35" spans="1:39" x14ac:dyDescent="0.3">
      <c r="A35" s="305"/>
      <c r="B35" s="13" t="s">
        <v>262</v>
      </c>
      <c r="C35" s="14">
        <v>9792</v>
      </c>
      <c r="D35" s="13">
        <v>66.2</v>
      </c>
      <c r="E35" s="14">
        <v>47727</v>
      </c>
      <c r="F35" s="13">
        <v>63.6</v>
      </c>
      <c r="G35" s="14">
        <v>37313</v>
      </c>
      <c r="H35" s="13">
        <v>55.9</v>
      </c>
      <c r="I35" s="14">
        <v>5099</v>
      </c>
      <c r="J35" s="13">
        <v>87.7</v>
      </c>
      <c r="K35" s="14">
        <v>9249</v>
      </c>
      <c r="L35" s="13">
        <v>87.9</v>
      </c>
      <c r="M35" s="14">
        <v>43991</v>
      </c>
      <c r="N35" s="13">
        <v>75.400000000000006</v>
      </c>
      <c r="O35" s="13">
        <v>702</v>
      </c>
      <c r="P35" s="13">
        <v>93.3</v>
      </c>
      <c r="Q35" s="14">
        <v>17374</v>
      </c>
      <c r="R35" s="13">
        <v>70</v>
      </c>
      <c r="S35" s="14">
        <v>171248</v>
      </c>
      <c r="T35" s="35">
        <v>66.599999999999994</v>
      </c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</row>
    <row r="36" spans="1:39" x14ac:dyDescent="0.3">
      <c r="A36" s="305"/>
      <c r="B36" s="13" t="s">
        <v>257</v>
      </c>
      <c r="C36" s="13">
        <v>125</v>
      </c>
      <c r="D36" s="13">
        <v>0.8</v>
      </c>
      <c r="E36" s="14">
        <v>4869</v>
      </c>
      <c r="F36" s="13">
        <v>6.5</v>
      </c>
      <c r="G36" s="14">
        <v>8400</v>
      </c>
      <c r="H36" s="13">
        <v>12.6</v>
      </c>
      <c r="I36" s="13">
        <v>292</v>
      </c>
      <c r="J36" s="13">
        <v>5</v>
      </c>
      <c r="K36" s="13">
        <v>511</v>
      </c>
      <c r="L36" s="13">
        <v>4.9000000000000004</v>
      </c>
      <c r="M36" s="14">
        <v>2516</v>
      </c>
      <c r="N36" s="13">
        <v>4.3</v>
      </c>
      <c r="O36" s="13">
        <v>1</v>
      </c>
      <c r="P36" s="13">
        <v>0.2</v>
      </c>
      <c r="Q36" s="14">
        <v>1895</v>
      </c>
      <c r="R36" s="13">
        <v>7.6</v>
      </c>
      <c r="S36" s="14">
        <v>18609</v>
      </c>
      <c r="T36" s="35">
        <v>7.2</v>
      </c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</row>
    <row r="37" spans="1:39" x14ac:dyDescent="0.3">
      <c r="A37" s="305"/>
      <c r="B37" s="13" t="s">
        <v>258</v>
      </c>
      <c r="C37" s="13">
        <v>188</v>
      </c>
      <c r="D37" s="13">
        <v>1.3</v>
      </c>
      <c r="E37" s="14">
        <v>1782</v>
      </c>
      <c r="F37" s="13">
        <v>2.4</v>
      </c>
      <c r="G37" s="13">
        <v>587</v>
      </c>
      <c r="H37" s="13">
        <v>0.9</v>
      </c>
      <c r="I37" s="13">
        <v>20</v>
      </c>
      <c r="J37" s="13">
        <v>0.3</v>
      </c>
      <c r="K37" s="13">
        <v>53</v>
      </c>
      <c r="L37" s="13">
        <v>0.5</v>
      </c>
      <c r="M37" s="14">
        <v>1480</v>
      </c>
      <c r="N37" s="13">
        <v>2.5</v>
      </c>
      <c r="O37" s="13">
        <v>0</v>
      </c>
      <c r="P37" s="13">
        <v>0</v>
      </c>
      <c r="Q37" s="13">
        <v>248</v>
      </c>
      <c r="R37" s="13">
        <v>1</v>
      </c>
      <c r="S37" s="14">
        <v>4359</v>
      </c>
      <c r="T37" s="35">
        <v>1.7</v>
      </c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</row>
    <row r="38" spans="1:39" x14ac:dyDescent="0.3">
      <c r="A38" s="305"/>
      <c r="B38" s="29" t="s">
        <v>110</v>
      </c>
      <c r="C38" s="31">
        <v>14797</v>
      </c>
      <c r="D38" s="29">
        <v>100</v>
      </c>
      <c r="E38" s="31">
        <v>75050</v>
      </c>
      <c r="F38" s="29">
        <v>100</v>
      </c>
      <c r="G38" s="31">
        <v>66793</v>
      </c>
      <c r="H38" s="29">
        <v>100</v>
      </c>
      <c r="I38" s="31">
        <v>5815</v>
      </c>
      <c r="J38" s="29">
        <v>100</v>
      </c>
      <c r="K38" s="31">
        <v>10524</v>
      </c>
      <c r="L38" s="29">
        <v>100</v>
      </c>
      <c r="M38" s="31">
        <v>58379</v>
      </c>
      <c r="N38" s="29">
        <v>100</v>
      </c>
      <c r="O38" s="29">
        <v>753</v>
      </c>
      <c r="P38" s="29">
        <v>100</v>
      </c>
      <c r="Q38" s="31">
        <v>24835</v>
      </c>
      <c r="R38" s="29">
        <v>100</v>
      </c>
      <c r="S38" s="31">
        <v>256946</v>
      </c>
      <c r="T38" s="42">
        <v>100</v>
      </c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</row>
    <row r="39" spans="1:39" x14ac:dyDescent="0.3">
      <c r="A39" s="305"/>
      <c r="B39" s="13" t="s">
        <v>259</v>
      </c>
      <c r="C39" s="13">
        <v>18</v>
      </c>
      <c r="D39" s="13"/>
      <c r="E39" s="13">
        <v>0</v>
      </c>
      <c r="F39" s="13"/>
      <c r="G39" s="13">
        <v>0</v>
      </c>
      <c r="H39" s="13"/>
      <c r="I39" s="13">
        <v>0</v>
      </c>
      <c r="J39" s="13"/>
      <c r="K39" s="13">
        <v>0</v>
      </c>
      <c r="L39" s="13"/>
      <c r="M39" s="13">
        <v>12</v>
      </c>
      <c r="N39" s="13"/>
      <c r="O39" s="13">
        <v>2</v>
      </c>
      <c r="P39" s="13"/>
      <c r="Q39" s="13">
        <v>0</v>
      </c>
      <c r="R39" s="13"/>
      <c r="S39" s="13">
        <v>32</v>
      </c>
      <c r="T39" s="35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</row>
    <row r="40" spans="1:39" x14ac:dyDescent="0.3">
      <c r="A40" s="306"/>
      <c r="B40" s="29" t="s">
        <v>260</v>
      </c>
      <c r="C40" s="31">
        <v>14816</v>
      </c>
      <c r="D40" s="29"/>
      <c r="E40" s="31">
        <v>75050</v>
      </c>
      <c r="F40" s="29"/>
      <c r="G40" s="31">
        <v>66793</v>
      </c>
      <c r="H40" s="29"/>
      <c r="I40" s="31">
        <v>5815</v>
      </c>
      <c r="J40" s="29"/>
      <c r="K40" s="31">
        <v>10524</v>
      </c>
      <c r="L40" s="29"/>
      <c r="M40" s="31">
        <v>58390</v>
      </c>
      <c r="N40" s="29"/>
      <c r="O40" s="29">
        <v>755</v>
      </c>
      <c r="P40" s="29"/>
      <c r="Q40" s="31">
        <v>24835</v>
      </c>
      <c r="R40" s="29"/>
      <c r="S40" s="31">
        <v>256978</v>
      </c>
      <c r="T40" s="42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</row>
    <row r="42" spans="1:39" x14ac:dyDescent="0.3">
      <c r="A42" t="s">
        <v>495</v>
      </c>
    </row>
    <row r="44" spans="1:39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</row>
    <row r="45" spans="1:39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</row>
    <row r="46" spans="1:39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</row>
    <row r="47" spans="1:39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</row>
    <row r="48" spans="1:39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</row>
    <row r="49" spans="3:20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</row>
    <row r="50" spans="3:20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</row>
    <row r="51" spans="3:20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</row>
    <row r="52" spans="3:20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</row>
    <row r="53" spans="3:20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</row>
    <row r="54" spans="3:20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</row>
    <row r="55" spans="3:20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</row>
    <row r="56" spans="3:20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</row>
    <row r="57" spans="3:20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</row>
    <row r="58" spans="3:20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</row>
    <row r="59" spans="3:20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</row>
    <row r="60" spans="3:20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</row>
    <row r="61" spans="3:20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</row>
    <row r="62" spans="3:20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</row>
    <row r="63" spans="3:20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</row>
    <row r="64" spans="3:20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</row>
    <row r="65" spans="3:20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</row>
    <row r="66" spans="3:20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</row>
    <row r="67" spans="3:20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</row>
    <row r="68" spans="3:20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</row>
    <row r="69" spans="3:20" x14ac:dyDescent="0.3"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</row>
    <row r="70" spans="3:20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</row>
    <row r="71" spans="3:20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</row>
    <row r="72" spans="3:20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</row>
    <row r="73" spans="3:20" x14ac:dyDescent="0.3"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</row>
    <row r="74" spans="3:20" x14ac:dyDescent="0.3"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</row>
    <row r="75" spans="3:20" x14ac:dyDescent="0.3"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</row>
    <row r="76" spans="3:20" x14ac:dyDescent="0.3"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</row>
    <row r="77" spans="3:20" x14ac:dyDescent="0.3"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</row>
    <row r="78" spans="3:20" x14ac:dyDescent="0.3"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</row>
  </sheetData>
  <mergeCells count="16">
    <mergeCell ref="Q4:R4"/>
    <mergeCell ref="S4:T4"/>
    <mergeCell ref="A4:A5"/>
    <mergeCell ref="B4:B5"/>
    <mergeCell ref="C4:D4"/>
    <mergeCell ref="E4:F4"/>
    <mergeCell ref="G4:H4"/>
    <mergeCell ref="I4:J4"/>
    <mergeCell ref="A27:A33"/>
    <mergeCell ref="A34:A40"/>
    <mergeCell ref="K4:L4"/>
    <mergeCell ref="M4:N4"/>
    <mergeCell ref="O4:P4"/>
    <mergeCell ref="A6:A12"/>
    <mergeCell ref="A13:A19"/>
    <mergeCell ref="A20:A26"/>
  </mergeCells>
  <phoneticPr fontId="1" type="noConversion"/>
  <hyperlinks>
    <hyperlink ref="H1" location="목차!A1" display="목차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6734-2E03-48E5-81CC-D2682EF7E6E8}">
  <sheetPr>
    <tabColor theme="1" tint="0.499984740745262"/>
  </sheetPr>
  <dimension ref="A1:W65"/>
  <sheetViews>
    <sheetView zoomScale="85" zoomScaleNormal="85" workbookViewId="0">
      <selection activeCell="C6" sqref="C6:L32"/>
    </sheetView>
  </sheetViews>
  <sheetFormatPr defaultRowHeight="16.5" x14ac:dyDescent="0.3"/>
  <cols>
    <col min="1" max="1" width="15" customWidth="1"/>
    <col min="2" max="2" width="17" customWidth="1"/>
  </cols>
  <sheetData>
    <row r="1" spans="1:23" ht="17.25" x14ac:dyDescent="0.3">
      <c r="A1" s="7" t="s">
        <v>1269</v>
      </c>
      <c r="B1" s="4"/>
      <c r="C1" s="4"/>
      <c r="D1" s="4"/>
      <c r="E1" s="4"/>
      <c r="F1" s="4"/>
      <c r="H1" s="72" t="s">
        <v>367</v>
      </c>
    </row>
    <row r="3" spans="1:23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33" t="s">
        <v>87</v>
      </c>
    </row>
    <row r="4" spans="1:23" ht="17.25" thickBot="1" x14ac:dyDescent="0.35">
      <c r="A4" s="346" t="s">
        <v>0</v>
      </c>
      <c r="B4" s="342"/>
      <c r="C4" s="335" t="s">
        <v>8</v>
      </c>
      <c r="D4" s="345"/>
      <c r="E4" s="335" t="s">
        <v>9</v>
      </c>
      <c r="F4" s="345"/>
      <c r="G4" s="335" t="s">
        <v>10</v>
      </c>
      <c r="H4" s="345"/>
      <c r="I4" s="335" t="s">
        <v>369</v>
      </c>
      <c r="J4" s="336"/>
      <c r="K4" s="335" t="s">
        <v>402</v>
      </c>
      <c r="L4" s="336"/>
    </row>
    <row r="5" spans="1:23" ht="17.25" thickTop="1" x14ac:dyDescent="0.3">
      <c r="A5" s="346"/>
      <c r="B5" s="342"/>
      <c r="C5" s="188" t="s">
        <v>77</v>
      </c>
      <c r="D5" s="188" t="s">
        <v>36</v>
      </c>
      <c r="E5" s="188" t="s">
        <v>77</v>
      </c>
      <c r="F5" s="188" t="s">
        <v>36</v>
      </c>
      <c r="G5" s="188" t="s">
        <v>77</v>
      </c>
      <c r="H5" s="188" t="s">
        <v>36</v>
      </c>
      <c r="I5" s="188" t="s">
        <v>77</v>
      </c>
      <c r="J5" s="187" t="s">
        <v>36</v>
      </c>
      <c r="K5" s="183" t="s">
        <v>77</v>
      </c>
      <c r="L5" s="182" t="s">
        <v>36</v>
      </c>
    </row>
    <row r="6" spans="1:23" x14ac:dyDescent="0.3">
      <c r="A6" s="305" t="s">
        <v>107</v>
      </c>
      <c r="B6" s="169" t="s">
        <v>78</v>
      </c>
      <c r="C6" s="186">
        <v>1820</v>
      </c>
      <c r="D6" s="185">
        <v>3.9</v>
      </c>
      <c r="E6" s="186">
        <v>1863</v>
      </c>
      <c r="F6" s="185">
        <v>3.7</v>
      </c>
      <c r="G6" s="186">
        <v>1791</v>
      </c>
      <c r="H6" s="185">
        <v>3.4</v>
      </c>
      <c r="I6" s="186">
        <v>2300</v>
      </c>
      <c r="J6" s="117">
        <v>4</v>
      </c>
      <c r="K6" s="229">
        <v>2289</v>
      </c>
      <c r="L6" s="230">
        <v>4</v>
      </c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x14ac:dyDescent="0.3">
      <c r="A7" s="305"/>
      <c r="B7" s="95" t="s">
        <v>79</v>
      </c>
      <c r="C7" s="96">
        <v>16623</v>
      </c>
      <c r="D7" s="95">
        <v>35.799999999999997</v>
      </c>
      <c r="E7" s="96">
        <v>17692</v>
      </c>
      <c r="F7" s="95">
        <v>34.9</v>
      </c>
      <c r="G7" s="96">
        <v>16935</v>
      </c>
      <c r="H7" s="95">
        <v>31.9</v>
      </c>
      <c r="I7" s="96">
        <v>18330</v>
      </c>
      <c r="J7" s="194">
        <v>31.6</v>
      </c>
      <c r="K7" s="212">
        <v>17056</v>
      </c>
      <c r="L7" s="213">
        <v>29.6</v>
      </c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x14ac:dyDescent="0.3">
      <c r="A8" s="305"/>
      <c r="B8" s="95" t="s">
        <v>80</v>
      </c>
      <c r="C8" s="96">
        <v>24777</v>
      </c>
      <c r="D8" s="95">
        <v>53.4</v>
      </c>
      <c r="E8" s="96">
        <v>27598</v>
      </c>
      <c r="F8" s="95">
        <v>54.4</v>
      </c>
      <c r="G8" s="96">
        <v>30911</v>
      </c>
      <c r="H8" s="95">
        <v>58.2</v>
      </c>
      <c r="I8" s="96">
        <v>33744</v>
      </c>
      <c r="J8" s="194">
        <v>58.2</v>
      </c>
      <c r="K8" s="212">
        <v>34617</v>
      </c>
      <c r="L8" s="213">
        <v>60</v>
      </c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x14ac:dyDescent="0.3">
      <c r="A9" s="305"/>
      <c r="B9" s="95" t="s">
        <v>81</v>
      </c>
      <c r="C9" s="95">
        <v>147</v>
      </c>
      <c r="D9" s="95">
        <v>0.3</v>
      </c>
      <c r="E9" s="95">
        <v>179</v>
      </c>
      <c r="F9" s="95">
        <v>0.4</v>
      </c>
      <c r="G9" s="95">
        <v>113</v>
      </c>
      <c r="H9" s="95">
        <v>0.2</v>
      </c>
      <c r="I9" s="95">
        <v>193</v>
      </c>
      <c r="J9" s="194">
        <v>0.3</v>
      </c>
      <c r="K9" s="212">
        <v>229</v>
      </c>
      <c r="L9" s="213">
        <v>0.4</v>
      </c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x14ac:dyDescent="0.3">
      <c r="A10" s="305"/>
      <c r="B10" s="95" t="s">
        <v>82</v>
      </c>
      <c r="C10" s="95">
        <v>216</v>
      </c>
      <c r="D10" s="95">
        <v>0.5</v>
      </c>
      <c r="E10" s="95">
        <v>307</v>
      </c>
      <c r="F10" s="95">
        <v>0.6</v>
      </c>
      <c r="G10" s="95">
        <v>237</v>
      </c>
      <c r="H10" s="95">
        <v>0.4</v>
      </c>
      <c r="I10" s="95">
        <v>172</v>
      </c>
      <c r="J10" s="194">
        <v>0.3</v>
      </c>
      <c r="K10" s="212">
        <v>228</v>
      </c>
      <c r="L10" s="213">
        <v>0.4</v>
      </c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x14ac:dyDescent="0.3">
      <c r="A11" s="305"/>
      <c r="B11" s="95" t="s">
        <v>83</v>
      </c>
      <c r="C11" s="96">
        <v>1393</v>
      </c>
      <c r="D11" s="95">
        <v>3</v>
      </c>
      <c r="E11" s="96">
        <v>1704</v>
      </c>
      <c r="F11" s="95">
        <v>3.4</v>
      </c>
      <c r="G11" s="96">
        <v>1432</v>
      </c>
      <c r="H11" s="95">
        <v>2.7</v>
      </c>
      <c r="I11" s="96">
        <v>1431</v>
      </c>
      <c r="J11" s="194">
        <v>2.5</v>
      </c>
      <c r="K11" s="212">
        <v>1512</v>
      </c>
      <c r="L11" s="213">
        <v>2.6</v>
      </c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x14ac:dyDescent="0.3">
      <c r="A12" s="305"/>
      <c r="B12" s="95" t="s">
        <v>84</v>
      </c>
      <c r="C12" s="95">
        <v>117</v>
      </c>
      <c r="D12" s="95">
        <v>0.3</v>
      </c>
      <c r="E12" s="95">
        <v>70</v>
      </c>
      <c r="F12" s="95">
        <v>0.1</v>
      </c>
      <c r="G12" s="95">
        <v>9</v>
      </c>
      <c r="H12" s="95">
        <v>0</v>
      </c>
      <c r="I12" s="95">
        <v>29</v>
      </c>
      <c r="J12" s="194">
        <v>0</v>
      </c>
      <c r="K12" s="212">
        <v>6</v>
      </c>
      <c r="L12" s="213">
        <v>0</v>
      </c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x14ac:dyDescent="0.3">
      <c r="A13" s="305"/>
      <c r="B13" s="95" t="s">
        <v>85</v>
      </c>
      <c r="C13" s="96">
        <v>1322</v>
      </c>
      <c r="D13" s="95">
        <v>2.8</v>
      </c>
      <c r="E13" s="96">
        <v>1301</v>
      </c>
      <c r="F13" s="95">
        <v>2.6</v>
      </c>
      <c r="G13" s="96">
        <v>1639</v>
      </c>
      <c r="H13" s="95">
        <v>3.1</v>
      </c>
      <c r="I13" s="96">
        <v>1825</v>
      </c>
      <c r="J13" s="194">
        <v>3.1</v>
      </c>
      <c r="K13" s="212">
        <v>1776</v>
      </c>
      <c r="L13" s="213">
        <v>3.1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x14ac:dyDescent="0.3">
      <c r="A14" s="306"/>
      <c r="B14" s="97" t="s">
        <v>86</v>
      </c>
      <c r="C14" s="98">
        <v>46415</v>
      </c>
      <c r="D14" s="97">
        <v>100</v>
      </c>
      <c r="E14" s="98">
        <v>50714</v>
      </c>
      <c r="F14" s="97">
        <v>100</v>
      </c>
      <c r="G14" s="98">
        <v>53068</v>
      </c>
      <c r="H14" s="97">
        <v>100</v>
      </c>
      <c r="I14" s="98">
        <v>58024</v>
      </c>
      <c r="J14" s="192">
        <v>100</v>
      </c>
      <c r="K14" s="214">
        <v>57714</v>
      </c>
      <c r="L14" s="215">
        <v>100</v>
      </c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x14ac:dyDescent="0.3">
      <c r="A15" s="304" t="s">
        <v>108</v>
      </c>
      <c r="B15" s="95" t="s">
        <v>78</v>
      </c>
      <c r="C15" s="96">
        <v>1862</v>
      </c>
      <c r="D15" s="95">
        <v>6.1</v>
      </c>
      <c r="E15" s="96">
        <v>2024</v>
      </c>
      <c r="F15" s="95">
        <v>5.2</v>
      </c>
      <c r="G15" s="96">
        <v>2701</v>
      </c>
      <c r="H15" s="95">
        <v>5.9</v>
      </c>
      <c r="I15" s="96">
        <v>3077</v>
      </c>
      <c r="J15" s="194">
        <v>5.9</v>
      </c>
      <c r="K15" s="212">
        <v>3144</v>
      </c>
      <c r="L15" s="213">
        <v>5.3</v>
      </c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x14ac:dyDescent="0.3">
      <c r="A16" s="305"/>
      <c r="B16" s="95" t="s">
        <v>79</v>
      </c>
      <c r="C16" s="96">
        <v>14767</v>
      </c>
      <c r="D16" s="95">
        <v>48.5</v>
      </c>
      <c r="E16" s="96">
        <v>15900</v>
      </c>
      <c r="F16" s="95">
        <v>40.9</v>
      </c>
      <c r="G16" s="96">
        <v>19404</v>
      </c>
      <c r="H16" s="95">
        <v>42.5</v>
      </c>
      <c r="I16" s="96">
        <v>22989</v>
      </c>
      <c r="J16" s="194">
        <v>43.9</v>
      </c>
      <c r="K16" s="212">
        <v>27067</v>
      </c>
      <c r="L16" s="213">
        <v>45.9</v>
      </c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x14ac:dyDescent="0.3">
      <c r="A17" s="305"/>
      <c r="B17" s="95" t="s">
        <v>80</v>
      </c>
      <c r="C17" s="96">
        <v>5223</v>
      </c>
      <c r="D17" s="95">
        <v>17.100000000000001</v>
      </c>
      <c r="E17" s="96">
        <v>6586</v>
      </c>
      <c r="F17" s="95">
        <v>16.899999999999999</v>
      </c>
      <c r="G17" s="96">
        <v>8481</v>
      </c>
      <c r="H17" s="95">
        <v>18.600000000000001</v>
      </c>
      <c r="I17" s="96">
        <v>9443</v>
      </c>
      <c r="J17" s="194">
        <v>18</v>
      </c>
      <c r="K17" s="212">
        <v>9184</v>
      </c>
      <c r="L17" s="213">
        <v>15.6</v>
      </c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x14ac:dyDescent="0.3">
      <c r="A18" s="305"/>
      <c r="B18" s="95" t="s">
        <v>81</v>
      </c>
      <c r="C18" s="95">
        <v>478</v>
      </c>
      <c r="D18" s="95">
        <v>1.6</v>
      </c>
      <c r="E18" s="95">
        <v>963</v>
      </c>
      <c r="F18" s="95">
        <v>2.5</v>
      </c>
      <c r="G18" s="95">
        <v>1256</v>
      </c>
      <c r="H18" s="95">
        <v>2.8</v>
      </c>
      <c r="I18" s="96">
        <v>1993</v>
      </c>
      <c r="J18" s="194">
        <v>3.8</v>
      </c>
      <c r="K18" s="212">
        <v>3479</v>
      </c>
      <c r="L18" s="213">
        <v>5.9</v>
      </c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x14ac:dyDescent="0.3">
      <c r="A19" s="305"/>
      <c r="B19" s="95" t="s">
        <v>82</v>
      </c>
      <c r="C19" s="95">
        <v>1006</v>
      </c>
      <c r="D19" s="95">
        <v>3.3</v>
      </c>
      <c r="E19" s="96">
        <v>2316</v>
      </c>
      <c r="F19" s="95">
        <v>6</v>
      </c>
      <c r="G19" s="96">
        <v>1993</v>
      </c>
      <c r="H19" s="95">
        <v>4.4000000000000004</v>
      </c>
      <c r="I19" s="96">
        <v>2792</v>
      </c>
      <c r="J19" s="194">
        <v>5.3</v>
      </c>
      <c r="K19" s="212">
        <v>3763</v>
      </c>
      <c r="L19" s="213">
        <v>6.4</v>
      </c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x14ac:dyDescent="0.3">
      <c r="A20" s="305"/>
      <c r="B20" s="95" t="s">
        <v>83</v>
      </c>
      <c r="C20" s="96">
        <v>5165</v>
      </c>
      <c r="D20" s="95">
        <v>17</v>
      </c>
      <c r="E20" s="96">
        <v>8366</v>
      </c>
      <c r="F20" s="95">
        <v>21.5</v>
      </c>
      <c r="G20" s="96">
        <v>8584</v>
      </c>
      <c r="H20" s="95">
        <v>18.8</v>
      </c>
      <c r="I20" s="96">
        <v>8558</v>
      </c>
      <c r="J20" s="194">
        <v>16.399999999999999</v>
      </c>
      <c r="K20" s="212">
        <v>9314</v>
      </c>
      <c r="L20" s="213">
        <v>15.8</v>
      </c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x14ac:dyDescent="0.3">
      <c r="A21" s="305"/>
      <c r="B21" s="95" t="s">
        <v>84</v>
      </c>
      <c r="C21" s="95">
        <v>10</v>
      </c>
      <c r="D21" s="95">
        <v>0</v>
      </c>
      <c r="E21" s="95">
        <v>31</v>
      </c>
      <c r="F21" s="95">
        <v>0.1</v>
      </c>
      <c r="G21" s="95">
        <v>128</v>
      </c>
      <c r="H21" s="95">
        <v>0.3</v>
      </c>
      <c r="I21" s="95">
        <v>130</v>
      </c>
      <c r="J21" s="194">
        <v>0.2</v>
      </c>
      <c r="K21" s="212">
        <v>76</v>
      </c>
      <c r="L21" s="213">
        <v>0.1</v>
      </c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x14ac:dyDescent="0.3">
      <c r="A22" s="305"/>
      <c r="B22" s="95" t="s">
        <v>85</v>
      </c>
      <c r="C22" s="96">
        <v>1948</v>
      </c>
      <c r="D22" s="95">
        <v>6.4</v>
      </c>
      <c r="E22" s="96">
        <v>2720</v>
      </c>
      <c r="F22" s="95">
        <v>7</v>
      </c>
      <c r="G22" s="96">
        <v>3073</v>
      </c>
      <c r="H22" s="95">
        <v>6.7</v>
      </c>
      <c r="I22" s="96">
        <v>3355</v>
      </c>
      <c r="J22" s="194">
        <v>6.4</v>
      </c>
      <c r="K22" s="212">
        <v>2926</v>
      </c>
      <c r="L22" s="213">
        <v>5</v>
      </c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x14ac:dyDescent="0.3">
      <c r="A23" s="306"/>
      <c r="B23" s="97" t="s">
        <v>86</v>
      </c>
      <c r="C23" s="98">
        <v>30458</v>
      </c>
      <c r="D23" s="97">
        <v>100</v>
      </c>
      <c r="E23" s="98">
        <v>38907</v>
      </c>
      <c r="F23" s="97">
        <v>100</v>
      </c>
      <c r="G23" s="98">
        <v>45620</v>
      </c>
      <c r="H23" s="97">
        <v>100</v>
      </c>
      <c r="I23" s="98">
        <v>52338</v>
      </c>
      <c r="J23" s="192">
        <v>100</v>
      </c>
      <c r="K23" s="214">
        <v>58953</v>
      </c>
      <c r="L23" s="215">
        <v>100</v>
      </c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x14ac:dyDescent="0.3">
      <c r="A24" s="304" t="s">
        <v>109</v>
      </c>
      <c r="B24" s="95" t="s">
        <v>78</v>
      </c>
      <c r="C24" s="95">
        <v>810</v>
      </c>
      <c r="D24" s="95">
        <v>1.2</v>
      </c>
      <c r="E24" s="95">
        <v>867</v>
      </c>
      <c r="F24" s="95">
        <v>1.1000000000000001</v>
      </c>
      <c r="G24" s="95">
        <v>1066</v>
      </c>
      <c r="H24" s="95">
        <v>1.1000000000000001</v>
      </c>
      <c r="I24" s="96">
        <v>1030</v>
      </c>
      <c r="J24" s="194">
        <v>1.1000000000000001</v>
      </c>
      <c r="K24" s="212">
        <v>1316</v>
      </c>
      <c r="L24" s="213">
        <v>1.3</v>
      </c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x14ac:dyDescent="0.3">
      <c r="A25" s="305"/>
      <c r="B25" s="95" t="s">
        <v>79</v>
      </c>
      <c r="C25" s="96">
        <v>16125</v>
      </c>
      <c r="D25" s="95">
        <v>24.9</v>
      </c>
      <c r="E25" s="96">
        <v>21057</v>
      </c>
      <c r="F25" s="95">
        <v>26.7</v>
      </c>
      <c r="G25" s="96">
        <v>23180</v>
      </c>
      <c r="H25" s="95">
        <v>24.5</v>
      </c>
      <c r="I25" s="96">
        <v>21784</v>
      </c>
      <c r="J25" s="194">
        <v>22.5</v>
      </c>
      <c r="K25" s="212">
        <v>24769</v>
      </c>
      <c r="L25" s="213">
        <v>24.7</v>
      </c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x14ac:dyDescent="0.3">
      <c r="A26" s="305"/>
      <c r="B26" s="95" t="s">
        <v>80</v>
      </c>
      <c r="C26" s="96">
        <v>5785</v>
      </c>
      <c r="D26" s="95">
        <v>8.9</v>
      </c>
      <c r="E26" s="96">
        <v>6866</v>
      </c>
      <c r="F26" s="95">
        <v>8.6999999999999993</v>
      </c>
      <c r="G26" s="96">
        <v>8015</v>
      </c>
      <c r="H26" s="95">
        <v>8.5</v>
      </c>
      <c r="I26" s="96">
        <v>8734</v>
      </c>
      <c r="J26" s="194">
        <v>9</v>
      </c>
      <c r="K26" s="212">
        <v>8389</v>
      </c>
      <c r="L26" s="213">
        <v>8.4</v>
      </c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x14ac:dyDescent="0.3">
      <c r="A27" s="305"/>
      <c r="B27" s="95" t="s">
        <v>81</v>
      </c>
      <c r="C27" s="96">
        <v>3032</v>
      </c>
      <c r="D27" s="95">
        <v>4.7</v>
      </c>
      <c r="E27" s="96">
        <v>2337</v>
      </c>
      <c r="F27" s="95">
        <v>3</v>
      </c>
      <c r="G27" s="96">
        <v>2497</v>
      </c>
      <c r="H27" s="95">
        <v>2.6</v>
      </c>
      <c r="I27" s="96">
        <v>3386</v>
      </c>
      <c r="J27" s="194">
        <v>3.5</v>
      </c>
      <c r="K27" s="212">
        <v>4141</v>
      </c>
      <c r="L27" s="213">
        <v>4.0999999999999996</v>
      </c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x14ac:dyDescent="0.3">
      <c r="A28" s="305"/>
      <c r="B28" s="95" t="s">
        <v>990</v>
      </c>
      <c r="C28" s="96">
        <v>12269</v>
      </c>
      <c r="D28" s="95">
        <v>18.899999999999999</v>
      </c>
      <c r="E28" s="96">
        <v>14631</v>
      </c>
      <c r="F28" s="95">
        <v>18.600000000000001</v>
      </c>
      <c r="G28" s="96">
        <v>13642</v>
      </c>
      <c r="H28" s="95">
        <v>14.4</v>
      </c>
      <c r="I28" s="96">
        <v>14905</v>
      </c>
      <c r="J28" s="194">
        <v>15.4</v>
      </c>
      <c r="K28" s="212">
        <v>12041</v>
      </c>
      <c r="L28" s="213">
        <v>12</v>
      </c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x14ac:dyDescent="0.3">
      <c r="A29" s="305"/>
      <c r="B29" s="95" t="s">
        <v>83</v>
      </c>
      <c r="C29" s="96">
        <v>22423</v>
      </c>
      <c r="D29" s="95">
        <v>34.6</v>
      </c>
      <c r="E29" s="96">
        <v>27385</v>
      </c>
      <c r="F29" s="95">
        <v>34.799999999999997</v>
      </c>
      <c r="G29" s="96">
        <v>37694</v>
      </c>
      <c r="H29" s="95">
        <v>39.9</v>
      </c>
      <c r="I29" s="96">
        <v>41358</v>
      </c>
      <c r="J29" s="194">
        <v>42.6</v>
      </c>
      <c r="K29" s="212">
        <v>43555</v>
      </c>
      <c r="L29" s="213">
        <v>43.4</v>
      </c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x14ac:dyDescent="0.3">
      <c r="A30" s="305"/>
      <c r="B30" s="95" t="s">
        <v>84</v>
      </c>
      <c r="C30" s="96">
        <v>1311</v>
      </c>
      <c r="D30" s="95">
        <v>2</v>
      </c>
      <c r="E30" s="96">
        <v>1673</v>
      </c>
      <c r="F30" s="95">
        <v>2.1</v>
      </c>
      <c r="G30" s="96">
        <v>2178</v>
      </c>
      <c r="H30" s="95">
        <v>2.2999999999999998</v>
      </c>
      <c r="I30" s="96">
        <v>48</v>
      </c>
      <c r="J30" s="194">
        <v>0</v>
      </c>
      <c r="K30" s="212">
        <v>115</v>
      </c>
      <c r="L30" s="213">
        <v>0.1</v>
      </c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x14ac:dyDescent="0.3">
      <c r="A31" s="305"/>
      <c r="B31" s="95" t="s">
        <v>85</v>
      </c>
      <c r="C31" s="96">
        <v>3129</v>
      </c>
      <c r="D31" s="95">
        <v>4.8</v>
      </c>
      <c r="E31" s="96">
        <v>3938</v>
      </c>
      <c r="F31" s="95">
        <v>5</v>
      </c>
      <c r="G31" s="96">
        <v>6294</v>
      </c>
      <c r="H31" s="95">
        <v>6.7</v>
      </c>
      <c r="I31" s="96">
        <v>5787</v>
      </c>
      <c r="J31" s="194">
        <v>6</v>
      </c>
      <c r="K31" s="212">
        <v>6062</v>
      </c>
      <c r="L31" s="213">
        <v>6</v>
      </c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x14ac:dyDescent="0.3">
      <c r="A32" s="306"/>
      <c r="B32" s="97" t="s">
        <v>86</v>
      </c>
      <c r="C32" s="98">
        <v>64883</v>
      </c>
      <c r="D32" s="97">
        <v>100</v>
      </c>
      <c r="E32" s="98">
        <v>78754</v>
      </c>
      <c r="F32" s="97">
        <v>100</v>
      </c>
      <c r="G32" s="98">
        <v>94566</v>
      </c>
      <c r="H32" s="97">
        <v>100</v>
      </c>
      <c r="I32" s="98">
        <v>97032</v>
      </c>
      <c r="J32" s="192">
        <v>100</v>
      </c>
      <c r="K32" s="214">
        <v>100389</v>
      </c>
      <c r="L32" s="215">
        <v>100</v>
      </c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4" spans="1:12" x14ac:dyDescent="0.3">
      <c r="A34" t="s">
        <v>94</v>
      </c>
    </row>
    <row r="35" spans="1:12" x14ac:dyDescent="0.3">
      <c r="A35" t="s">
        <v>95</v>
      </c>
    </row>
    <row r="36" spans="1:12" x14ac:dyDescent="0.3">
      <c r="A36" t="s">
        <v>96</v>
      </c>
    </row>
    <row r="37" spans="1:12" x14ac:dyDescent="0.3">
      <c r="A37" t="s">
        <v>97</v>
      </c>
    </row>
    <row r="39" spans="1:12" x14ac:dyDescent="0.3">
      <c r="C39" s="165"/>
      <c r="D39" s="165"/>
      <c r="E39" s="165"/>
      <c r="F39" s="165"/>
      <c r="G39" s="165"/>
      <c r="H39" s="165"/>
      <c r="I39" s="165"/>
      <c r="J39" s="165"/>
      <c r="K39" s="165"/>
      <c r="L39" s="165"/>
    </row>
    <row r="40" spans="1:12" x14ac:dyDescent="0.3">
      <c r="C40" s="165"/>
      <c r="D40" s="165"/>
      <c r="E40" s="165"/>
      <c r="F40" s="165"/>
      <c r="G40" s="165"/>
      <c r="H40" s="165"/>
      <c r="I40" s="165"/>
      <c r="J40" s="165"/>
      <c r="K40" s="165"/>
      <c r="L40" s="165"/>
    </row>
    <row r="41" spans="1:12" x14ac:dyDescent="0.3">
      <c r="C41" s="165"/>
      <c r="D41" s="165"/>
      <c r="E41" s="165"/>
      <c r="F41" s="165"/>
      <c r="G41" s="165"/>
      <c r="H41" s="165"/>
      <c r="I41" s="165"/>
      <c r="J41" s="165"/>
      <c r="K41" s="165"/>
      <c r="L41" s="165"/>
    </row>
    <row r="42" spans="1:12" x14ac:dyDescent="0.3">
      <c r="C42" s="165"/>
      <c r="D42" s="165"/>
      <c r="E42" s="165"/>
      <c r="F42" s="165"/>
      <c r="G42" s="165"/>
      <c r="H42" s="165"/>
      <c r="I42" s="165"/>
      <c r="J42" s="165"/>
      <c r="K42" s="165"/>
      <c r="L42" s="165"/>
    </row>
    <row r="43" spans="1:12" x14ac:dyDescent="0.3">
      <c r="C43" s="165"/>
      <c r="D43" s="165"/>
      <c r="E43" s="165"/>
      <c r="F43" s="165"/>
      <c r="G43" s="165"/>
      <c r="H43" s="165"/>
      <c r="I43" s="165"/>
      <c r="J43" s="165"/>
      <c r="K43" s="165"/>
      <c r="L43" s="165"/>
    </row>
    <row r="44" spans="1:12" x14ac:dyDescent="0.3">
      <c r="C44" s="165"/>
      <c r="D44" s="165"/>
      <c r="E44" s="165"/>
      <c r="F44" s="165"/>
      <c r="G44" s="165"/>
      <c r="H44" s="165"/>
      <c r="I44" s="165"/>
      <c r="J44" s="165"/>
      <c r="K44" s="165"/>
      <c r="L44" s="165"/>
    </row>
    <row r="45" spans="1:12" x14ac:dyDescent="0.3">
      <c r="C45" s="165"/>
      <c r="D45" s="165"/>
      <c r="E45" s="165"/>
      <c r="F45" s="165"/>
      <c r="G45" s="165"/>
      <c r="H45" s="165"/>
      <c r="I45" s="165"/>
      <c r="J45" s="165"/>
      <c r="K45" s="165"/>
      <c r="L45" s="165"/>
    </row>
    <row r="46" spans="1:12" x14ac:dyDescent="0.3">
      <c r="C46" s="165"/>
      <c r="D46" s="165"/>
      <c r="E46" s="165"/>
      <c r="F46" s="165"/>
      <c r="G46" s="165"/>
      <c r="H46" s="165"/>
      <c r="I46" s="165"/>
      <c r="J46" s="165"/>
      <c r="K46" s="165"/>
      <c r="L46" s="165"/>
    </row>
    <row r="47" spans="1:12" x14ac:dyDescent="0.3">
      <c r="C47" s="165"/>
      <c r="D47" s="165"/>
      <c r="E47" s="165"/>
      <c r="F47" s="165"/>
      <c r="G47" s="165"/>
      <c r="H47" s="165"/>
      <c r="I47" s="165"/>
      <c r="J47" s="165"/>
      <c r="K47" s="165"/>
      <c r="L47" s="165"/>
    </row>
    <row r="48" spans="1:12" x14ac:dyDescent="0.3">
      <c r="C48" s="165"/>
      <c r="D48" s="165"/>
      <c r="E48" s="165"/>
      <c r="F48" s="165"/>
      <c r="G48" s="165"/>
      <c r="H48" s="165"/>
      <c r="I48" s="165"/>
      <c r="J48" s="165"/>
      <c r="K48" s="165"/>
      <c r="L48" s="165"/>
    </row>
    <row r="49" spans="3:12" x14ac:dyDescent="0.3">
      <c r="C49" s="165"/>
      <c r="D49" s="165"/>
      <c r="E49" s="165"/>
      <c r="F49" s="165"/>
      <c r="G49" s="165"/>
      <c r="H49" s="165"/>
      <c r="I49" s="165"/>
      <c r="J49" s="165"/>
      <c r="K49" s="165"/>
      <c r="L49" s="165"/>
    </row>
    <row r="50" spans="3:12" x14ac:dyDescent="0.3">
      <c r="C50" s="165"/>
      <c r="D50" s="165"/>
      <c r="E50" s="165"/>
      <c r="F50" s="165"/>
      <c r="G50" s="165"/>
      <c r="H50" s="165"/>
      <c r="I50" s="165"/>
      <c r="J50" s="165"/>
      <c r="K50" s="165"/>
      <c r="L50" s="165"/>
    </row>
    <row r="51" spans="3:12" x14ac:dyDescent="0.3">
      <c r="C51" s="165"/>
      <c r="D51" s="165"/>
      <c r="E51" s="165"/>
      <c r="F51" s="165"/>
      <c r="G51" s="165"/>
      <c r="H51" s="165"/>
      <c r="I51" s="165"/>
      <c r="J51" s="165"/>
      <c r="K51" s="165"/>
      <c r="L51" s="165"/>
    </row>
    <row r="52" spans="3:12" x14ac:dyDescent="0.3">
      <c r="C52" s="165"/>
      <c r="D52" s="165"/>
      <c r="E52" s="165"/>
      <c r="F52" s="165"/>
      <c r="G52" s="165"/>
      <c r="H52" s="165"/>
      <c r="I52" s="165"/>
      <c r="J52" s="165"/>
      <c r="K52" s="165"/>
      <c r="L52" s="165"/>
    </row>
    <row r="53" spans="3:12" x14ac:dyDescent="0.3">
      <c r="C53" s="165"/>
      <c r="D53" s="165"/>
      <c r="E53" s="165"/>
      <c r="F53" s="165"/>
      <c r="G53" s="165"/>
      <c r="H53" s="165"/>
      <c r="I53" s="165"/>
      <c r="J53" s="165"/>
      <c r="K53" s="165"/>
      <c r="L53" s="165"/>
    </row>
    <row r="54" spans="3:12" x14ac:dyDescent="0.3">
      <c r="C54" s="165"/>
      <c r="D54" s="165"/>
      <c r="E54" s="165"/>
      <c r="F54" s="165"/>
      <c r="G54" s="165"/>
      <c r="H54" s="165"/>
      <c r="I54" s="165"/>
      <c r="J54" s="165"/>
      <c r="K54" s="165"/>
      <c r="L54" s="165"/>
    </row>
    <row r="55" spans="3:12" x14ac:dyDescent="0.3">
      <c r="C55" s="165"/>
      <c r="D55" s="165"/>
      <c r="E55" s="165"/>
      <c r="F55" s="165"/>
      <c r="G55" s="165"/>
      <c r="H55" s="165"/>
      <c r="I55" s="165"/>
      <c r="J55" s="165"/>
      <c r="K55" s="165"/>
      <c r="L55" s="165"/>
    </row>
    <row r="56" spans="3:12" x14ac:dyDescent="0.3">
      <c r="C56" s="165"/>
      <c r="D56" s="165"/>
      <c r="E56" s="165"/>
      <c r="F56" s="165"/>
      <c r="G56" s="165"/>
      <c r="H56" s="165"/>
      <c r="I56" s="165"/>
      <c r="J56" s="165"/>
      <c r="K56" s="165"/>
      <c r="L56" s="165"/>
    </row>
    <row r="57" spans="3:12" x14ac:dyDescent="0.3">
      <c r="C57" s="165"/>
      <c r="D57" s="165"/>
      <c r="E57" s="165"/>
      <c r="F57" s="165"/>
      <c r="G57" s="165"/>
      <c r="H57" s="165"/>
      <c r="I57" s="165"/>
      <c r="J57" s="165"/>
      <c r="K57" s="165"/>
      <c r="L57" s="165"/>
    </row>
    <row r="58" spans="3:12" x14ac:dyDescent="0.3">
      <c r="C58" s="165"/>
      <c r="D58" s="165"/>
      <c r="E58" s="165"/>
      <c r="F58" s="165"/>
      <c r="G58" s="165"/>
      <c r="H58" s="165"/>
      <c r="I58" s="165"/>
      <c r="J58" s="165"/>
      <c r="K58" s="165"/>
      <c r="L58" s="165"/>
    </row>
    <row r="59" spans="3:12" x14ac:dyDescent="0.3">
      <c r="C59" s="165"/>
      <c r="D59" s="165"/>
      <c r="E59" s="165"/>
      <c r="F59" s="165"/>
      <c r="G59" s="165"/>
      <c r="H59" s="165"/>
      <c r="I59" s="165"/>
      <c r="J59" s="165"/>
      <c r="K59" s="165"/>
      <c r="L59" s="165"/>
    </row>
    <row r="60" spans="3:12" x14ac:dyDescent="0.3">
      <c r="C60" s="165"/>
      <c r="D60" s="165"/>
      <c r="E60" s="165"/>
      <c r="F60" s="165"/>
      <c r="G60" s="165"/>
      <c r="H60" s="165"/>
      <c r="I60" s="165"/>
      <c r="J60" s="165"/>
      <c r="K60" s="165"/>
      <c r="L60" s="165"/>
    </row>
    <row r="61" spans="3:12" x14ac:dyDescent="0.3">
      <c r="C61" s="165"/>
      <c r="D61" s="165"/>
      <c r="E61" s="165"/>
      <c r="F61" s="165"/>
      <c r="G61" s="165"/>
      <c r="H61" s="165"/>
      <c r="I61" s="165"/>
      <c r="J61" s="165"/>
      <c r="K61" s="165"/>
      <c r="L61" s="165"/>
    </row>
    <row r="62" spans="3:12" x14ac:dyDescent="0.3">
      <c r="C62" s="165"/>
      <c r="D62" s="165"/>
      <c r="E62" s="165"/>
      <c r="F62" s="165"/>
      <c r="G62" s="165"/>
      <c r="H62" s="165"/>
      <c r="I62" s="165"/>
      <c r="J62" s="165"/>
      <c r="K62" s="165"/>
      <c r="L62" s="165"/>
    </row>
    <row r="63" spans="3:12" x14ac:dyDescent="0.3">
      <c r="C63" s="165"/>
      <c r="D63" s="165"/>
      <c r="E63" s="165"/>
      <c r="F63" s="165"/>
      <c r="G63" s="165"/>
      <c r="H63" s="165"/>
      <c r="I63" s="165"/>
      <c r="J63" s="165"/>
      <c r="K63" s="165"/>
      <c r="L63" s="165"/>
    </row>
    <row r="64" spans="3:12" x14ac:dyDescent="0.3">
      <c r="C64" s="165"/>
      <c r="D64" s="165"/>
      <c r="E64" s="165"/>
      <c r="F64" s="165"/>
      <c r="G64" s="165"/>
      <c r="H64" s="165"/>
      <c r="I64" s="165"/>
      <c r="J64" s="165"/>
      <c r="K64" s="165"/>
      <c r="L64" s="165"/>
    </row>
    <row r="65" spans="3:12" x14ac:dyDescent="0.3">
      <c r="C65" s="165"/>
      <c r="D65" s="165"/>
      <c r="E65" s="165"/>
      <c r="F65" s="165"/>
      <c r="G65" s="165"/>
      <c r="H65" s="165"/>
      <c r="I65" s="165"/>
      <c r="J65" s="165"/>
      <c r="K65" s="165"/>
      <c r="L65" s="165"/>
    </row>
  </sheetData>
  <mergeCells count="9">
    <mergeCell ref="I4:J4"/>
    <mergeCell ref="K4:L4"/>
    <mergeCell ref="A6:A14"/>
    <mergeCell ref="A15:A23"/>
    <mergeCell ref="A24:A32"/>
    <mergeCell ref="A4:B5"/>
    <mergeCell ref="G4:H4"/>
    <mergeCell ref="E4:F4"/>
    <mergeCell ref="C4:D4"/>
  </mergeCells>
  <phoneticPr fontId="1" type="noConversion"/>
  <hyperlinks>
    <hyperlink ref="H1" location="목차!A1" display="목차" xr:uid="{4891EA49-8543-4C85-89F0-09C7F62FC4F6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E1B5-FC87-4E6E-A1B1-7F099F21997C}">
  <sheetPr>
    <tabColor theme="1" tint="0.499984740745262"/>
  </sheetPr>
  <dimension ref="A1:G295"/>
  <sheetViews>
    <sheetView topLeftCell="A267" zoomScale="70" zoomScaleNormal="70" workbookViewId="0">
      <selection activeCell="A301" sqref="A301"/>
    </sheetView>
  </sheetViews>
  <sheetFormatPr defaultRowHeight="16.5" x14ac:dyDescent="0.3"/>
  <cols>
    <col min="2" max="2" width="33" customWidth="1"/>
  </cols>
  <sheetData>
    <row r="1" spans="1:7" ht="17.25" x14ac:dyDescent="0.3">
      <c r="A1" s="7" t="s">
        <v>1270</v>
      </c>
      <c r="B1" s="2"/>
      <c r="C1" s="2"/>
      <c r="D1" s="2"/>
      <c r="E1" s="2"/>
      <c r="G1" s="71" t="s">
        <v>367</v>
      </c>
    </row>
    <row r="3" spans="1:7" x14ac:dyDescent="0.3">
      <c r="A3" s="45"/>
      <c r="B3" s="45"/>
      <c r="C3" s="45"/>
      <c r="D3" s="45"/>
      <c r="E3" s="45"/>
      <c r="F3" s="45"/>
      <c r="G3" s="33" t="s">
        <v>843</v>
      </c>
    </row>
    <row r="4" spans="1:7" x14ac:dyDescent="0.3">
      <c r="A4" s="180" t="s">
        <v>496</v>
      </c>
      <c r="B4" s="181" t="s">
        <v>497</v>
      </c>
      <c r="C4" s="181" t="s">
        <v>107</v>
      </c>
      <c r="D4" s="181" t="s">
        <v>108</v>
      </c>
      <c r="E4" s="181" t="s">
        <v>109</v>
      </c>
      <c r="F4" s="181" t="s">
        <v>85</v>
      </c>
      <c r="G4" s="184" t="s">
        <v>86</v>
      </c>
    </row>
    <row r="5" spans="1:7" x14ac:dyDescent="0.3">
      <c r="A5" s="307" t="s">
        <v>140</v>
      </c>
      <c r="B5" s="95" t="s">
        <v>506</v>
      </c>
      <c r="C5" s="204">
        <v>84</v>
      </c>
      <c r="D5" s="204" t="s">
        <v>65</v>
      </c>
      <c r="E5" s="204" t="s">
        <v>65</v>
      </c>
      <c r="F5" s="204">
        <v>1</v>
      </c>
      <c r="G5" s="204">
        <v>84</v>
      </c>
    </row>
    <row r="6" spans="1:7" x14ac:dyDescent="0.3">
      <c r="A6" s="323"/>
      <c r="B6" s="95" t="s">
        <v>503</v>
      </c>
      <c r="C6" s="204">
        <v>123</v>
      </c>
      <c r="D6" s="204" t="s">
        <v>65</v>
      </c>
      <c r="E6" s="204" t="s">
        <v>65</v>
      </c>
      <c r="F6" s="204">
        <v>8</v>
      </c>
      <c r="G6" s="204">
        <v>131</v>
      </c>
    </row>
    <row r="7" spans="1:7" x14ac:dyDescent="0.3">
      <c r="A7" s="323"/>
      <c r="B7" s="95" t="s">
        <v>505</v>
      </c>
      <c r="C7" s="204">
        <v>60</v>
      </c>
      <c r="D7" s="204" t="s">
        <v>65</v>
      </c>
      <c r="E7" s="204" t="s">
        <v>65</v>
      </c>
      <c r="F7" s="204" t="s">
        <v>65</v>
      </c>
      <c r="G7" s="204">
        <v>60</v>
      </c>
    </row>
    <row r="8" spans="1:7" x14ac:dyDescent="0.3">
      <c r="A8" s="323"/>
      <c r="B8" s="95" t="s">
        <v>507</v>
      </c>
      <c r="C8" s="204">
        <v>216</v>
      </c>
      <c r="D8" s="204">
        <v>24</v>
      </c>
      <c r="E8" s="204">
        <v>12</v>
      </c>
      <c r="F8" s="204">
        <v>1</v>
      </c>
      <c r="G8" s="204">
        <v>253</v>
      </c>
    </row>
    <row r="9" spans="1:7" x14ac:dyDescent="0.3">
      <c r="A9" s="323"/>
      <c r="B9" s="95" t="s">
        <v>508</v>
      </c>
      <c r="C9" s="204">
        <v>72</v>
      </c>
      <c r="D9" s="204">
        <v>12</v>
      </c>
      <c r="E9" s="204">
        <v>54</v>
      </c>
      <c r="F9" s="204">
        <v>47</v>
      </c>
      <c r="G9" s="204">
        <v>185</v>
      </c>
    </row>
    <row r="10" spans="1:7" x14ac:dyDescent="0.3">
      <c r="A10" s="323"/>
      <c r="B10" s="95" t="s">
        <v>664</v>
      </c>
      <c r="C10" s="204">
        <v>93</v>
      </c>
      <c r="D10" s="204">
        <v>27</v>
      </c>
      <c r="E10" s="204">
        <v>13</v>
      </c>
      <c r="F10" s="204">
        <v>5</v>
      </c>
      <c r="G10" s="204">
        <v>137</v>
      </c>
    </row>
    <row r="11" spans="1:7" x14ac:dyDescent="0.3">
      <c r="A11" s="323"/>
      <c r="B11" s="95" t="s">
        <v>665</v>
      </c>
      <c r="C11" s="204">
        <v>73</v>
      </c>
      <c r="D11" s="204">
        <v>9</v>
      </c>
      <c r="E11" s="204">
        <v>2</v>
      </c>
      <c r="F11" s="204">
        <v>2</v>
      </c>
      <c r="G11" s="204">
        <v>86</v>
      </c>
    </row>
    <row r="12" spans="1:7" x14ac:dyDescent="0.3">
      <c r="A12" s="323"/>
      <c r="B12" s="95" t="s">
        <v>666</v>
      </c>
      <c r="C12" s="204">
        <v>45</v>
      </c>
      <c r="D12" s="204">
        <v>5</v>
      </c>
      <c r="E12" s="204" t="s">
        <v>65</v>
      </c>
      <c r="F12" s="204" t="s">
        <v>65</v>
      </c>
      <c r="G12" s="204">
        <v>49</v>
      </c>
    </row>
    <row r="13" spans="1:7" x14ac:dyDescent="0.3">
      <c r="A13" s="323"/>
      <c r="B13" s="95" t="s">
        <v>504</v>
      </c>
      <c r="C13" s="204">
        <v>167</v>
      </c>
      <c r="D13" s="204" t="s">
        <v>65</v>
      </c>
      <c r="E13" s="204">
        <v>1</v>
      </c>
      <c r="F13" s="204">
        <v>0</v>
      </c>
      <c r="G13" s="204">
        <v>168</v>
      </c>
    </row>
    <row r="14" spans="1:7" x14ac:dyDescent="0.3">
      <c r="A14" s="323"/>
      <c r="B14" s="95" t="s">
        <v>509</v>
      </c>
      <c r="C14" s="204">
        <v>31</v>
      </c>
      <c r="D14" s="204">
        <v>0</v>
      </c>
      <c r="E14" s="204" t="s">
        <v>65</v>
      </c>
      <c r="F14" s="204">
        <v>0</v>
      </c>
      <c r="G14" s="204">
        <v>32</v>
      </c>
    </row>
    <row r="15" spans="1:7" x14ac:dyDescent="0.3">
      <c r="A15" s="323"/>
      <c r="B15" s="95" t="s">
        <v>510</v>
      </c>
      <c r="C15" s="204">
        <v>74</v>
      </c>
      <c r="D15" s="204">
        <v>2</v>
      </c>
      <c r="E15" s="204" t="s">
        <v>65</v>
      </c>
      <c r="F15" s="204">
        <v>75</v>
      </c>
      <c r="G15" s="204">
        <v>152</v>
      </c>
    </row>
    <row r="16" spans="1:7" x14ac:dyDescent="0.3">
      <c r="A16" s="308"/>
      <c r="B16" s="97" t="s">
        <v>86</v>
      </c>
      <c r="C16" s="207">
        <v>1038</v>
      </c>
      <c r="D16" s="207">
        <v>79</v>
      </c>
      <c r="E16" s="207">
        <v>81</v>
      </c>
      <c r="F16" s="207">
        <v>139</v>
      </c>
      <c r="G16" s="207">
        <v>1337</v>
      </c>
    </row>
    <row r="17" spans="1:7" x14ac:dyDescent="0.3">
      <c r="A17" s="307" t="s">
        <v>141</v>
      </c>
      <c r="B17" s="95" t="s">
        <v>667</v>
      </c>
      <c r="C17" s="204">
        <v>450</v>
      </c>
      <c r="D17" s="204">
        <v>230</v>
      </c>
      <c r="E17" s="204">
        <v>189</v>
      </c>
      <c r="F17" s="204">
        <v>15</v>
      </c>
      <c r="G17" s="204">
        <v>884</v>
      </c>
    </row>
    <row r="18" spans="1:7" x14ac:dyDescent="0.3">
      <c r="A18" s="323"/>
      <c r="B18" s="95" t="s">
        <v>515</v>
      </c>
      <c r="C18" s="204">
        <v>117</v>
      </c>
      <c r="D18" s="204">
        <v>1</v>
      </c>
      <c r="E18" s="204">
        <v>7</v>
      </c>
      <c r="F18" s="204">
        <v>38</v>
      </c>
      <c r="G18" s="204">
        <v>163</v>
      </c>
    </row>
    <row r="19" spans="1:7" x14ac:dyDescent="0.3">
      <c r="A19" s="323"/>
      <c r="B19" s="95" t="s">
        <v>513</v>
      </c>
      <c r="C19" s="204">
        <v>492</v>
      </c>
      <c r="D19" s="204">
        <v>90</v>
      </c>
      <c r="E19" s="204">
        <v>80</v>
      </c>
      <c r="F19" s="204">
        <v>8</v>
      </c>
      <c r="G19" s="204">
        <v>670</v>
      </c>
    </row>
    <row r="20" spans="1:7" x14ac:dyDescent="0.3">
      <c r="A20" s="323"/>
      <c r="B20" s="95" t="s">
        <v>668</v>
      </c>
      <c r="C20" s="204">
        <v>278</v>
      </c>
      <c r="D20" s="204">
        <v>22</v>
      </c>
      <c r="E20" s="204">
        <v>32</v>
      </c>
      <c r="F20" s="204">
        <v>556</v>
      </c>
      <c r="G20" s="204">
        <v>887</v>
      </c>
    </row>
    <row r="21" spans="1:7" x14ac:dyDescent="0.3">
      <c r="A21" s="323"/>
      <c r="B21" s="95" t="s">
        <v>669</v>
      </c>
      <c r="C21" s="204">
        <v>1285</v>
      </c>
      <c r="D21" s="204">
        <v>36</v>
      </c>
      <c r="E21" s="204">
        <v>170</v>
      </c>
      <c r="F21" s="204">
        <v>7</v>
      </c>
      <c r="G21" s="204">
        <v>1498</v>
      </c>
    </row>
    <row r="22" spans="1:7" x14ac:dyDescent="0.3">
      <c r="A22" s="323"/>
      <c r="B22" s="95" t="s">
        <v>511</v>
      </c>
      <c r="C22" s="204">
        <v>1084</v>
      </c>
      <c r="D22" s="204">
        <v>612</v>
      </c>
      <c r="E22" s="204">
        <v>8</v>
      </c>
      <c r="F22" s="204">
        <v>264</v>
      </c>
      <c r="G22" s="204">
        <v>1967</v>
      </c>
    </row>
    <row r="23" spans="1:7" x14ac:dyDescent="0.3">
      <c r="A23" s="323"/>
      <c r="B23" s="95" t="s">
        <v>514</v>
      </c>
      <c r="C23" s="204">
        <v>103</v>
      </c>
      <c r="D23" s="204" t="s">
        <v>65</v>
      </c>
      <c r="E23" s="204">
        <v>0</v>
      </c>
      <c r="F23" s="204" t="s">
        <v>65</v>
      </c>
      <c r="G23" s="204">
        <v>103</v>
      </c>
    </row>
    <row r="24" spans="1:7" x14ac:dyDescent="0.3">
      <c r="A24" s="323"/>
      <c r="B24" s="95" t="s">
        <v>512</v>
      </c>
      <c r="C24" s="204">
        <v>69</v>
      </c>
      <c r="D24" s="204">
        <v>2</v>
      </c>
      <c r="E24" s="204" t="s">
        <v>65</v>
      </c>
      <c r="F24" s="204" t="s">
        <v>65</v>
      </c>
      <c r="G24" s="204">
        <v>71</v>
      </c>
    </row>
    <row r="25" spans="1:7" x14ac:dyDescent="0.3">
      <c r="A25" s="323"/>
      <c r="B25" s="95" t="s">
        <v>670</v>
      </c>
      <c r="C25" s="204">
        <v>193</v>
      </c>
      <c r="D25" s="204" t="s">
        <v>65</v>
      </c>
      <c r="E25" s="204">
        <v>1</v>
      </c>
      <c r="F25" s="204">
        <v>8</v>
      </c>
      <c r="G25" s="204">
        <v>202</v>
      </c>
    </row>
    <row r="26" spans="1:7" x14ac:dyDescent="0.3">
      <c r="A26" s="323"/>
      <c r="B26" s="95" t="s">
        <v>516</v>
      </c>
      <c r="C26" s="204">
        <v>146</v>
      </c>
      <c r="D26" s="204">
        <v>11</v>
      </c>
      <c r="E26" s="204" t="s">
        <v>65</v>
      </c>
      <c r="F26" s="204">
        <v>26</v>
      </c>
      <c r="G26" s="204">
        <v>183</v>
      </c>
    </row>
    <row r="27" spans="1:7" x14ac:dyDescent="0.3">
      <c r="A27" s="308"/>
      <c r="B27" s="97" t="s">
        <v>86</v>
      </c>
      <c r="C27" s="207">
        <v>4217</v>
      </c>
      <c r="D27" s="207">
        <v>1003</v>
      </c>
      <c r="E27" s="207">
        <v>487</v>
      </c>
      <c r="F27" s="207">
        <v>922</v>
      </c>
      <c r="G27" s="207">
        <v>6628</v>
      </c>
    </row>
    <row r="28" spans="1:7" x14ac:dyDescent="0.3">
      <c r="A28" s="307" t="s">
        <v>142</v>
      </c>
      <c r="B28" s="95" t="s">
        <v>521</v>
      </c>
      <c r="C28" s="204">
        <v>224</v>
      </c>
      <c r="D28" s="204">
        <v>134</v>
      </c>
      <c r="E28" s="204">
        <v>554</v>
      </c>
      <c r="F28" s="204">
        <v>143</v>
      </c>
      <c r="G28" s="204">
        <v>1054</v>
      </c>
    </row>
    <row r="29" spans="1:7" x14ac:dyDescent="0.3">
      <c r="A29" s="323"/>
      <c r="B29" s="95" t="s">
        <v>523</v>
      </c>
      <c r="C29" s="204">
        <v>25</v>
      </c>
      <c r="D29" s="204">
        <v>8</v>
      </c>
      <c r="E29" s="204">
        <v>30</v>
      </c>
      <c r="F29" s="204">
        <v>0</v>
      </c>
      <c r="G29" s="204">
        <v>63</v>
      </c>
    </row>
    <row r="30" spans="1:7" x14ac:dyDescent="0.3">
      <c r="A30" s="323"/>
      <c r="B30" s="95" t="s">
        <v>519</v>
      </c>
      <c r="C30" s="204">
        <v>232</v>
      </c>
      <c r="D30" s="204">
        <v>29</v>
      </c>
      <c r="E30" s="204">
        <v>100</v>
      </c>
      <c r="F30" s="204">
        <v>5</v>
      </c>
      <c r="G30" s="204">
        <v>365</v>
      </c>
    </row>
    <row r="31" spans="1:7" x14ac:dyDescent="0.3">
      <c r="A31" s="323"/>
      <c r="B31" s="95" t="s">
        <v>517</v>
      </c>
      <c r="C31" s="204">
        <v>337</v>
      </c>
      <c r="D31" s="204">
        <v>7</v>
      </c>
      <c r="E31" s="204">
        <v>17</v>
      </c>
      <c r="F31" s="204">
        <v>5</v>
      </c>
      <c r="G31" s="204">
        <v>366</v>
      </c>
    </row>
    <row r="32" spans="1:7" x14ac:dyDescent="0.3">
      <c r="A32" s="323"/>
      <c r="B32" s="95" t="s">
        <v>520</v>
      </c>
      <c r="C32" s="204">
        <v>188</v>
      </c>
      <c r="D32" s="204">
        <v>19</v>
      </c>
      <c r="E32" s="204">
        <v>91</v>
      </c>
      <c r="F32" s="204">
        <v>35</v>
      </c>
      <c r="G32" s="204">
        <v>332</v>
      </c>
    </row>
    <row r="33" spans="1:7" x14ac:dyDescent="0.3">
      <c r="A33" s="323"/>
      <c r="B33" s="95" t="s">
        <v>522</v>
      </c>
      <c r="C33" s="204">
        <v>77</v>
      </c>
      <c r="D33" s="204">
        <v>2</v>
      </c>
      <c r="E33" s="204">
        <v>14</v>
      </c>
      <c r="F33" s="204">
        <v>1</v>
      </c>
      <c r="G33" s="204">
        <v>94</v>
      </c>
    </row>
    <row r="34" spans="1:7" x14ac:dyDescent="0.3">
      <c r="A34" s="323"/>
      <c r="B34" s="95" t="s">
        <v>518</v>
      </c>
      <c r="C34" s="204">
        <v>430</v>
      </c>
      <c r="D34" s="204">
        <v>58</v>
      </c>
      <c r="E34" s="204">
        <v>119</v>
      </c>
      <c r="F34" s="204">
        <v>24</v>
      </c>
      <c r="G34" s="204">
        <v>632</v>
      </c>
    </row>
    <row r="35" spans="1:7" x14ac:dyDescent="0.3">
      <c r="A35" s="323"/>
      <c r="B35" s="95" t="s">
        <v>525</v>
      </c>
      <c r="C35" s="204">
        <v>86</v>
      </c>
      <c r="D35" s="204">
        <v>12</v>
      </c>
      <c r="E35" s="204">
        <v>37</v>
      </c>
      <c r="F35" s="204">
        <v>27</v>
      </c>
      <c r="G35" s="204">
        <v>162</v>
      </c>
    </row>
    <row r="36" spans="1:7" x14ac:dyDescent="0.3">
      <c r="A36" s="323"/>
      <c r="B36" s="95" t="s">
        <v>671</v>
      </c>
      <c r="C36" s="204">
        <v>368</v>
      </c>
      <c r="D36" s="204">
        <v>162</v>
      </c>
      <c r="E36" s="204">
        <v>192</v>
      </c>
      <c r="F36" s="204">
        <v>292</v>
      </c>
      <c r="G36" s="204">
        <v>1014</v>
      </c>
    </row>
    <row r="37" spans="1:7" x14ac:dyDescent="0.3">
      <c r="A37" s="323"/>
      <c r="B37" s="95" t="s">
        <v>524</v>
      </c>
      <c r="C37" s="204">
        <v>202</v>
      </c>
      <c r="D37" s="204">
        <v>109</v>
      </c>
      <c r="E37" s="204">
        <v>169</v>
      </c>
      <c r="F37" s="204">
        <v>5</v>
      </c>
      <c r="G37" s="204">
        <v>484</v>
      </c>
    </row>
    <row r="38" spans="1:7" x14ac:dyDescent="0.3">
      <c r="A38" s="323"/>
      <c r="B38" s="95" t="s">
        <v>526</v>
      </c>
      <c r="C38" s="204">
        <v>95</v>
      </c>
      <c r="D38" s="204">
        <v>7</v>
      </c>
      <c r="E38" s="204">
        <v>97</v>
      </c>
      <c r="F38" s="204">
        <v>662</v>
      </c>
      <c r="G38" s="204">
        <v>861</v>
      </c>
    </row>
    <row r="39" spans="1:7" x14ac:dyDescent="0.3">
      <c r="A39" s="308"/>
      <c r="B39" s="97" t="s">
        <v>86</v>
      </c>
      <c r="C39" s="207">
        <v>2265</v>
      </c>
      <c r="D39" s="207">
        <v>546</v>
      </c>
      <c r="E39" s="207">
        <v>1419</v>
      </c>
      <c r="F39" s="207">
        <v>1199</v>
      </c>
      <c r="G39" s="207">
        <v>5428</v>
      </c>
    </row>
    <row r="40" spans="1:7" ht="16.5" customHeight="1" x14ac:dyDescent="0.3">
      <c r="A40" s="307" t="s">
        <v>771</v>
      </c>
      <c r="B40" s="95" t="s">
        <v>535</v>
      </c>
      <c r="C40" s="204">
        <v>720</v>
      </c>
      <c r="D40" s="204">
        <v>395</v>
      </c>
      <c r="E40" s="204">
        <v>466</v>
      </c>
      <c r="F40" s="204">
        <v>1</v>
      </c>
      <c r="G40" s="204">
        <v>1582</v>
      </c>
    </row>
    <row r="41" spans="1:7" x14ac:dyDescent="0.3">
      <c r="A41" s="323"/>
      <c r="B41" s="95" t="s">
        <v>531</v>
      </c>
      <c r="C41" s="204">
        <v>38</v>
      </c>
      <c r="D41" s="204">
        <v>482</v>
      </c>
      <c r="E41" s="204">
        <v>119</v>
      </c>
      <c r="F41" s="204">
        <v>129</v>
      </c>
      <c r="G41" s="204">
        <v>768</v>
      </c>
    </row>
    <row r="42" spans="1:7" x14ac:dyDescent="0.3">
      <c r="A42" s="323"/>
      <c r="B42" s="95" t="s">
        <v>672</v>
      </c>
      <c r="C42" s="204">
        <v>293</v>
      </c>
      <c r="D42" s="204">
        <v>231</v>
      </c>
      <c r="E42" s="204">
        <v>35</v>
      </c>
      <c r="F42" s="204">
        <v>5</v>
      </c>
      <c r="G42" s="204">
        <v>563</v>
      </c>
    </row>
    <row r="43" spans="1:7" x14ac:dyDescent="0.3">
      <c r="A43" s="323"/>
      <c r="B43" s="95" t="s">
        <v>530</v>
      </c>
      <c r="C43" s="204">
        <v>170</v>
      </c>
      <c r="D43" s="204">
        <v>107</v>
      </c>
      <c r="E43" s="204">
        <v>36</v>
      </c>
      <c r="F43" s="204">
        <v>1</v>
      </c>
      <c r="G43" s="204">
        <v>313</v>
      </c>
    </row>
    <row r="44" spans="1:7" x14ac:dyDescent="0.3">
      <c r="A44" s="323"/>
      <c r="B44" s="95" t="s">
        <v>537</v>
      </c>
      <c r="C44" s="204">
        <v>183</v>
      </c>
      <c r="D44" s="204">
        <v>24</v>
      </c>
      <c r="E44" s="204">
        <v>405</v>
      </c>
      <c r="F44" s="204">
        <v>11</v>
      </c>
      <c r="G44" s="204">
        <v>623</v>
      </c>
    </row>
    <row r="45" spans="1:7" x14ac:dyDescent="0.3">
      <c r="A45" s="323"/>
      <c r="B45" s="95" t="s">
        <v>673</v>
      </c>
      <c r="C45" s="204">
        <v>183</v>
      </c>
      <c r="D45" s="204">
        <v>158</v>
      </c>
      <c r="E45" s="204">
        <v>134</v>
      </c>
      <c r="F45" s="204">
        <v>4</v>
      </c>
      <c r="G45" s="204">
        <v>479</v>
      </c>
    </row>
    <row r="46" spans="1:7" x14ac:dyDescent="0.3">
      <c r="A46" s="323"/>
      <c r="B46" s="95" t="s">
        <v>528</v>
      </c>
      <c r="C46" s="204">
        <v>211</v>
      </c>
      <c r="D46" s="204">
        <v>50</v>
      </c>
      <c r="E46" s="204">
        <v>5</v>
      </c>
      <c r="F46" s="204">
        <v>2</v>
      </c>
      <c r="G46" s="204">
        <v>268</v>
      </c>
    </row>
    <row r="47" spans="1:7" x14ac:dyDescent="0.3">
      <c r="A47" s="323"/>
      <c r="B47" s="95" t="s">
        <v>529</v>
      </c>
      <c r="C47" s="204">
        <v>38</v>
      </c>
      <c r="D47" s="204">
        <v>9</v>
      </c>
      <c r="E47" s="204" t="s">
        <v>65</v>
      </c>
      <c r="F47" s="204">
        <v>2</v>
      </c>
      <c r="G47" s="204">
        <v>48</v>
      </c>
    </row>
    <row r="48" spans="1:7" x14ac:dyDescent="0.3">
      <c r="A48" s="323"/>
      <c r="B48" s="95" t="s">
        <v>527</v>
      </c>
      <c r="C48" s="204">
        <v>244</v>
      </c>
      <c r="D48" s="204">
        <v>35</v>
      </c>
      <c r="E48" s="204">
        <v>8</v>
      </c>
      <c r="F48" s="204">
        <v>427</v>
      </c>
      <c r="G48" s="204">
        <v>715</v>
      </c>
    </row>
    <row r="49" spans="1:7" x14ac:dyDescent="0.3">
      <c r="A49" s="323"/>
      <c r="B49" s="95" t="s">
        <v>538</v>
      </c>
      <c r="C49" s="204">
        <v>290</v>
      </c>
      <c r="D49" s="204">
        <v>49</v>
      </c>
      <c r="E49" s="204">
        <v>38</v>
      </c>
      <c r="F49" s="204">
        <v>0</v>
      </c>
      <c r="G49" s="204">
        <v>377</v>
      </c>
    </row>
    <row r="50" spans="1:7" x14ac:dyDescent="0.3">
      <c r="A50" s="323"/>
      <c r="B50" s="95" t="s">
        <v>536</v>
      </c>
      <c r="C50" s="204">
        <v>326</v>
      </c>
      <c r="D50" s="204">
        <v>0</v>
      </c>
      <c r="E50" s="204">
        <v>15</v>
      </c>
      <c r="F50" s="204">
        <v>14</v>
      </c>
      <c r="G50" s="204">
        <v>355</v>
      </c>
    </row>
    <row r="51" spans="1:7" x14ac:dyDescent="0.3">
      <c r="A51" s="323"/>
      <c r="B51" s="95" t="s">
        <v>532</v>
      </c>
      <c r="C51" s="204">
        <v>260</v>
      </c>
      <c r="D51" s="204">
        <v>199</v>
      </c>
      <c r="E51" s="204">
        <v>145</v>
      </c>
      <c r="F51" s="204">
        <v>136</v>
      </c>
      <c r="G51" s="204">
        <v>740</v>
      </c>
    </row>
    <row r="52" spans="1:7" x14ac:dyDescent="0.3">
      <c r="A52" s="323"/>
      <c r="B52" s="95" t="s">
        <v>534</v>
      </c>
      <c r="C52" s="204">
        <v>74</v>
      </c>
      <c r="D52" s="204">
        <v>108</v>
      </c>
      <c r="E52" s="204">
        <v>69</v>
      </c>
      <c r="F52" s="204" t="s">
        <v>65</v>
      </c>
      <c r="G52" s="204">
        <v>252</v>
      </c>
    </row>
    <row r="53" spans="1:7" x14ac:dyDescent="0.3">
      <c r="A53" s="323"/>
      <c r="B53" s="95" t="s">
        <v>533</v>
      </c>
      <c r="C53" s="204">
        <v>150</v>
      </c>
      <c r="D53" s="204">
        <v>166</v>
      </c>
      <c r="E53" s="204">
        <v>104</v>
      </c>
      <c r="F53" s="204" t="s">
        <v>65</v>
      </c>
      <c r="G53" s="204">
        <v>420</v>
      </c>
    </row>
    <row r="54" spans="1:7" x14ac:dyDescent="0.3">
      <c r="A54" s="323"/>
      <c r="B54" s="95" t="s">
        <v>539</v>
      </c>
      <c r="C54" s="204">
        <v>51</v>
      </c>
      <c r="D54" s="204">
        <v>3</v>
      </c>
      <c r="E54" s="204">
        <v>3</v>
      </c>
      <c r="F54" s="204">
        <v>16</v>
      </c>
      <c r="G54" s="204">
        <v>73</v>
      </c>
    </row>
    <row r="55" spans="1:7" x14ac:dyDescent="0.3">
      <c r="A55" s="308"/>
      <c r="B55" s="97" t="s">
        <v>86</v>
      </c>
      <c r="C55" s="207">
        <v>3230</v>
      </c>
      <c r="D55" s="207">
        <v>2016</v>
      </c>
      <c r="E55" s="207">
        <v>1582</v>
      </c>
      <c r="F55" s="207">
        <v>748</v>
      </c>
      <c r="G55" s="207">
        <v>7576</v>
      </c>
    </row>
    <row r="56" spans="1:7" x14ac:dyDescent="0.3">
      <c r="A56" s="307" t="s">
        <v>144</v>
      </c>
      <c r="B56" s="95" t="s">
        <v>674</v>
      </c>
      <c r="C56" s="204">
        <v>522</v>
      </c>
      <c r="D56" s="204">
        <v>67</v>
      </c>
      <c r="E56" s="204">
        <v>78</v>
      </c>
      <c r="F56" s="204">
        <v>38</v>
      </c>
      <c r="G56" s="204">
        <v>704</v>
      </c>
    </row>
    <row r="57" spans="1:7" x14ac:dyDescent="0.3">
      <c r="A57" s="323"/>
      <c r="B57" s="95" t="s">
        <v>541</v>
      </c>
      <c r="C57" s="204">
        <v>797</v>
      </c>
      <c r="D57" s="204">
        <v>85</v>
      </c>
      <c r="E57" s="204">
        <v>47</v>
      </c>
      <c r="F57" s="204">
        <v>8</v>
      </c>
      <c r="G57" s="204">
        <v>937</v>
      </c>
    </row>
    <row r="58" spans="1:7" x14ac:dyDescent="0.3">
      <c r="A58" s="323"/>
      <c r="B58" s="95" t="s">
        <v>542</v>
      </c>
      <c r="C58" s="204">
        <v>519</v>
      </c>
      <c r="D58" s="204">
        <v>73</v>
      </c>
      <c r="E58" s="204">
        <v>48</v>
      </c>
      <c r="F58" s="204">
        <v>16</v>
      </c>
      <c r="G58" s="204">
        <v>656</v>
      </c>
    </row>
    <row r="59" spans="1:7" x14ac:dyDescent="0.3">
      <c r="A59" s="323"/>
      <c r="B59" s="95" t="s">
        <v>540</v>
      </c>
      <c r="C59" s="204">
        <v>1550</v>
      </c>
      <c r="D59" s="204">
        <v>48</v>
      </c>
      <c r="E59" s="204">
        <v>70</v>
      </c>
      <c r="F59" s="204">
        <v>32</v>
      </c>
      <c r="G59" s="204">
        <v>1699</v>
      </c>
    </row>
    <row r="60" spans="1:7" x14ac:dyDescent="0.3">
      <c r="A60" s="323"/>
      <c r="B60" s="95" t="s">
        <v>545</v>
      </c>
      <c r="C60" s="204">
        <v>142</v>
      </c>
      <c r="D60" s="204">
        <v>212</v>
      </c>
      <c r="E60" s="204">
        <v>754</v>
      </c>
      <c r="F60" s="204">
        <v>286</v>
      </c>
      <c r="G60" s="204">
        <v>1395</v>
      </c>
    </row>
    <row r="61" spans="1:7" x14ac:dyDescent="0.3">
      <c r="A61" s="323"/>
      <c r="B61" s="95" t="s">
        <v>544</v>
      </c>
      <c r="C61" s="204">
        <v>347</v>
      </c>
      <c r="D61" s="204">
        <v>147</v>
      </c>
      <c r="E61" s="204">
        <v>169</v>
      </c>
      <c r="F61" s="204">
        <v>81</v>
      </c>
      <c r="G61" s="204">
        <v>744</v>
      </c>
    </row>
    <row r="62" spans="1:7" x14ac:dyDescent="0.3">
      <c r="A62" s="323"/>
      <c r="B62" s="95" t="s">
        <v>546</v>
      </c>
      <c r="C62" s="204">
        <v>59</v>
      </c>
      <c r="D62" s="204">
        <v>55</v>
      </c>
      <c r="E62" s="204">
        <v>37</v>
      </c>
      <c r="F62" s="204">
        <v>8</v>
      </c>
      <c r="G62" s="204">
        <v>159</v>
      </c>
    </row>
    <row r="63" spans="1:7" x14ac:dyDescent="0.3">
      <c r="A63" s="323"/>
      <c r="B63" s="95" t="s">
        <v>675</v>
      </c>
      <c r="C63" s="204">
        <v>437</v>
      </c>
      <c r="D63" s="204">
        <v>48</v>
      </c>
      <c r="E63" s="204">
        <v>45</v>
      </c>
      <c r="F63" s="204">
        <v>10</v>
      </c>
      <c r="G63" s="204">
        <v>540</v>
      </c>
    </row>
    <row r="64" spans="1:7" x14ac:dyDescent="0.3">
      <c r="A64" s="323"/>
      <c r="B64" s="95" t="s">
        <v>676</v>
      </c>
      <c r="C64" s="204">
        <v>693</v>
      </c>
      <c r="D64" s="204">
        <v>106</v>
      </c>
      <c r="E64" s="204">
        <v>186</v>
      </c>
      <c r="F64" s="204">
        <v>43</v>
      </c>
      <c r="G64" s="204">
        <v>1027</v>
      </c>
    </row>
    <row r="65" spans="1:7" x14ac:dyDescent="0.3">
      <c r="A65" s="323"/>
      <c r="B65" s="95" t="s">
        <v>543</v>
      </c>
      <c r="C65" s="204">
        <v>895</v>
      </c>
      <c r="D65" s="204">
        <v>386</v>
      </c>
      <c r="E65" s="204">
        <v>497</v>
      </c>
      <c r="F65" s="204">
        <v>99</v>
      </c>
      <c r="G65" s="204">
        <v>1877</v>
      </c>
    </row>
    <row r="66" spans="1:7" x14ac:dyDescent="0.3">
      <c r="A66" s="323"/>
      <c r="B66" s="95" t="s">
        <v>547</v>
      </c>
      <c r="C66" s="204">
        <v>446</v>
      </c>
      <c r="D66" s="204">
        <v>88</v>
      </c>
      <c r="E66" s="204">
        <v>56</v>
      </c>
      <c r="F66" s="204">
        <v>791</v>
      </c>
      <c r="G66" s="204">
        <v>1380</v>
      </c>
    </row>
    <row r="67" spans="1:7" x14ac:dyDescent="0.3">
      <c r="A67" s="308"/>
      <c r="B67" s="97" t="s">
        <v>86</v>
      </c>
      <c r="C67" s="207">
        <v>6408</v>
      </c>
      <c r="D67" s="207">
        <v>1314</v>
      </c>
      <c r="E67" s="207">
        <v>1985</v>
      </c>
      <c r="F67" s="207">
        <v>1412</v>
      </c>
      <c r="G67" s="207">
        <v>11120</v>
      </c>
    </row>
    <row r="68" spans="1:7" x14ac:dyDescent="0.3">
      <c r="A68" s="307" t="s">
        <v>548</v>
      </c>
      <c r="B68" s="95" t="s">
        <v>677</v>
      </c>
      <c r="C68" s="204">
        <v>17</v>
      </c>
      <c r="D68" s="204">
        <v>65</v>
      </c>
      <c r="E68" s="204">
        <v>86</v>
      </c>
      <c r="F68" s="204">
        <v>11</v>
      </c>
      <c r="G68" s="204">
        <v>179</v>
      </c>
    </row>
    <row r="69" spans="1:7" ht="16.5" customHeight="1" x14ac:dyDescent="0.3">
      <c r="A69" s="323"/>
      <c r="B69" s="95" t="s">
        <v>678</v>
      </c>
      <c r="C69" s="204">
        <v>223</v>
      </c>
      <c r="D69" s="204">
        <v>344</v>
      </c>
      <c r="E69" s="204">
        <v>185</v>
      </c>
      <c r="F69" s="204">
        <v>302</v>
      </c>
      <c r="G69" s="204">
        <v>1054</v>
      </c>
    </row>
    <row r="70" spans="1:7" x14ac:dyDescent="0.3">
      <c r="A70" s="323"/>
      <c r="B70" s="95" t="s">
        <v>679</v>
      </c>
      <c r="C70" s="204">
        <v>102</v>
      </c>
      <c r="D70" s="204">
        <v>117</v>
      </c>
      <c r="E70" s="204">
        <v>89</v>
      </c>
      <c r="F70" s="204">
        <v>42</v>
      </c>
      <c r="G70" s="204">
        <v>348</v>
      </c>
    </row>
    <row r="71" spans="1:7" x14ac:dyDescent="0.3">
      <c r="A71" s="323"/>
      <c r="B71" s="95" t="s">
        <v>680</v>
      </c>
      <c r="C71" s="204">
        <v>116</v>
      </c>
      <c r="D71" s="204">
        <v>278</v>
      </c>
      <c r="E71" s="204">
        <v>487</v>
      </c>
      <c r="F71" s="204">
        <v>166</v>
      </c>
      <c r="G71" s="204">
        <v>1047</v>
      </c>
    </row>
    <row r="72" spans="1:7" x14ac:dyDescent="0.3">
      <c r="A72" s="323"/>
      <c r="B72" s="95" t="s">
        <v>555</v>
      </c>
      <c r="C72" s="204">
        <v>18</v>
      </c>
      <c r="D72" s="204">
        <v>78</v>
      </c>
      <c r="E72" s="204">
        <v>51</v>
      </c>
      <c r="F72" s="204">
        <v>192</v>
      </c>
      <c r="G72" s="204">
        <v>339</v>
      </c>
    </row>
    <row r="73" spans="1:7" x14ac:dyDescent="0.3">
      <c r="A73" s="323"/>
      <c r="B73" s="95" t="s">
        <v>552</v>
      </c>
      <c r="C73" s="204">
        <v>54</v>
      </c>
      <c r="D73" s="204">
        <v>348</v>
      </c>
      <c r="E73" s="204">
        <v>101</v>
      </c>
      <c r="F73" s="204">
        <v>226</v>
      </c>
      <c r="G73" s="204">
        <v>729</v>
      </c>
    </row>
    <row r="74" spans="1:7" x14ac:dyDescent="0.3">
      <c r="A74" s="323"/>
      <c r="B74" s="95" t="s">
        <v>551</v>
      </c>
      <c r="C74" s="204">
        <v>70</v>
      </c>
      <c r="D74" s="204">
        <v>163</v>
      </c>
      <c r="E74" s="204">
        <v>86</v>
      </c>
      <c r="F74" s="204">
        <v>41</v>
      </c>
      <c r="G74" s="204">
        <v>359</v>
      </c>
    </row>
    <row r="75" spans="1:7" x14ac:dyDescent="0.3">
      <c r="A75" s="323"/>
      <c r="B75" s="95" t="s">
        <v>553</v>
      </c>
      <c r="C75" s="204">
        <v>284</v>
      </c>
      <c r="D75" s="204">
        <v>448</v>
      </c>
      <c r="E75" s="204">
        <v>274</v>
      </c>
      <c r="F75" s="204">
        <v>305</v>
      </c>
      <c r="G75" s="204">
        <v>1310</v>
      </c>
    </row>
    <row r="76" spans="1:7" x14ac:dyDescent="0.3">
      <c r="A76" s="323"/>
      <c r="B76" s="95" t="s">
        <v>556</v>
      </c>
      <c r="C76" s="204">
        <v>454</v>
      </c>
      <c r="D76" s="204">
        <v>377</v>
      </c>
      <c r="E76" s="204">
        <v>98</v>
      </c>
      <c r="F76" s="204">
        <v>306</v>
      </c>
      <c r="G76" s="204">
        <v>1235</v>
      </c>
    </row>
    <row r="77" spans="1:7" x14ac:dyDescent="0.3">
      <c r="A77" s="323"/>
      <c r="B77" s="95" t="s">
        <v>559</v>
      </c>
      <c r="C77" s="204">
        <v>180</v>
      </c>
      <c r="D77" s="204">
        <v>133</v>
      </c>
      <c r="E77" s="204">
        <v>282</v>
      </c>
      <c r="F77" s="204">
        <v>31</v>
      </c>
      <c r="G77" s="204">
        <v>626</v>
      </c>
    </row>
    <row r="78" spans="1:7" ht="16.5" customHeight="1" x14ac:dyDescent="0.3">
      <c r="A78" s="323"/>
      <c r="B78" s="95" t="s">
        <v>560</v>
      </c>
      <c r="C78" s="204">
        <v>183</v>
      </c>
      <c r="D78" s="204">
        <v>8</v>
      </c>
      <c r="E78" s="204">
        <v>77</v>
      </c>
      <c r="F78" s="204" t="s">
        <v>65</v>
      </c>
      <c r="G78" s="204">
        <v>269</v>
      </c>
    </row>
    <row r="79" spans="1:7" x14ac:dyDescent="0.3">
      <c r="A79" s="323"/>
      <c r="B79" s="95" t="s">
        <v>554</v>
      </c>
      <c r="C79" s="204">
        <v>336</v>
      </c>
      <c r="D79" s="204">
        <v>152</v>
      </c>
      <c r="E79" s="204">
        <v>231</v>
      </c>
      <c r="F79" s="204">
        <v>317</v>
      </c>
      <c r="G79" s="204">
        <v>1036</v>
      </c>
    </row>
    <row r="80" spans="1:7" x14ac:dyDescent="0.3">
      <c r="A80" s="323"/>
      <c r="B80" s="95" t="s">
        <v>549</v>
      </c>
      <c r="C80" s="204">
        <v>399</v>
      </c>
      <c r="D80" s="204">
        <v>425</v>
      </c>
      <c r="E80" s="204">
        <v>237</v>
      </c>
      <c r="F80" s="204">
        <v>632</v>
      </c>
      <c r="G80" s="204">
        <v>1694</v>
      </c>
    </row>
    <row r="81" spans="1:7" x14ac:dyDescent="0.3">
      <c r="A81" s="323"/>
      <c r="B81" s="95" t="s">
        <v>562</v>
      </c>
      <c r="C81" s="204">
        <v>387</v>
      </c>
      <c r="D81" s="204">
        <v>184</v>
      </c>
      <c r="E81" s="204">
        <v>422</v>
      </c>
      <c r="F81" s="204">
        <v>100</v>
      </c>
      <c r="G81" s="204">
        <v>1094</v>
      </c>
    </row>
    <row r="82" spans="1:7" x14ac:dyDescent="0.3">
      <c r="A82" s="323"/>
      <c r="B82" s="95" t="s">
        <v>563</v>
      </c>
      <c r="C82" s="204">
        <v>201</v>
      </c>
      <c r="D82" s="204">
        <v>144</v>
      </c>
      <c r="E82" s="204">
        <v>286</v>
      </c>
      <c r="F82" s="204">
        <v>59</v>
      </c>
      <c r="G82" s="204">
        <v>691</v>
      </c>
    </row>
    <row r="83" spans="1:7" x14ac:dyDescent="0.3">
      <c r="A83" s="323"/>
      <c r="B83" s="95" t="s">
        <v>681</v>
      </c>
      <c r="C83" s="204">
        <v>6</v>
      </c>
      <c r="D83" s="204">
        <v>7</v>
      </c>
      <c r="E83" s="204">
        <v>36</v>
      </c>
      <c r="F83" s="204">
        <v>18</v>
      </c>
      <c r="G83" s="204">
        <v>66</v>
      </c>
    </row>
    <row r="84" spans="1:7" x14ac:dyDescent="0.3">
      <c r="A84" s="323"/>
      <c r="B84" s="95" t="s">
        <v>561</v>
      </c>
      <c r="C84" s="204">
        <v>15</v>
      </c>
      <c r="D84" s="204">
        <v>27</v>
      </c>
      <c r="E84" s="204">
        <v>165</v>
      </c>
      <c r="F84" s="204">
        <v>3</v>
      </c>
      <c r="G84" s="204">
        <v>210</v>
      </c>
    </row>
    <row r="85" spans="1:7" x14ac:dyDescent="0.3">
      <c r="A85" s="323"/>
      <c r="B85" s="95" t="s">
        <v>550</v>
      </c>
      <c r="C85" s="204">
        <v>260</v>
      </c>
      <c r="D85" s="204">
        <v>524</v>
      </c>
      <c r="E85" s="204">
        <v>668</v>
      </c>
      <c r="F85" s="204">
        <v>851</v>
      </c>
      <c r="G85" s="204">
        <v>2304</v>
      </c>
    </row>
    <row r="86" spans="1:7" x14ac:dyDescent="0.3">
      <c r="A86" s="323"/>
      <c r="B86" s="95" t="s">
        <v>558</v>
      </c>
      <c r="C86" s="204">
        <v>56</v>
      </c>
      <c r="D86" s="204">
        <v>18</v>
      </c>
      <c r="E86" s="204">
        <v>91</v>
      </c>
      <c r="F86" s="204" t="s">
        <v>65</v>
      </c>
      <c r="G86" s="204">
        <v>165</v>
      </c>
    </row>
    <row r="87" spans="1:7" x14ac:dyDescent="0.3">
      <c r="A87" s="323"/>
      <c r="B87" s="95" t="s">
        <v>557</v>
      </c>
      <c r="C87" s="204">
        <v>20</v>
      </c>
      <c r="D87" s="204">
        <v>5</v>
      </c>
      <c r="E87" s="204">
        <v>14</v>
      </c>
      <c r="F87" s="204">
        <v>6</v>
      </c>
      <c r="G87" s="204">
        <v>46</v>
      </c>
    </row>
    <row r="88" spans="1:7" x14ac:dyDescent="0.3">
      <c r="A88" s="323"/>
      <c r="B88" s="95" t="s">
        <v>564</v>
      </c>
      <c r="C88" s="204">
        <v>88</v>
      </c>
      <c r="D88" s="204">
        <v>186</v>
      </c>
      <c r="E88" s="204">
        <v>102</v>
      </c>
      <c r="F88" s="204">
        <v>1970</v>
      </c>
      <c r="G88" s="204">
        <v>2345</v>
      </c>
    </row>
    <row r="89" spans="1:7" x14ac:dyDescent="0.3">
      <c r="A89" s="308"/>
      <c r="B89" s="97" t="s">
        <v>86</v>
      </c>
      <c r="C89" s="207">
        <v>3468</v>
      </c>
      <c r="D89" s="207">
        <v>4030</v>
      </c>
      <c r="E89" s="207">
        <v>4069</v>
      </c>
      <c r="F89" s="207">
        <v>5579</v>
      </c>
      <c r="G89" s="207">
        <v>17146</v>
      </c>
    </row>
    <row r="90" spans="1:7" x14ac:dyDescent="0.3">
      <c r="A90" s="307" t="s">
        <v>145</v>
      </c>
      <c r="B90" s="95" t="s">
        <v>569</v>
      </c>
      <c r="C90" s="204">
        <v>198</v>
      </c>
      <c r="D90" s="204">
        <v>15</v>
      </c>
      <c r="E90" s="204">
        <v>35</v>
      </c>
      <c r="F90" s="204">
        <v>9</v>
      </c>
      <c r="G90" s="204">
        <v>257</v>
      </c>
    </row>
    <row r="91" spans="1:7" x14ac:dyDescent="0.3">
      <c r="A91" s="323"/>
      <c r="B91" s="95" t="s">
        <v>682</v>
      </c>
      <c r="C91" s="204">
        <v>246</v>
      </c>
      <c r="D91" s="204">
        <v>194</v>
      </c>
      <c r="E91" s="204">
        <v>137</v>
      </c>
      <c r="F91" s="204">
        <v>220</v>
      </c>
      <c r="G91" s="204">
        <v>797</v>
      </c>
    </row>
    <row r="92" spans="1:7" x14ac:dyDescent="0.3">
      <c r="A92" s="323"/>
      <c r="B92" s="95" t="s">
        <v>568</v>
      </c>
      <c r="C92" s="204">
        <v>294</v>
      </c>
      <c r="D92" s="204">
        <v>89</v>
      </c>
      <c r="E92" s="204">
        <v>106</v>
      </c>
      <c r="F92" s="204">
        <v>125</v>
      </c>
      <c r="G92" s="204">
        <v>614</v>
      </c>
    </row>
    <row r="93" spans="1:7" x14ac:dyDescent="0.3">
      <c r="A93" s="323"/>
      <c r="B93" s="95" t="s">
        <v>571</v>
      </c>
      <c r="C93" s="204">
        <v>82</v>
      </c>
      <c r="D93" s="204">
        <v>23</v>
      </c>
      <c r="E93" s="204">
        <v>35</v>
      </c>
      <c r="F93" s="204">
        <v>29</v>
      </c>
      <c r="G93" s="204">
        <v>169</v>
      </c>
    </row>
    <row r="94" spans="1:7" x14ac:dyDescent="0.3">
      <c r="A94" s="323"/>
      <c r="B94" s="95" t="s">
        <v>683</v>
      </c>
      <c r="C94" s="204">
        <v>2062</v>
      </c>
      <c r="D94" s="204">
        <v>1412</v>
      </c>
      <c r="E94" s="204">
        <v>2423</v>
      </c>
      <c r="F94" s="204">
        <v>834</v>
      </c>
      <c r="G94" s="204">
        <v>6732</v>
      </c>
    </row>
    <row r="95" spans="1:7" x14ac:dyDescent="0.3">
      <c r="A95" s="323"/>
      <c r="B95" s="95" t="s">
        <v>572</v>
      </c>
      <c r="C95" s="204">
        <v>29</v>
      </c>
      <c r="D95" s="204">
        <v>2</v>
      </c>
      <c r="E95" s="204">
        <v>11</v>
      </c>
      <c r="F95" s="204">
        <v>1</v>
      </c>
      <c r="G95" s="204">
        <v>44</v>
      </c>
    </row>
    <row r="96" spans="1:7" x14ac:dyDescent="0.3">
      <c r="A96" s="323"/>
      <c r="B96" s="95" t="s">
        <v>684</v>
      </c>
      <c r="C96" s="204">
        <v>602</v>
      </c>
      <c r="D96" s="204">
        <v>671</v>
      </c>
      <c r="E96" s="204">
        <v>3206</v>
      </c>
      <c r="F96" s="204">
        <v>493</v>
      </c>
      <c r="G96" s="204">
        <v>4973</v>
      </c>
    </row>
    <row r="97" spans="1:7" x14ac:dyDescent="0.3">
      <c r="A97" s="323"/>
      <c r="B97" s="95" t="s">
        <v>685</v>
      </c>
      <c r="C97" s="204">
        <v>64</v>
      </c>
      <c r="D97" s="204">
        <v>43</v>
      </c>
      <c r="E97" s="204">
        <v>198</v>
      </c>
      <c r="F97" s="204">
        <v>152</v>
      </c>
      <c r="G97" s="204">
        <v>456</v>
      </c>
    </row>
    <row r="98" spans="1:7" x14ac:dyDescent="0.3">
      <c r="A98" s="323"/>
      <c r="B98" s="95" t="s">
        <v>686</v>
      </c>
      <c r="C98" s="204">
        <v>137</v>
      </c>
      <c r="D98" s="204">
        <v>253</v>
      </c>
      <c r="E98" s="204">
        <v>724</v>
      </c>
      <c r="F98" s="204">
        <v>228</v>
      </c>
      <c r="G98" s="204">
        <v>1342</v>
      </c>
    </row>
    <row r="99" spans="1:7" x14ac:dyDescent="0.3">
      <c r="A99" s="323"/>
      <c r="B99" s="95" t="s">
        <v>565</v>
      </c>
      <c r="C99" s="204">
        <v>2693</v>
      </c>
      <c r="D99" s="204">
        <v>341</v>
      </c>
      <c r="E99" s="204">
        <v>354</v>
      </c>
      <c r="F99" s="204">
        <v>184</v>
      </c>
      <c r="G99" s="204">
        <v>3572</v>
      </c>
    </row>
    <row r="100" spans="1:7" x14ac:dyDescent="0.3">
      <c r="A100" s="323"/>
      <c r="B100" s="95" t="s">
        <v>573</v>
      </c>
      <c r="C100" s="204">
        <v>68</v>
      </c>
      <c r="D100" s="204">
        <v>66</v>
      </c>
      <c r="E100" s="204">
        <v>55</v>
      </c>
      <c r="F100" s="204">
        <v>70</v>
      </c>
      <c r="G100" s="204">
        <v>260</v>
      </c>
    </row>
    <row r="101" spans="1:7" x14ac:dyDescent="0.3">
      <c r="A101" s="323"/>
      <c r="B101" s="95" t="s">
        <v>566</v>
      </c>
      <c r="C101" s="204">
        <v>1671</v>
      </c>
      <c r="D101" s="204">
        <v>570</v>
      </c>
      <c r="E101" s="204">
        <v>801</v>
      </c>
      <c r="F101" s="204">
        <v>516</v>
      </c>
      <c r="G101" s="204">
        <v>3557</v>
      </c>
    </row>
    <row r="102" spans="1:7" x14ac:dyDescent="0.3">
      <c r="A102" s="323"/>
      <c r="B102" s="95" t="s">
        <v>570</v>
      </c>
      <c r="C102" s="204">
        <v>305</v>
      </c>
      <c r="D102" s="204">
        <v>36</v>
      </c>
      <c r="E102" s="204">
        <v>141</v>
      </c>
      <c r="F102" s="204">
        <v>22</v>
      </c>
      <c r="G102" s="204">
        <v>503</v>
      </c>
    </row>
    <row r="103" spans="1:7" x14ac:dyDescent="0.3">
      <c r="A103" s="323"/>
      <c r="B103" s="95" t="s">
        <v>567</v>
      </c>
      <c r="C103" s="204">
        <v>412</v>
      </c>
      <c r="D103" s="204">
        <v>137</v>
      </c>
      <c r="E103" s="204">
        <v>122</v>
      </c>
      <c r="F103" s="204">
        <v>342</v>
      </c>
      <c r="G103" s="204">
        <v>1013</v>
      </c>
    </row>
    <row r="104" spans="1:7" x14ac:dyDescent="0.3">
      <c r="A104" s="323"/>
      <c r="B104" s="95" t="s">
        <v>574</v>
      </c>
      <c r="C104" s="204">
        <v>217</v>
      </c>
      <c r="D104" s="204">
        <v>150</v>
      </c>
      <c r="E104" s="204">
        <v>241</v>
      </c>
      <c r="F104" s="204">
        <v>3015</v>
      </c>
      <c r="G104" s="204">
        <v>3624</v>
      </c>
    </row>
    <row r="105" spans="1:7" x14ac:dyDescent="0.3">
      <c r="A105" s="308"/>
      <c r="B105" s="97" t="s">
        <v>86</v>
      </c>
      <c r="C105" s="207">
        <v>9079</v>
      </c>
      <c r="D105" s="207">
        <v>4002</v>
      </c>
      <c r="E105" s="207">
        <v>8589</v>
      </c>
      <c r="F105" s="207">
        <v>6241</v>
      </c>
      <c r="G105" s="207">
        <v>27912</v>
      </c>
    </row>
    <row r="106" spans="1:7" x14ac:dyDescent="0.3">
      <c r="A106" s="307" t="s">
        <v>146</v>
      </c>
      <c r="B106" s="95" t="s">
        <v>687</v>
      </c>
      <c r="C106" s="204">
        <v>163</v>
      </c>
      <c r="D106" s="204">
        <v>3117</v>
      </c>
      <c r="E106" s="204">
        <v>7155</v>
      </c>
      <c r="F106" s="204">
        <v>2217</v>
      </c>
      <c r="G106" s="204">
        <v>12652</v>
      </c>
    </row>
    <row r="107" spans="1:7" x14ac:dyDescent="0.3">
      <c r="A107" s="323"/>
      <c r="B107" s="95" t="s">
        <v>580</v>
      </c>
      <c r="C107" s="204">
        <v>365</v>
      </c>
      <c r="D107" s="204">
        <v>163</v>
      </c>
      <c r="E107" s="204">
        <v>256</v>
      </c>
      <c r="F107" s="204">
        <v>54</v>
      </c>
      <c r="G107" s="204">
        <v>837</v>
      </c>
    </row>
    <row r="108" spans="1:7" x14ac:dyDescent="0.3">
      <c r="A108" s="323"/>
      <c r="B108" s="95" t="s">
        <v>579</v>
      </c>
      <c r="C108" s="204">
        <v>498</v>
      </c>
      <c r="D108" s="204">
        <v>787</v>
      </c>
      <c r="E108" s="204">
        <v>2039</v>
      </c>
      <c r="F108" s="204">
        <v>502</v>
      </c>
      <c r="G108" s="204">
        <v>3827</v>
      </c>
    </row>
    <row r="109" spans="1:7" x14ac:dyDescent="0.3">
      <c r="A109" s="323"/>
      <c r="B109" s="95" t="s">
        <v>582</v>
      </c>
      <c r="C109" s="204">
        <v>37</v>
      </c>
      <c r="D109" s="204">
        <v>109</v>
      </c>
      <c r="E109" s="204">
        <v>735</v>
      </c>
      <c r="F109" s="204">
        <v>301</v>
      </c>
      <c r="G109" s="204">
        <v>1182</v>
      </c>
    </row>
    <row r="110" spans="1:7" x14ac:dyDescent="0.3">
      <c r="A110" s="323"/>
      <c r="B110" s="95" t="s">
        <v>576</v>
      </c>
      <c r="C110" s="204">
        <v>222</v>
      </c>
      <c r="D110" s="204">
        <v>201</v>
      </c>
      <c r="E110" s="204">
        <v>589</v>
      </c>
      <c r="F110" s="204">
        <v>420</v>
      </c>
      <c r="G110" s="204">
        <v>1432</v>
      </c>
    </row>
    <row r="111" spans="1:7" x14ac:dyDescent="0.3">
      <c r="A111" s="323"/>
      <c r="B111" s="95" t="s">
        <v>581</v>
      </c>
      <c r="C111" s="204">
        <v>276</v>
      </c>
      <c r="D111" s="204">
        <v>589</v>
      </c>
      <c r="E111" s="204">
        <v>1402</v>
      </c>
      <c r="F111" s="204">
        <v>102</v>
      </c>
      <c r="G111" s="204">
        <v>2368</v>
      </c>
    </row>
    <row r="112" spans="1:7" x14ac:dyDescent="0.3">
      <c r="A112" s="323"/>
      <c r="B112" s="95" t="s">
        <v>577</v>
      </c>
      <c r="C112" s="204">
        <v>24</v>
      </c>
      <c r="D112" s="204">
        <v>101</v>
      </c>
      <c r="E112" s="204">
        <v>524</v>
      </c>
      <c r="F112" s="204">
        <v>88</v>
      </c>
      <c r="G112" s="204">
        <v>737</v>
      </c>
    </row>
    <row r="113" spans="1:7" x14ac:dyDescent="0.3">
      <c r="A113" s="323"/>
      <c r="B113" s="95" t="s">
        <v>688</v>
      </c>
      <c r="C113" s="204">
        <v>375</v>
      </c>
      <c r="D113" s="204">
        <v>518</v>
      </c>
      <c r="E113" s="204">
        <v>2565</v>
      </c>
      <c r="F113" s="204">
        <v>1475</v>
      </c>
      <c r="G113" s="204">
        <v>4932</v>
      </c>
    </row>
    <row r="114" spans="1:7" x14ac:dyDescent="0.3">
      <c r="A114" s="323"/>
      <c r="B114" s="95" t="s">
        <v>583</v>
      </c>
      <c r="C114" s="204">
        <v>236</v>
      </c>
      <c r="D114" s="204">
        <v>693</v>
      </c>
      <c r="E114" s="204">
        <v>4141</v>
      </c>
      <c r="F114" s="204">
        <v>1406</v>
      </c>
      <c r="G114" s="204">
        <v>6477</v>
      </c>
    </row>
    <row r="115" spans="1:7" x14ac:dyDescent="0.3">
      <c r="A115" s="323"/>
      <c r="B115" s="95" t="s">
        <v>689</v>
      </c>
      <c r="C115" s="204">
        <v>30</v>
      </c>
      <c r="D115" s="204">
        <v>134</v>
      </c>
      <c r="E115" s="204">
        <v>374</v>
      </c>
      <c r="F115" s="204">
        <v>46</v>
      </c>
      <c r="G115" s="204">
        <v>584</v>
      </c>
    </row>
    <row r="116" spans="1:7" x14ac:dyDescent="0.3">
      <c r="A116" s="323"/>
      <c r="B116" s="95" t="s">
        <v>578</v>
      </c>
      <c r="C116" s="204">
        <v>82</v>
      </c>
      <c r="D116" s="204">
        <v>165</v>
      </c>
      <c r="E116" s="204">
        <v>675</v>
      </c>
      <c r="F116" s="204">
        <v>233</v>
      </c>
      <c r="G116" s="204">
        <v>1156</v>
      </c>
    </row>
    <row r="117" spans="1:7" x14ac:dyDescent="0.3">
      <c r="A117" s="323"/>
      <c r="B117" s="95" t="s">
        <v>584</v>
      </c>
      <c r="C117" s="204">
        <v>369</v>
      </c>
      <c r="D117" s="204">
        <v>275</v>
      </c>
      <c r="E117" s="204">
        <v>1615</v>
      </c>
      <c r="F117" s="204">
        <v>753</v>
      </c>
      <c r="G117" s="204">
        <v>3013</v>
      </c>
    </row>
    <row r="118" spans="1:7" x14ac:dyDescent="0.3">
      <c r="A118" s="323"/>
      <c r="B118" s="95" t="s">
        <v>575</v>
      </c>
      <c r="C118" s="204">
        <v>392</v>
      </c>
      <c r="D118" s="204">
        <v>162</v>
      </c>
      <c r="E118" s="204">
        <v>230</v>
      </c>
      <c r="F118" s="204">
        <v>638</v>
      </c>
      <c r="G118" s="204">
        <v>1421</v>
      </c>
    </row>
    <row r="119" spans="1:7" x14ac:dyDescent="0.3">
      <c r="A119" s="323"/>
      <c r="B119" s="95" t="s">
        <v>585</v>
      </c>
      <c r="C119" s="204">
        <v>160</v>
      </c>
      <c r="D119" s="204">
        <v>1134</v>
      </c>
      <c r="E119" s="204">
        <v>1467</v>
      </c>
      <c r="F119" s="204">
        <v>493</v>
      </c>
      <c r="G119" s="204">
        <v>3253</v>
      </c>
    </row>
    <row r="120" spans="1:7" x14ac:dyDescent="0.3">
      <c r="A120" s="323"/>
      <c r="B120" s="95" t="s">
        <v>586</v>
      </c>
      <c r="C120" s="204">
        <v>94</v>
      </c>
      <c r="D120" s="204">
        <v>194</v>
      </c>
      <c r="E120" s="204">
        <v>177</v>
      </c>
      <c r="F120" s="204">
        <v>1927</v>
      </c>
      <c r="G120" s="204">
        <v>2392</v>
      </c>
    </row>
    <row r="121" spans="1:7" x14ac:dyDescent="0.3">
      <c r="A121" s="308"/>
      <c r="B121" s="97" t="s">
        <v>86</v>
      </c>
      <c r="C121" s="207">
        <v>3322</v>
      </c>
      <c r="D121" s="207">
        <v>8342</v>
      </c>
      <c r="E121" s="207">
        <v>23945</v>
      </c>
      <c r="F121" s="207">
        <v>10655</v>
      </c>
      <c r="G121" s="207">
        <v>46264</v>
      </c>
    </row>
    <row r="122" spans="1:7" x14ac:dyDescent="0.3">
      <c r="A122" s="307" t="s">
        <v>147</v>
      </c>
      <c r="B122" s="95" t="s">
        <v>589</v>
      </c>
      <c r="C122" s="204">
        <v>586</v>
      </c>
      <c r="D122" s="204">
        <v>515</v>
      </c>
      <c r="E122" s="204">
        <v>1027</v>
      </c>
      <c r="F122" s="204">
        <v>211</v>
      </c>
      <c r="G122" s="204">
        <v>2340</v>
      </c>
    </row>
    <row r="123" spans="1:7" x14ac:dyDescent="0.3">
      <c r="A123" s="323"/>
      <c r="B123" s="95" t="s">
        <v>593</v>
      </c>
      <c r="C123" s="204">
        <v>69</v>
      </c>
      <c r="D123" s="204">
        <v>454</v>
      </c>
      <c r="E123" s="204">
        <v>149</v>
      </c>
      <c r="F123" s="204">
        <v>41</v>
      </c>
      <c r="G123" s="204">
        <v>713</v>
      </c>
    </row>
    <row r="124" spans="1:7" x14ac:dyDescent="0.3">
      <c r="A124" s="323"/>
      <c r="B124" s="95" t="s">
        <v>587</v>
      </c>
      <c r="C124" s="204">
        <v>700</v>
      </c>
      <c r="D124" s="204">
        <v>1311</v>
      </c>
      <c r="E124" s="204">
        <v>1091</v>
      </c>
      <c r="F124" s="204">
        <v>535</v>
      </c>
      <c r="G124" s="204">
        <v>3636</v>
      </c>
    </row>
    <row r="125" spans="1:7" x14ac:dyDescent="0.3">
      <c r="A125" s="323"/>
      <c r="B125" s="95" t="s">
        <v>690</v>
      </c>
      <c r="C125" s="204">
        <v>206</v>
      </c>
      <c r="D125" s="204">
        <v>71</v>
      </c>
      <c r="E125" s="204">
        <v>131</v>
      </c>
      <c r="F125" s="204">
        <v>27</v>
      </c>
      <c r="G125" s="204">
        <v>435</v>
      </c>
    </row>
    <row r="126" spans="1:7" x14ac:dyDescent="0.3">
      <c r="A126" s="323"/>
      <c r="B126" s="95" t="s">
        <v>588</v>
      </c>
      <c r="C126" s="204">
        <v>517</v>
      </c>
      <c r="D126" s="204">
        <v>299</v>
      </c>
      <c r="E126" s="204">
        <v>797</v>
      </c>
      <c r="F126" s="204">
        <v>150</v>
      </c>
      <c r="G126" s="204">
        <v>1763</v>
      </c>
    </row>
    <row r="127" spans="1:7" x14ac:dyDescent="0.3">
      <c r="A127" s="323"/>
      <c r="B127" s="95" t="s">
        <v>591</v>
      </c>
      <c r="C127" s="204">
        <v>29</v>
      </c>
      <c r="D127" s="204">
        <v>272</v>
      </c>
      <c r="E127" s="204">
        <v>629</v>
      </c>
      <c r="F127" s="204">
        <v>42</v>
      </c>
      <c r="G127" s="204">
        <v>971</v>
      </c>
    </row>
    <row r="128" spans="1:7" x14ac:dyDescent="0.3">
      <c r="A128" s="323"/>
      <c r="B128" s="95" t="s">
        <v>592</v>
      </c>
      <c r="C128" s="204">
        <v>92</v>
      </c>
      <c r="D128" s="204">
        <v>84</v>
      </c>
      <c r="E128" s="204">
        <v>411</v>
      </c>
      <c r="F128" s="204">
        <v>63</v>
      </c>
      <c r="G128" s="204">
        <v>650</v>
      </c>
    </row>
    <row r="129" spans="1:7" x14ac:dyDescent="0.3">
      <c r="A129" s="323"/>
      <c r="B129" s="95" t="s">
        <v>590</v>
      </c>
      <c r="C129" s="204">
        <v>19</v>
      </c>
      <c r="D129" s="204">
        <v>106</v>
      </c>
      <c r="E129" s="204">
        <v>551</v>
      </c>
      <c r="F129" s="204">
        <v>19</v>
      </c>
      <c r="G129" s="204">
        <v>696</v>
      </c>
    </row>
    <row r="130" spans="1:7" x14ac:dyDescent="0.3">
      <c r="A130" s="323"/>
      <c r="B130" s="95" t="s">
        <v>594</v>
      </c>
      <c r="C130" s="204">
        <v>176</v>
      </c>
      <c r="D130" s="204">
        <v>38</v>
      </c>
      <c r="E130" s="204">
        <v>129</v>
      </c>
      <c r="F130" s="204">
        <v>409</v>
      </c>
      <c r="G130" s="204">
        <v>751</v>
      </c>
    </row>
    <row r="131" spans="1:7" x14ac:dyDescent="0.3">
      <c r="A131" s="308"/>
      <c r="B131" s="97" t="s">
        <v>86</v>
      </c>
      <c r="C131" s="207">
        <v>2395</v>
      </c>
      <c r="D131" s="207">
        <v>3150</v>
      </c>
      <c r="E131" s="207">
        <v>4916</v>
      </c>
      <c r="F131" s="207">
        <v>1496</v>
      </c>
      <c r="G131" s="207">
        <v>11956</v>
      </c>
    </row>
    <row r="132" spans="1:7" x14ac:dyDescent="0.3">
      <c r="A132" s="307" t="s">
        <v>148</v>
      </c>
      <c r="B132" s="95" t="s">
        <v>597</v>
      </c>
      <c r="C132" s="204">
        <v>231</v>
      </c>
      <c r="D132" s="204">
        <v>135</v>
      </c>
      <c r="E132" s="204">
        <v>259</v>
      </c>
      <c r="F132" s="204">
        <v>50</v>
      </c>
      <c r="G132" s="204">
        <v>675</v>
      </c>
    </row>
    <row r="133" spans="1:7" x14ac:dyDescent="0.3">
      <c r="A133" s="323"/>
      <c r="B133" s="95" t="s">
        <v>596</v>
      </c>
      <c r="C133" s="204">
        <v>519</v>
      </c>
      <c r="D133" s="204">
        <v>196</v>
      </c>
      <c r="E133" s="204">
        <v>253</v>
      </c>
      <c r="F133" s="204">
        <v>78</v>
      </c>
      <c r="G133" s="204">
        <v>1046</v>
      </c>
    </row>
    <row r="134" spans="1:7" x14ac:dyDescent="0.3">
      <c r="A134" s="323"/>
      <c r="B134" s="95" t="s">
        <v>605</v>
      </c>
      <c r="C134" s="204">
        <v>3</v>
      </c>
      <c r="D134" s="204">
        <v>534</v>
      </c>
      <c r="E134" s="204">
        <v>116</v>
      </c>
      <c r="F134" s="204">
        <v>81</v>
      </c>
      <c r="G134" s="204">
        <v>734</v>
      </c>
    </row>
    <row r="135" spans="1:7" x14ac:dyDescent="0.3">
      <c r="A135" s="323"/>
      <c r="B135" s="95" t="s">
        <v>598</v>
      </c>
      <c r="C135" s="204">
        <v>226</v>
      </c>
      <c r="D135" s="204">
        <v>114</v>
      </c>
      <c r="E135" s="204">
        <v>56</v>
      </c>
      <c r="F135" s="204">
        <v>26</v>
      </c>
      <c r="G135" s="204">
        <v>423</v>
      </c>
    </row>
    <row r="136" spans="1:7" x14ac:dyDescent="0.3">
      <c r="A136" s="323"/>
      <c r="B136" s="95" t="s">
        <v>601</v>
      </c>
      <c r="C136" s="204">
        <v>37</v>
      </c>
      <c r="D136" s="204">
        <v>73</v>
      </c>
      <c r="E136" s="204">
        <v>335</v>
      </c>
      <c r="F136" s="204">
        <v>70</v>
      </c>
      <c r="G136" s="204">
        <v>515</v>
      </c>
    </row>
    <row r="137" spans="1:7" x14ac:dyDescent="0.3">
      <c r="A137" s="323"/>
      <c r="B137" s="95" t="s">
        <v>603</v>
      </c>
      <c r="C137" s="204">
        <v>50</v>
      </c>
      <c r="D137" s="204">
        <v>183</v>
      </c>
      <c r="E137" s="204">
        <v>582</v>
      </c>
      <c r="F137" s="204">
        <v>167</v>
      </c>
      <c r="G137" s="204">
        <v>982</v>
      </c>
    </row>
    <row r="138" spans="1:7" x14ac:dyDescent="0.3">
      <c r="A138" s="323"/>
      <c r="B138" s="95" t="s">
        <v>602</v>
      </c>
      <c r="C138" s="204">
        <v>1</v>
      </c>
      <c r="D138" s="204">
        <v>4</v>
      </c>
      <c r="E138" s="204">
        <v>77</v>
      </c>
      <c r="F138" s="204">
        <v>3</v>
      </c>
      <c r="G138" s="204">
        <v>85</v>
      </c>
    </row>
    <row r="139" spans="1:7" x14ac:dyDescent="0.3">
      <c r="A139" s="323"/>
      <c r="B139" s="95" t="s">
        <v>599</v>
      </c>
      <c r="C139" s="204">
        <v>103</v>
      </c>
      <c r="D139" s="204">
        <v>188</v>
      </c>
      <c r="E139" s="204">
        <v>578</v>
      </c>
      <c r="F139" s="204">
        <v>115</v>
      </c>
      <c r="G139" s="204">
        <v>984</v>
      </c>
    </row>
    <row r="140" spans="1:7" x14ac:dyDescent="0.3">
      <c r="A140" s="323"/>
      <c r="B140" s="95" t="s">
        <v>595</v>
      </c>
      <c r="C140" s="204">
        <v>553</v>
      </c>
      <c r="D140" s="204">
        <v>472</v>
      </c>
      <c r="E140" s="204">
        <v>542</v>
      </c>
      <c r="F140" s="204">
        <v>106</v>
      </c>
      <c r="G140" s="204">
        <v>1673</v>
      </c>
    </row>
    <row r="141" spans="1:7" x14ac:dyDescent="0.3">
      <c r="A141" s="323"/>
      <c r="B141" s="95" t="s">
        <v>604</v>
      </c>
      <c r="C141" s="204">
        <v>5</v>
      </c>
      <c r="D141" s="204">
        <v>50</v>
      </c>
      <c r="E141" s="204">
        <v>24</v>
      </c>
      <c r="F141" s="204">
        <v>17</v>
      </c>
      <c r="G141" s="204">
        <v>96</v>
      </c>
    </row>
    <row r="142" spans="1:7" x14ac:dyDescent="0.3">
      <c r="A142" s="323"/>
      <c r="B142" s="95" t="s">
        <v>600</v>
      </c>
      <c r="C142" s="204">
        <v>4</v>
      </c>
      <c r="D142" s="204">
        <v>39</v>
      </c>
      <c r="E142" s="204">
        <v>177</v>
      </c>
      <c r="F142" s="204">
        <v>27</v>
      </c>
      <c r="G142" s="204">
        <v>246</v>
      </c>
    </row>
    <row r="143" spans="1:7" x14ac:dyDescent="0.3">
      <c r="A143" s="323"/>
      <c r="B143" s="95" t="s">
        <v>606</v>
      </c>
      <c r="C143" s="204">
        <v>35</v>
      </c>
      <c r="D143" s="204">
        <v>18</v>
      </c>
      <c r="E143" s="204">
        <v>20</v>
      </c>
      <c r="F143" s="204">
        <v>100</v>
      </c>
      <c r="G143" s="204">
        <v>173</v>
      </c>
    </row>
    <row r="144" spans="1:7" x14ac:dyDescent="0.3">
      <c r="A144" s="308"/>
      <c r="B144" s="97" t="s">
        <v>86</v>
      </c>
      <c r="C144" s="207">
        <v>1768</v>
      </c>
      <c r="D144" s="207">
        <v>2007</v>
      </c>
      <c r="E144" s="207">
        <v>3017</v>
      </c>
      <c r="F144" s="207">
        <v>840</v>
      </c>
      <c r="G144" s="207">
        <v>7632</v>
      </c>
    </row>
    <row r="145" spans="1:7" x14ac:dyDescent="0.3">
      <c r="A145" s="307" t="s">
        <v>152</v>
      </c>
      <c r="B145" s="95" t="s">
        <v>691</v>
      </c>
      <c r="C145" s="204">
        <v>12</v>
      </c>
      <c r="D145" s="204">
        <v>38</v>
      </c>
      <c r="E145" s="204">
        <v>374</v>
      </c>
      <c r="F145" s="204">
        <v>133</v>
      </c>
      <c r="G145" s="204">
        <v>556</v>
      </c>
    </row>
    <row r="146" spans="1:7" x14ac:dyDescent="0.3">
      <c r="A146" s="323"/>
      <c r="B146" s="95" t="s">
        <v>611</v>
      </c>
      <c r="C146" s="204">
        <v>82</v>
      </c>
      <c r="D146" s="204">
        <v>109</v>
      </c>
      <c r="E146" s="204">
        <v>657</v>
      </c>
      <c r="F146" s="204">
        <v>82</v>
      </c>
      <c r="G146" s="204">
        <v>930</v>
      </c>
    </row>
    <row r="147" spans="1:7" x14ac:dyDescent="0.3">
      <c r="A147" s="323"/>
      <c r="B147" s="95" t="s">
        <v>607</v>
      </c>
      <c r="C147" s="204">
        <v>254</v>
      </c>
      <c r="D147" s="204">
        <v>398</v>
      </c>
      <c r="E147" s="204">
        <v>609</v>
      </c>
      <c r="F147" s="204">
        <v>196</v>
      </c>
      <c r="G147" s="204">
        <v>1458</v>
      </c>
    </row>
    <row r="148" spans="1:7" x14ac:dyDescent="0.3">
      <c r="A148" s="323"/>
      <c r="B148" s="95" t="s">
        <v>614</v>
      </c>
      <c r="C148" s="204">
        <v>147</v>
      </c>
      <c r="D148" s="204">
        <v>606</v>
      </c>
      <c r="E148" s="204">
        <v>1894</v>
      </c>
      <c r="F148" s="204">
        <v>330</v>
      </c>
      <c r="G148" s="204">
        <v>2977</v>
      </c>
    </row>
    <row r="149" spans="1:7" x14ac:dyDescent="0.3">
      <c r="A149" s="323"/>
      <c r="B149" s="95" t="s">
        <v>615</v>
      </c>
      <c r="C149" s="204">
        <v>331</v>
      </c>
      <c r="D149" s="204">
        <v>3013</v>
      </c>
      <c r="E149" s="204">
        <v>2787</v>
      </c>
      <c r="F149" s="204">
        <v>296</v>
      </c>
      <c r="G149" s="204">
        <v>6427</v>
      </c>
    </row>
    <row r="150" spans="1:7" x14ac:dyDescent="0.3">
      <c r="A150" s="323"/>
      <c r="B150" s="95" t="s">
        <v>692</v>
      </c>
      <c r="C150" s="204">
        <v>1247</v>
      </c>
      <c r="D150" s="204">
        <v>1395</v>
      </c>
      <c r="E150" s="204">
        <v>2127</v>
      </c>
      <c r="F150" s="204">
        <v>941</v>
      </c>
      <c r="G150" s="204">
        <v>5710</v>
      </c>
    </row>
    <row r="151" spans="1:7" x14ac:dyDescent="0.3">
      <c r="A151" s="323"/>
      <c r="B151" s="95" t="s">
        <v>608</v>
      </c>
      <c r="C151" s="204">
        <v>117</v>
      </c>
      <c r="D151" s="204">
        <v>180</v>
      </c>
      <c r="E151" s="204">
        <v>1576</v>
      </c>
      <c r="F151" s="204">
        <v>367</v>
      </c>
      <c r="G151" s="204">
        <v>2240</v>
      </c>
    </row>
    <row r="152" spans="1:7" x14ac:dyDescent="0.3">
      <c r="A152" s="323"/>
      <c r="B152" s="95" t="s">
        <v>612</v>
      </c>
      <c r="C152" s="204">
        <v>98</v>
      </c>
      <c r="D152" s="204">
        <v>169</v>
      </c>
      <c r="E152" s="204">
        <v>202</v>
      </c>
      <c r="F152" s="204">
        <v>7</v>
      </c>
      <c r="G152" s="204">
        <v>476</v>
      </c>
    </row>
    <row r="153" spans="1:7" x14ac:dyDescent="0.3">
      <c r="A153" s="323"/>
      <c r="B153" s="95" t="s">
        <v>610</v>
      </c>
      <c r="C153" s="204">
        <v>122</v>
      </c>
      <c r="D153" s="204">
        <v>207</v>
      </c>
      <c r="E153" s="204">
        <v>1261</v>
      </c>
      <c r="F153" s="204">
        <v>279</v>
      </c>
      <c r="G153" s="204">
        <v>1869</v>
      </c>
    </row>
    <row r="154" spans="1:7" x14ac:dyDescent="0.3">
      <c r="A154" s="323"/>
      <c r="B154" s="95" t="s">
        <v>613</v>
      </c>
      <c r="C154" s="204">
        <v>296</v>
      </c>
      <c r="D154" s="204">
        <v>676</v>
      </c>
      <c r="E154" s="204">
        <v>1072</v>
      </c>
      <c r="F154" s="204">
        <v>558</v>
      </c>
      <c r="G154" s="204">
        <v>2602</v>
      </c>
    </row>
    <row r="155" spans="1:7" x14ac:dyDescent="0.3">
      <c r="A155" s="323"/>
      <c r="B155" s="95" t="s">
        <v>609</v>
      </c>
      <c r="C155" s="204">
        <v>219</v>
      </c>
      <c r="D155" s="204">
        <v>243</v>
      </c>
      <c r="E155" s="204">
        <v>1190</v>
      </c>
      <c r="F155" s="204">
        <v>214</v>
      </c>
      <c r="G155" s="204">
        <v>1866</v>
      </c>
    </row>
    <row r="156" spans="1:7" x14ac:dyDescent="0.3">
      <c r="A156" s="323"/>
      <c r="B156" s="95" t="s">
        <v>616</v>
      </c>
      <c r="C156" s="204">
        <v>168</v>
      </c>
      <c r="D156" s="204">
        <v>8517</v>
      </c>
      <c r="E156" s="204">
        <v>240</v>
      </c>
      <c r="F156" s="204">
        <v>942</v>
      </c>
      <c r="G156" s="204">
        <v>9866</v>
      </c>
    </row>
    <row r="157" spans="1:7" x14ac:dyDescent="0.3">
      <c r="A157" s="308"/>
      <c r="B157" s="97" t="s">
        <v>86</v>
      </c>
      <c r="C157" s="207">
        <v>3092</v>
      </c>
      <c r="D157" s="207">
        <v>15549</v>
      </c>
      <c r="E157" s="207">
        <v>13990</v>
      </c>
      <c r="F157" s="207">
        <v>4346</v>
      </c>
      <c r="G157" s="207">
        <v>36977</v>
      </c>
    </row>
    <row r="158" spans="1:7" x14ac:dyDescent="0.3">
      <c r="A158" s="307" t="s">
        <v>153</v>
      </c>
      <c r="B158" s="95" t="s">
        <v>620</v>
      </c>
      <c r="C158" s="204">
        <v>69</v>
      </c>
      <c r="D158" s="204">
        <v>1108</v>
      </c>
      <c r="E158" s="204">
        <v>2161</v>
      </c>
      <c r="F158" s="204">
        <v>75</v>
      </c>
      <c r="G158" s="204">
        <v>3412</v>
      </c>
    </row>
    <row r="159" spans="1:7" x14ac:dyDescent="0.3">
      <c r="A159" s="323"/>
      <c r="B159" s="95" t="s">
        <v>694</v>
      </c>
      <c r="C159" s="204">
        <v>87</v>
      </c>
      <c r="D159" s="204">
        <v>248</v>
      </c>
      <c r="E159" s="204">
        <v>125</v>
      </c>
      <c r="F159" s="204">
        <v>22</v>
      </c>
      <c r="G159" s="204">
        <v>483</v>
      </c>
    </row>
    <row r="160" spans="1:7" x14ac:dyDescent="0.3">
      <c r="A160" s="323"/>
      <c r="B160" s="95" t="s">
        <v>695</v>
      </c>
      <c r="C160" s="204">
        <v>273</v>
      </c>
      <c r="D160" s="204">
        <v>442</v>
      </c>
      <c r="E160" s="204">
        <v>778</v>
      </c>
      <c r="F160" s="204">
        <v>181</v>
      </c>
      <c r="G160" s="204">
        <v>1673</v>
      </c>
    </row>
    <row r="161" spans="1:7" x14ac:dyDescent="0.3">
      <c r="A161" s="323"/>
      <c r="B161" s="95" t="s">
        <v>617</v>
      </c>
      <c r="C161" s="204">
        <v>555</v>
      </c>
      <c r="D161" s="204">
        <v>1444</v>
      </c>
      <c r="E161" s="204">
        <v>4621</v>
      </c>
      <c r="F161" s="204">
        <v>381</v>
      </c>
      <c r="G161" s="204">
        <v>7001</v>
      </c>
    </row>
    <row r="162" spans="1:7" x14ac:dyDescent="0.3">
      <c r="A162" s="323"/>
      <c r="B162" s="95" t="s">
        <v>619</v>
      </c>
      <c r="C162" s="204">
        <v>336</v>
      </c>
      <c r="D162" s="204">
        <v>796</v>
      </c>
      <c r="E162" s="204">
        <v>2001</v>
      </c>
      <c r="F162" s="204">
        <v>219</v>
      </c>
      <c r="G162" s="204">
        <v>3353</v>
      </c>
    </row>
    <row r="163" spans="1:7" x14ac:dyDescent="0.3">
      <c r="A163" s="323"/>
      <c r="B163" s="95" t="s">
        <v>696</v>
      </c>
      <c r="C163" s="204">
        <v>100</v>
      </c>
      <c r="D163" s="204">
        <v>200</v>
      </c>
      <c r="E163" s="204">
        <v>210</v>
      </c>
      <c r="F163" s="204">
        <v>138</v>
      </c>
      <c r="G163" s="204">
        <v>648</v>
      </c>
    </row>
    <row r="164" spans="1:7" x14ac:dyDescent="0.3">
      <c r="A164" s="323"/>
      <c r="B164" s="95" t="s">
        <v>697</v>
      </c>
      <c r="C164" s="204">
        <v>43</v>
      </c>
      <c r="D164" s="204">
        <v>197</v>
      </c>
      <c r="E164" s="204">
        <v>443</v>
      </c>
      <c r="F164" s="204">
        <v>5</v>
      </c>
      <c r="G164" s="204">
        <v>688</v>
      </c>
    </row>
    <row r="165" spans="1:7" x14ac:dyDescent="0.3">
      <c r="A165" s="323"/>
      <c r="B165" s="95" t="s">
        <v>618</v>
      </c>
      <c r="C165" s="204">
        <v>451</v>
      </c>
      <c r="D165" s="204">
        <v>893</v>
      </c>
      <c r="E165" s="204">
        <v>942</v>
      </c>
      <c r="F165" s="204">
        <v>620</v>
      </c>
      <c r="G165" s="204">
        <v>2906</v>
      </c>
    </row>
    <row r="166" spans="1:7" x14ac:dyDescent="0.3">
      <c r="A166" s="323"/>
      <c r="B166" s="95" t="s">
        <v>698</v>
      </c>
      <c r="C166" s="204">
        <v>1572</v>
      </c>
      <c r="D166" s="204">
        <v>2503</v>
      </c>
      <c r="E166" s="204">
        <v>2154</v>
      </c>
      <c r="F166" s="204">
        <v>699</v>
      </c>
      <c r="G166" s="204">
        <v>6929</v>
      </c>
    </row>
    <row r="167" spans="1:7" x14ac:dyDescent="0.3">
      <c r="A167" s="323"/>
      <c r="B167" s="95" t="s">
        <v>699</v>
      </c>
      <c r="C167" s="204">
        <v>104</v>
      </c>
      <c r="D167" s="204">
        <v>385</v>
      </c>
      <c r="E167" s="204">
        <v>679</v>
      </c>
      <c r="F167" s="204">
        <v>192</v>
      </c>
      <c r="G167" s="204">
        <v>1359</v>
      </c>
    </row>
    <row r="168" spans="1:7" x14ac:dyDescent="0.3">
      <c r="A168" s="323"/>
      <c r="B168" s="95" t="s">
        <v>700</v>
      </c>
      <c r="C168" s="204">
        <v>30</v>
      </c>
      <c r="D168" s="204">
        <v>97</v>
      </c>
      <c r="E168" s="204">
        <v>274</v>
      </c>
      <c r="F168" s="204">
        <v>34</v>
      </c>
      <c r="G168" s="204">
        <v>436</v>
      </c>
    </row>
    <row r="169" spans="1:7" x14ac:dyDescent="0.3">
      <c r="A169" s="323"/>
      <c r="B169" s="95" t="s">
        <v>701</v>
      </c>
      <c r="C169" s="204">
        <v>108</v>
      </c>
      <c r="D169" s="204">
        <v>211</v>
      </c>
      <c r="E169" s="204">
        <v>546</v>
      </c>
      <c r="F169" s="204">
        <v>43</v>
      </c>
      <c r="G169" s="204">
        <v>909</v>
      </c>
    </row>
    <row r="170" spans="1:7" x14ac:dyDescent="0.3">
      <c r="A170" s="323"/>
      <c r="B170" s="95" t="s">
        <v>693</v>
      </c>
      <c r="C170" s="204">
        <v>280</v>
      </c>
      <c r="D170" s="204">
        <v>304</v>
      </c>
      <c r="E170" s="204">
        <v>554</v>
      </c>
      <c r="F170" s="204">
        <v>1756</v>
      </c>
      <c r="G170" s="204">
        <v>2894</v>
      </c>
    </row>
    <row r="171" spans="1:7" x14ac:dyDescent="0.3">
      <c r="A171" s="308"/>
      <c r="B171" s="97" t="s">
        <v>86</v>
      </c>
      <c r="C171" s="207">
        <v>4008</v>
      </c>
      <c r="D171" s="207">
        <v>8829</v>
      </c>
      <c r="E171" s="207">
        <v>15490</v>
      </c>
      <c r="F171" s="207">
        <v>4365</v>
      </c>
      <c r="G171" s="207">
        <v>32692</v>
      </c>
    </row>
    <row r="172" spans="1:7" x14ac:dyDescent="0.3">
      <c r="A172" s="307" t="s">
        <v>154</v>
      </c>
      <c r="B172" s="95" t="s">
        <v>625</v>
      </c>
      <c r="C172" s="204">
        <v>37</v>
      </c>
      <c r="D172" s="204">
        <v>42</v>
      </c>
      <c r="E172" s="204">
        <v>293</v>
      </c>
      <c r="F172" s="204">
        <v>14</v>
      </c>
      <c r="G172" s="204">
        <v>386</v>
      </c>
    </row>
    <row r="173" spans="1:7" x14ac:dyDescent="0.3">
      <c r="A173" s="323"/>
      <c r="B173" s="95" t="s">
        <v>623</v>
      </c>
      <c r="C173" s="204">
        <v>9</v>
      </c>
      <c r="D173" s="204">
        <v>98</v>
      </c>
      <c r="E173" s="204">
        <v>313</v>
      </c>
      <c r="F173" s="204">
        <v>24</v>
      </c>
      <c r="G173" s="204">
        <v>444</v>
      </c>
    </row>
    <row r="174" spans="1:7" x14ac:dyDescent="0.3">
      <c r="A174" s="323"/>
      <c r="B174" s="95" t="s">
        <v>702</v>
      </c>
      <c r="C174" s="204">
        <v>123</v>
      </c>
      <c r="D174" s="204">
        <v>217</v>
      </c>
      <c r="E174" s="204">
        <v>721</v>
      </c>
      <c r="F174" s="204">
        <v>73</v>
      </c>
      <c r="G174" s="204">
        <v>1135</v>
      </c>
    </row>
    <row r="175" spans="1:7" x14ac:dyDescent="0.3">
      <c r="A175" s="323"/>
      <c r="B175" s="95" t="s">
        <v>624</v>
      </c>
      <c r="C175" s="204">
        <v>965</v>
      </c>
      <c r="D175" s="204">
        <v>1437</v>
      </c>
      <c r="E175" s="204">
        <v>3493</v>
      </c>
      <c r="F175" s="204">
        <v>916</v>
      </c>
      <c r="G175" s="204">
        <v>6810</v>
      </c>
    </row>
    <row r="176" spans="1:7" x14ac:dyDescent="0.3">
      <c r="A176" s="323"/>
      <c r="B176" s="95" t="s">
        <v>621</v>
      </c>
      <c r="C176" s="204">
        <v>319</v>
      </c>
      <c r="D176" s="204">
        <v>159</v>
      </c>
      <c r="E176" s="204">
        <v>568</v>
      </c>
      <c r="F176" s="204">
        <v>27</v>
      </c>
      <c r="G176" s="204">
        <v>1072</v>
      </c>
    </row>
    <row r="177" spans="1:7" ht="16.5" customHeight="1" x14ac:dyDescent="0.3">
      <c r="A177" s="323"/>
      <c r="B177" s="95" t="s">
        <v>622</v>
      </c>
      <c r="C177" s="204">
        <v>402</v>
      </c>
      <c r="D177" s="204">
        <v>132</v>
      </c>
      <c r="E177" s="204">
        <v>229</v>
      </c>
      <c r="F177" s="204">
        <v>36</v>
      </c>
      <c r="G177" s="204">
        <v>799</v>
      </c>
    </row>
    <row r="178" spans="1:7" x14ac:dyDescent="0.3">
      <c r="A178" s="323"/>
      <c r="B178" s="95" t="s">
        <v>703</v>
      </c>
      <c r="C178" s="204">
        <v>119</v>
      </c>
      <c r="D178" s="204">
        <v>140</v>
      </c>
      <c r="E178" s="204">
        <v>566</v>
      </c>
      <c r="F178" s="204">
        <v>146</v>
      </c>
      <c r="G178" s="204">
        <v>972</v>
      </c>
    </row>
    <row r="179" spans="1:7" x14ac:dyDescent="0.3">
      <c r="A179" s="323"/>
      <c r="B179" s="95" t="s">
        <v>626</v>
      </c>
      <c r="C179" s="204">
        <v>85</v>
      </c>
      <c r="D179" s="204">
        <v>68</v>
      </c>
      <c r="E179" s="204">
        <v>191</v>
      </c>
      <c r="F179" s="204">
        <v>860</v>
      </c>
      <c r="G179" s="204">
        <v>1204</v>
      </c>
    </row>
    <row r="180" spans="1:7" x14ac:dyDescent="0.3">
      <c r="A180" s="308"/>
      <c r="B180" s="97" t="s">
        <v>86</v>
      </c>
      <c r="C180" s="207">
        <v>2058</v>
      </c>
      <c r="D180" s="207">
        <v>2293</v>
      </c>
      <c r="E180" s="207">
        <v>6374</v>
      </c>
      <c r="F180" s="207">
        <v>2097</v>
      </c>
      <c r="G180" s="207">
        <v>12823</v>
      </c>
    </row>
    <row r="181" spans="1:7" x14ac:dyDescent="0.3">
      <c r="A181" s="307" t="s">
        <v>149</v>
      </c>
      <c r="B181" s="95" t="s">
        <v>630</v>
      </c>
      <c r="C181" s="204">
        <v>136</v>
      </c>
      <c r="D181" s="204">
        <v>119</v>
      </c>
      <c r="E181" s="204">
        <v>314</v>
      </c>
      <c r="F181" s="204">
        <v>72</v>
      </c>
      <c r="G181" s="204">
        <v>641</v>
      </c>
    </row>
    <row r="182" spans="1:7" x14ac:dyDescent="0.3">
      <c r="A182" s="323"/>
      <c r="B182" s="95" t="s">
        <v>704</v>
      </c>
      <c r="C182" s="204">
        <v>62</v>
      </c>
      <c r="D182" s="204">
        <v>42</v>
      </c>
      <c r="E182" s="204">
        <v>70</v>
      </c>
      <c r="F182" s="204">
        <v>90</v>
      </c>
      <c r="G182" s="204">
        <v>264</v>
      </c>
    </row>
    <row r="183" spans="1:7" x14ac:dyDescent="0.3">
      <c r="A183" s="323"/>
      <c r="B183" s="95" t="s">
        <v>705</v>
      </c>
      <c r="C183" s="204">
        <v>30</v>
      </c>
      <c r="D183" s="204">
        <v>44</v>
      </c>
      <c r="E183" s="204">
        <v>177</v>
      </c>
      <c r="F183" s="204">
        <v>6</v>
      </c>
      <c r="G183" s="204">
        <v>257</v>
      </c>
    </row>
    <row r="184" spans="1:7" x14ac:dyDescent="0.3">
      <c r="A184" s="323"/>
      <c r="B184" s="95" t="s">
        <v>706</v>
      </c>
      <c r="C184" s="204">
        <v>4</v>
      </c>
      <c r="D184" s="204">
        <v>9</v>
      </c>
      <c r="E184" s="204">
        <v>480</v>
      </c>
      <c r="F184" s="204">
        <v>59</v>
      </c>
      <c r="G184" s="204">
        <v>552</v>
      </c>
    </row>
    <row r="185" spans="1:7" x14ac:dyDescent="0.3">
      <c r="A185" s="323"/>
      <c r="B185" s="95" t="s">
        <v>628</v>
      </c>
      <c r="C185" s="204">
        <v>214</v>
      </c>
      <c r="D185" s="204">
        <v>361</v>
      </c>
      <c r="E185" s="204">
        <v>468</v>
      </c>
      <c r="F185" s="204">
        <v>63</v>
      </c>
      <c r="G185" s="204">
        <v>1106</v>
      </c>
    </row>
    <row r="186" spans="1:7" x14ac:dyDescent="0.3">
      <c r="A186" s="323"/>
      <c r="B186" s="95" t="s">
        <v>627</v>
      </c>
      <c r="C186" s="204">
        <v>64</v>
      </c>
      <c r="D186" s="204">
        <v>12</v>
      </c>
      <c r="E186" s="204">
        <v>111</v>
      </c>
      <c r="F186" s="204">
        <v>18</v>
      </c>
      <c r="G186" s="204">
        <v>205</v>
      </c>
    </row>
    <row r="187" spans="1:7" x14ac:dyDescent="0.3">
      <c r="A187" s="323"/>
      <c r="B187" s="95" t="s">
        <v>707</v>
      </c>
      <c r="C187" s="204">
        <v>58</v>
      </c>
      <c r="D187" s="204">
        <v>13</v>
      </c>
      <c r="E187" s="204">
        <v>37</v>
      </c>
      <c r="F187" s="204">
        <v>6</v>
      </c>
      <c r="G187" s="204">
        <v>113</v>
      </c>
    </row>
    <row r="188" spans="1:7" x14ac:dyDescent="0.3">
      <c r="A188" s="323"/>
      <c r="B188" s="95" t="s">
        <v>629</v>
      </c>
      <c r="C188" s="204">
        <v>93</v>
      </c>
      <c r="D188" s="204">
        <v>61</v>
      </c>
      <c r="E188" s="204">
        <v>173</v>
      </c>
      <c r="F188" s="204">
        <v>10</v>
      </c>
      <c r="G188" s="204">
        <v>337</v>
      </c>
    </row>
    <row r="189" spans="1:7" x14ac:dyDescent="0.3">
      <c r="A189" s="323"/>
      <c r="B189" s="95" t="s">
        <v>708</v>
      </c>
      <c r="C189" s="204">
        <v>301</v>
      </c>
      <c r="D189" s="204">
        <v>265</v>
      </c>
      <c r="E189" s="204">
        <v>611</v>
      </c>
      <c r="F189" s="204">
        <v>198</v>
      </c>
      <c r="G189" s="204">
        <v>1375</v>
      </c>
    </row>
    <row r="190" spans="1:7" x14ac:dyDescent="0.3">
      <c r="A190" s="323"/>
      <c r="B190" s="95" t="s">
        <v>631</v>
      </c>
      <c r="C190" s="204">
        <v>1312</v>
      </c>
      <c r="D190" s="204">
        <v>22</v>
      </c>
      <c r="E190" s="204">
        <v>3</v>
      </c>
      <c r="F190" s="204">
        <v>23</v>
      </c>
      <c r="G190" s="204">
        <v>1359</v>
      </c>
    </row>
    <row r="191" spans="1:7" x14ac:dyDescent="0.3">
      <c r="A191" s="323"/>
      <c r="B191" s="95" t="s">
        <v>632</v>
      </c>
      <c r="C191" s="204">
        <v>91</v>
      </c>
      <c r="D191" s="204">
        <v>139</v>
      </c>
      <c r="E191" s="204">
        <v>83</v>
      </c>
      <c r="F191" s="204">
        <v>1305</v>
      </c>
      <c r="G191" s="204">
        <v>1617</v>
      </c>
    </row>
    <row r="192" spans="1:7" x14ac:dyDescent="0.3">
      <c r="A192" s="308"/>
      <c r="B192" s="97" t="s">
        <v>86</v>
      </c>
      <c r="C192" s="207">
        <v>2363</v>
      </c>
      <c r="D192" s="207">
        <v>1086</v>
      </c>
      <c r="E192" s="207">
        <v>2528</v>
      </c>
      <c r="F192" s="207">
        <v>1850</v>
      </c>
      <c r="G192" s="207">
        <v>7827</v>
      </c>
    </row>
    <row r="193" spans="1:7" x14ac:dyDescent="0.3">
      <c r="A193" s="307" t="s">
        <v>150</v>
      </c>
      <c r="B193" s="95" t="s">
        <v>633</v>
      </c>
      <c r="C193" s="204">
        <v>193</v>
      </c>
      <c r="D193" s="204">
        <v>292</v>
      </c>
      <c r="E193" s="204">
        <v>499</v>
      </c>
      <c r="F193" s="204">
        <v>85</v>
      </c>
      <c r="G193" s="204">
        <v>1069</v>
      </c>
    </row>
    <row r="194" spans="1:7" x14ac:dyDescent="0.3">
      <c r="A194" s="323"/>
      <c r="B194" s="95" t="s">
        <v>634</v>
      </c>
      <c r="C194" s="204">
        <v>235</v>
      </c>
      <c r="D194" s="204">
        <v>122</v>
      </c>
      <c r="E194" s="204">
        <v>350</v>
      </c>
      <c r="F194" s="204">
        <v>454</v>
      </c>
      <c r="G194" s="204">
        <v>1160</v>
      </c>
    </row>
    <row r="195" spans="1:7" x14ac:dyDescent="0.3">
      <c r="A195" s="323"/>
      <c r="B195" s="95" t="s">
        <v>636</v>
      </c>
      <c r="C195" s="204">
        <v>36</v>
      </c>
      <c r="D195" s="204">
        <v>34</v>
      </c>
      <c r="E195" s="204">
        <v>80</v>
      </c>
      <c r="F195" s="204" t="s">
        <v>65</v>
      </c>
      <c r="G195" s="204">
        <v>150</v>
      </c>
    </row>
    <row r="196" spans="1:7" x14ac:dyDescent="0.3">
      <c r="A196" s="323"/>
      <c r="B196" s="95" t="s">
        <v>709</v>
      </c>
      <c r="C196" s="204">
        <v>5</v>
      </c>
      <c r="D196" s="204">
        <v>15</v>
      </c>
      <c r="E196" s="204">
        <v>25</v>
      </c>
      <c r="F196" s="204">
        <v>2</v>
      </c>
      <c r="G196" s="204">
        <v>46</v>
      </c>
    </row>
    <row r="197" spans="1:7" x14ac:dyDescent="0.3">
      <c r="A197" s="323"/>
      <c r="B197" s="95" t="s">
        <v>710</v>
      </c>
      <c r="C197" s="204">
        <v>50</v>
      </c>
      <c r="D197" s="204">
        <v>128</v>
      </c>
      <c r="E197" s="204">
        <v>15</v>
      </c>
      <c r="F197" s="204">
        <v>4</v>
      </c>
      <c r="G197" s="204">
        <v>197</v>
      </c>
    </row>
    <row r="198" spans="1:7" x14ac:dyDescent="0.3">
      <c r="A198" s="323"/>
      <c r="B198" s="95" t="s">
        <v>643</v>
      </c>
      <c r="C198" s="204">
        <v>10</v>
      </c>
      <c r="D198" s="204">
        <v>4</v>
      </c>
      <c r="E198" s="204">
        <v>29</v>
      </c>
      <c r="F198" s="204" t="s">
        <v>65</v>
      </c>
      <c r="G198" s="204">
        <v>44</v>
      </c>
    </row>
    <row r="199" spans="1:7" x14ac:dyDescent="0.3">
      <c r="A199" s="323"/>
      <c r="B199" s="95" t="s">
        <v>711</v>
      </c>
      <c r="C199" s="204">
        <v>6</v>
      </c>
      <c r="D199" s="204">
        <v>62</v>
      </c>
      <c r="E199" s="204">
        <v>243</v>
      </c>
      <c r="F199" s="204">
        <v>48</v>
      </c>
      <c r="G199" s="204">
        <v>359</v>
      </c>
    </row>
    <row r="200" spans="1:7" x14ac:dyDescent="0.3">
      <c r="A200" s="323"/>
      <c r="B200" s="95" t="s">
        <v>642</v>
      </c>
      <c r="C200" s="204">
        <v>11</v>
      </c>
      <c r="D200" s="204">
        <v>39</v>
      </c>
      <c r="E200" s="204">
        <v>167</v>
      </c>
      <c r="F200" s="204">
        <v>27</v>
      </c>
      <c r="G200" s="204">
        <v>243</v>
      </c>
    </row>
    <row r="201" spans="1:7" x14ac:dyDescent="0.3">
      <c r="A201" s="323"/>
      <c r="B201" s="95" t="s">
        <v>641</v>
      </c>
      <c r="C201" s="204">
        <v>47</v>
      </c>
      <c r="D201" s="204">
        <v>40</v>
      </c>
      <c r="E201" s="204">
        <v>140</v>
      </c>
      <c r="F201" s="204">
        <v>56</v>
      </c>
      <c r="G201" s="204">
        <v>284</v>
      </c>
    </row>
    <row r="202" spans="1:7" x14ac:dyDescent="0.3">
      <c r="A202" s="323"/>
      <c r="B202" s="95" t="s">
        <v>640</v>
      </c>
      <c r="C202" s="204">
        <v>31</v>
      </c>
      <c r="D202" s="204">
        <v>92</v>
      </c>
      <c r="E202" s="204">
        <v>229</v>
      </c>
      <c r="F202" s="204">
        <v>3</v>
      </c>
      <c r="G202" s="204">
        <v>355</v>
      </c>
    </row>
    <row r="203" spans="1:7" x14ac:dyDescent="0.3">
      <c r="A203" s="323"/>
      <c r="B203" s="95" t="s">
        <v>635</v>
      </c>
      <c r="C203" s="204">
        <v>83</v>
      </c>
      <c r="D203" s="204">
        <v>41</v>
      </c>
      <c r="E203" s="204">
        <v>118</v>
      </c>
      <c r="F203" s="204">
        <v>18</v>
      </c>
      <c r="G203" s="204">
        <v>260</v>
      </c>
    </row>
    <row r="204" spans="1:7" x14ac:dyDescent="0.3">
      <c r="A204" s="323"/>
      <c r="B204" s="95" t="s">
        <v>712</v>
      </c>
      <c r="C204" s="204">
        <v>182</v>
      </c>
      <c r="D204" s="204">
        <v>167</v>
      </c>
      <c r="E204" s="204">
        <v>865</v>
      </c>
      <c r="F204" s="204">
        <v>46</v>
      </c>
      <c r="G204" s="204">
        <v>1260</v>
      </c>
    </row>
    <row r="205" spans="1:7" x14ac:dyDescent="0.3">
      <c r="A205" s="323"/>
      <c r="B205" s="95" t="s">
        <v>637</v>
      </c>
      <c r="C205" s="204">
        <v>199</v>
      </c>
      <c r="D205" s="204">
        <v>105</v>
      </c>
      <c r="E205" s="204">
        <v>584</v>
      </c>
      <c r="F205" s="204">
        <v>7</v>
      </c>
      <c r="G205" s="204">
        <v>895</v>
      </c>
    </row>
    <row r="206" spans="1:7" x14ac:dyDescent="0.3">
      <c r="A206" s="323"/>
      <c r="B206" s="95" t="s">
        <v>638</v>
      </c>
      <c r="C206" s="204">
        <v>150</v>
      </c>
      <c r="D206" s="204">
        <v>340</v>
      </c>
      <c r="E206" s="204">
        <v>58</v>
      </c>
      <c r="F206" s="204">
        <v>83</v>
      </c>
      <c r="G206" s="204">
        <v>631</v>
      </c>
    </row>
    <row r="207" spans="1:7" x14ac:dyDescent="0.3">
      <c r="A207" s="323"/>
      <c r="B207" s="95" t="s">
        <v>639</v>
      </c>
      <c r="C207" s="204">
        <v>86</v>
      </c>
      <c r="D207" s="204">
        <v>101</v>
      </c>
      <c r="E207" s="204">
        <v>125</v>
      </c>
      <c r="F207" s="204">
        <v>33</v>
      </c>
      <c r="G207" s="204">
        <v>345</v>
      </c>
    </row>
    <row r="208" spans="1:7" x14ac:dyDescent="0.3">
      <c r="A208" s="323"/>
      <c r="B208" s="95" t="s">
        <v>644</v>
      </c>
      <c r="C208" s="204">
        <v>58</v>
      </c>
      <c r="D208" s="204">
        <v>49</v>
      </c>
      <c r="E208" s="204">
        <v>83</v>
      </c>
      <c r="F208" s="204">
        <v>329</v>
      </c>
      <c r="G208" s="204">
        <v>518</v>
      </c>
    </row>
    <row r="209" spans="1:7" x14ac:dyDescent="0.3">
      <c r="A209" s="308"/>
      <c r="B209" s="97" t="s">
        <v>86</v>
      </c>
      <c r="C209" s="207">
        <v>1382</v>
      </c>
      <c r="D209" s="207">
        <v>1632</v>
      </c>
      <c r="E209" s="207">
        <v>3610</v>
      </c>
      <c r="F209" s="207">
        <v>1194</v>
      </c>
      <c r="G209" s="207">
        <v>7818</v>
      </c>
    </row>
    <row r="210" spans="1:7" x14ac:dyDescent="0.3">
      <c r="A210" s="307" t="s">
        <v>155</v>
      </c>
      <c r="B210" s="95" t="s">
        <v>651</v>
      </c>
      <c r="C210" s="204">
        <v>160</v>
      </c>
      <c r="D210" s="204">
        <v>84</v>
      </c>
      <c r="E210" s="204">
        <v>524</v>
      </c>
      <c r="F210" s="204">
        <v>8</v>
      </c>
      <c r="G210" s="204">
        <v>775</v>
      </c>
    </row>
    <row r="211" spans="1:7" x14ac:dyDescent="0.3">
      <c r="A211" s="323"/>
      <c r="B211" s="95" t="s">
        <v>713</v>
      </c>
      <c r="C211" s="204">
        <v>364</v>
      </c>
      <c r="D211" s="204">
        <v>102</v>
      </c>
      <c r="E211" s="204">
        <v>783</v>
      </c>
      <c r="F211" s="204">
        <v>26</v>
      </c>
      <c r="G211" s="204">
        <v>1275</v>
      </c>
    </row>
    <row r="212" spans="1:7" x14ac:dyDescent="0.3">
      <c r="A212" s="323"/>
      <c r="B212" s="95" t="s">
        <v>645</v>
      </c>
      <c r="C212" s="204">
        <v>107</v>
      </c>
      <c r="D212" s="204">
        <v>66</v>
      </c>
      <c r="E212" s="204">
        <v>244</v>
      </c>
      <c r="F212" s="204">
        <v>16</v>
      </c>
      <c r="G212" s="204">
        <v>433</v>
      </c>
    </row>
    <row r="213" spans="1:7" x14ac:dyDescent="0.3">
      <c r="A213" s="323"/>
      <c r="B213" s="95" t="s">
        <v>714</v>
      </c>
      <c r="C213" s="204">
        <v>71</v>
      </c>
      <c r="D213" s="204">
        <v>13</v>
      </c>
      <c r="E213" s="204">
        <v>78</v>
      </c>
      <c r="F213" s="204">
        <v>480</v>
      </c>
      <c r="G213" s="204">
        <v>641</v>
      </c>
    </row>
    <row r="214" spans="1:7" x14ac:dyDescent="0.3">
      <c r="A214" s="323"/>
      <c r="B214" s="95" t="s">
        <v>646</v>
      </c>
      <c r="C214" s="204">
        <v>48</v>
      </c>
      <c r="D214" s="204">
        <v>54</v>
      </c>
      <c r="E214" s="204">
        <v>764</v>
      </c>
      <c r="F214" s="204">
        <v>108</v>
      </c>
      <c r="G214" s="204">
        <v>974</v>
      </c>
    </row>
    <row r="215" spans="1:7" x14ac:dyDescent="0.3">
      <c r="A215" s="323"/>
      <c r="B215" s="95" t="s">
        <v>650</v>
      </c>
      <c r="C215" s="204">
        <v>9</v>
      </c>
      <c r="D215" s="204">
        <v>196</v>
      </c>
      <c r="E215" s="204">
        <v>373</v>
      </c>
      <c r="F215" s="204">
        <v>64</v>
      </c>
      <c r="G215" s="204">
        <v>642</v>
      </c>
    </row>
    <row r="216" spans="1:7" x14ac:dyDescent="0.3">
      <c r="A216" s="323"/>
      <c r="B216" s="95" t="s">
        <v>649</v>
      </c>
      <c r="C216" s="204">
        <v>86</v>
      </c>
      <c r="D216" s="204">
        <v>111</v>
      </c>
      <c r="E216" s="204">
        <v>81</v>
      </c>
      <c r="F216" s="204">
        <v>12</v>
      </c>
      <c r="G216" s="204">
        <v>289</v>
      </c>
    </row>
    <row r="217" spans="1:7" x14ac:dyDescent="0.3">
      <c r="A217" s="323"/>
      <c r="B217" s="95" t="s">
        <v>715</v>
      </c>
      <c r="C217" s="204">
        <v>200</v>
      </c>
      <c r="D217" s="204">
        <v>76</v>
      </c>
      <c r="E217" s="204">
        <v>438</v>
      </c>
      <c r="F217" s="204">
        <v>379</v>
      </c>
      <c r="G217" s="204">
        <v>1094</v>
      </c>
    </row>
    <row r="218" spans="1:7" x14ac:dyDescent="0.3">
      <c r="A218" s="323"/>
      <c r="B218" s="95" t="s">
        <v>716</v>
      </c>
      <c r="C218" s="204">
        <v>221</v>
      </c>
      <c r="D218" s="204">
        <v>51</v>
      </c>
      <c r="E218" s="204">
        <v>472</v>
      </c>
      <c r="F218" s="204">
        <v>204</v>
      </c>
      <c r="G218" s="204">
        <v>947</v>
      </c>
    </row>
    <row r="219" spans="1:7" x14ac:dyDescent="0.3">
      <c r="A219" s="323"/>
      <c r="B219" s="95" t="s">
        <v>647</v>
      </c>
      <c r="C219" s="204">
        <v>51</v>
      </c>
      <c r="D219" s="204">
        <v>80</v>
      </c>
      <c r="E219" s="204">
        <v>569</v>
      </c>
      <c r="F219" s="204">
        <v>363</v>
      </c>
      <c r="G219" s="204">
        <v>1063</v>
      </c>
    </row>
    <row r="220" spans="1:7" x14ac:dyDescent="0.3">
      <c r="A220" s="323"/>
      <c r="B220" s="95" t="s">
        <v>648</v>
      </c>
      <c r="C220" s="204">
        <v>8</v>
      </c>
      <c r="D220" s="204">
        <v>33</v>
      </c>
      <c r="E220" s="204">
        <v>335</v>
      </c>
      <c r="F220" s="204">
        <v>8</v>
      </c>
      <c r="G220" s="204">
        <v>385</v>
      </c>
    </row>
    <row r="221" spans="1:7" x14ac:dyDescent="0.3">
      <c r="A221" s="323"/>
      <c r="B221" s="95" t="s">
        <v>717</v>
      </c>
      <c r="C221" s="204">
        <v>12</v>
      </c>
      <c r="D221" s="204">
        <v>165</v>
      </c>
      <c r="E221" s="204">
        <v>156</v>
      </c>
      <c r="F221" s="204">
        <v>1</v>
      </c>
      <c r="G221" s="204">
        <v>334</v>
      </c>
    </row>
    <row r="222" spans="1:7" x14ac:dyDescent="0.3">
      <c r="A222" s="323"/>
      <c r="B222" s="95" t="s">
        <v>652</v>
      </c>
      <c r="C222" s="204">
        <v>111</v>
      </c>
      <c r="D222" s="204">
        <v>17</v>
      </c>
      <c r="E222" s="204">
        <v>285</v>
      </c>
      <c r="F222" s="204">
        <v>1905</v>
      </c>
      <c r="G222" s="204">
        <v>2318</v>
      </c>
    </row>
    <row r="223" spans="1:7" x14ac:dyDescent="0.3">
      <c r="A223" s="308"/>
      <c r="B223" s="97" t="s">
        <v>86</v>
      </c>
      <c r="C223" s="207">
        <v>1448</v>
      </c>
      <c r="D223" s="207">
        <v>1048</v>
      </c>
      <c r="E223" s="207">
        <v>5101</v>
      </c>
      <c r="F223" s="207">
        <v>3573</v>
      </c>
      <c r="G223" s="207">
        <v>11170</v>
      </c>
    </row>
    <row r="224" spans="1:7" x14ac:dyDescent="0.3">
      <c r="A224" s="307" t="s">
        <v>653</v>
      </c>
      <c r="B224" s="95" t="s">
        <v>657</v>
      </c>
      <c r="C224" s="204">
        <v>266</v>
      </c>
      <c r="D224" s="204">
        <v>85</v>
      </c>
      <c r="E224" s="204">
        <v>93</v>
      </c>
      <c r="F224" s="204">
        <v>2</v>
      </c>
      <c r="G224" s="204">
        <v>445</v>
      </c>
    </row>
    <row r="225" spans="1:7" x14ac:dyDescent="0.3">
      <c r="A225" s="323"/>
      <c r="B225" s="95" t="s">
        <v>654</v>
      </c>
      <c r="C225" s="204">
        <v>206</v>
      </c>
      <c r="D225" s="204">
        <v>18</v>
      </c>
      <c r="E225" s="204">
        <v>12</v>
      </c>
      <c r="F225" s="204">
        <v>2</v>
      </c>
      <c r="G225" s="204">
        <v>238</v>
      </c>
    </row>
    <row r="226" spans="1:7" x14ac:dyDescent="0.3">
      <c r="A226" s="323"/>
      <c r="B226" s="95" t="s">
        <v>656</v>
      </c>
      <c r="C226" s="204">
        <v>157</v>
      </c>
      <c r="D226" s="204">
        <v>36</v>
      </c>
      <c r="E226" s="204">
        <v>87</v>
      </c>
      <c r="F226" s="204">
        <v>22</v>
      </c>
      <c r="G226" s="204">
        <v>302</v>
      </c>
    </row>
    <row r="227" spans="1:7" x14ac:dyDescent="0.3">
      <c r="A227" s="323"/>
      <c r="B227" s="95" t="s">
        <v>655</v>
      </c>
      <c r="C227" s="204">
        <v>257</v>
      </c>
      <c r="D227" s="204">
        <v>12</v>
      </c>
      <c r="E227" s="204">
        <v>69</v>
      </c>
      <c r="F227" s="204">
        <v>20</v>
      </c>
      <c r="G227" s="204">
        <v>357</v>
      </c>
    </row>
    <row r="228" spans="1:7" x14ac:dyDescent="0.3">
      <c r="A228" s="323"/>
      <c r="B228" s="95" t="s">
        <v>658</v>
      </c>
      <c r="C228" s="204">
        <v>423</v>
      </c>
      <c r="D228" s="204">
        <v>2</v>
      </c>
      <c r="E228" s="204">
        <v>10</v>
      </c>
      <c r="F228" s="204">
        <v>74</v>
      </c>
      <c r="G228" s="204">
        <v>508</v>
      </c>
    </row>
    <row r="229" spans="1:7" x14ac:dyDescent="0.3">
      <c r="A229" s="308"/>
      <c r="B229" s="97" t="s">
        <v>86</v>
      </c>
      <c r="C229" s="207">
        <v>1309</v>
      </c>
      <c r="D229" s="207">
        <v>153</v>
      </c>
      <c r="E229" s="207">
        <v>270</v>
      </c>
      <c r="F229" s="207">
        <v>118</v>
      </c>
      <c r="G229" s="207">
        <v>1850</v>
      </c>
    </row>
    <row r="230" spans="1:7" x14ac:dyDescent="0.3">
      <c r="A230" s="307" t="s">
        <v>772</v>
      </c>
      <c r="B230" s="95" t="s">
        <v>660</v>
      </c>
      <c r="C230" s="204">
        <v>26</v>
      </c>
      <c r="D230" s="204">
        <v>15</v>
      </c>
      <c r="E230" s="204">
        <v>45</v>
      </c>
      <c r="F230" s="204">
        <v>0</v>
      </c>
      <c r="G230" s="204">
        <v>86</v>
      </c>
    </row>
    <row r="231" spans="1:7" x14ac:dyDescent="0.3">
      <c r="A231" s="323"/>
      <c r="B231" s="95" t="s">
        <v>659</v>
      </c>
      <c r="C231" s="204">
        <v>52</v>
      </c>
      <c r="D231" s="204">
        <v>18</v>
      </c>
      <c r="E231" s="204">
        <v>37</v>
      </c>
      <c r="F231" s="204">
        <v>2</v>
      </c>
      <c r="G231" s="204">
        <v>108</v>
      </c>
    </row>
    <row r="232" spans="1:7" x14ac:dyDescent="0.3">
      <c r="A232" s="323"/>
      <c r="B232" s="95" t="s">
        <v>661</v>
      </c>
      <c r="C232" s="204">
        <v>14</v>
      </c>
      <c r="D232" s="204">
        <v>3</v>
      </c>
      <c r="E232" s="204">
        <v>11</v>
      </c>
      <c r="F232" s="204">
        <v>1</v>
      </c>
      <c r="G232" s="204">
        <v>29</v>
      </c>
    </row>
    <row r="233" spans="1:7" x14ac:dyDescent="0.3">
      <c r="A233" s="308"/>
      <c r="B233" s="97" t="s">
        <v>86</v>
      </c>
      <c r="C233" s="207">
        <v>92</v>
      </c>
      <c r="D233" s="207">
        <v>35</v>
      </c>
      <c r="E233" s="207">
        <v>93</v>
      </c>
      <c r="F233" s="207">
        <v>3</v>
      </c>
      <c r="G233" s="207">
        <v>223</v>
      </c>
    </row>
    <row r="234" spans="1:7" x14ac:dyDescent="0.3">
      <c r="A234" s="307" t="s">
        <v>151</v>
      </c>
      <c r="B234" s="95" t="s">
        <v>662</v>
      </c>
      <c r="C234" s="204">
        <v>4</v>
      </c>
      <c r="D234" s="204" t="s">
        <v>65</v>
      </c>
      <c r="E234" s="204">
        <v>1</v>
      </c>
      <c r="F234" s="204">
        <v>22</v>
      </c>
      <c r="G234" s="204">
        <v>26</v>
      </c>
    </row>
    <row r="235" spans="1:7" ht="16.5" customHeight="1" x14ac:dyDescent="0.3">
      <c r="A235" s="323"/>
      <c r="B235" s="95" t="s">
        <v>718</v>
      </c>
      <c r="C235" s="204">
        <v>137</v>
      </c>
      <c r="D235" s="204">
        <v>163</v>
      </c>
      <c r="E235" s="204">
        <v>240</v>
      </c>
      <c r="F235" s="204">
        <v>3337</v>
      </c>
      <c r="G235" s="204">
        <v>3877</v>
      </c>
    </row>
    <row r="236" spans="1:7" x14ac:dyDescent="0.3">
      <c r="A236" s="323"/>
      <c r="B236" s="95" t="s">
        <v>719</v>
      </c>
      <c r="C236" s="204">
        <v>0</v>
      </c>
      <c r="D236" s="204" t="s">
        <v>65</v>
      </c>
      <c r="E236" s="204" t="s">
        <v>65</v>
      </c>
      <c r="F236" s="204" t="s">
        <v>65</v>
      </c>
      <c r="G236" s="204">
        <v>0</v>
      </c>
    </row>
    <row r="237" spans="1:7" x14ac:dyDescent="0.3">
      <c r="A237" s="323"/>
      <c r="B237" s="95" t="s">
        <v>721</v>
      </c>
      <c r="C237" s="204">
        <v>5</v>
      </c>
      <c r="D237" s="204">
        <v>0</v>
      </c>
      <c r="E237" s="204">
        <v>2</v>
      </c>
      <c r="F237" s="204">
        <v>0</v>
      </c>
      <c r="G237" s="204">
        <v>7</v>
      </c>
    </row>
    <row r="238" spans="1:7" x14ac:dyDescent="0.3">
      <c r="A238" s="323"/>
      <c r="B238" s="95" t="s">
        <v>663</v>
      </c>
      <c r="C238" s="204">
        <v>90</v>
      </c>
      <c r="D238" s="204">
        <v>62</v>
      </c>
      <c r="E238" s="204">
        <v>112</v>
      </c>
      <c r="F238" s="204">
        <v>56</v>
      </c>
      <c r="G238" s="204">
        <v>320</v>
      </c>
    </row>
    <row r="239" spans="1:7" ht="16.5" customHeight="1" x14ac:dyDescent="0.3">
      <c r="A239" s="323"/>
      <c r="B239" s="95" t="s">
        <v>720</v>
      </c>
      <c r="C239" s="204">
        <v>368</v>
      </c>
      <c r="D239" s="204">
        <v>229</v>
      </c>
      <c r="E239" s="204">
        <v>1206</v>
      </c>
      <c r="F239" s="204">
        <v>16160</v>
      </c>
      <c r="G239" s="204">
        <v>17962</v>
      </c>
    </row>
    <row r="240" spans="1:7" x14ac:dyDescent="0.3">
      <c r="A240" s="308"/>
      <c r="B240" s="97" t="s">
        <v>86</v>
      </c>
      <c r="C240" s="207">
        <v>603</v>
      </c>
      <c r="D240" s="207">
        <v>455</v>
      </c>
      <c r="E240" s="207">
        <v>1560</v>
      </c>
      <c r="F240" s="207">
        <v>19575</v>
      </c>
      <c r="G240" s="207">
        <v>22193</v>
      </c>
    </row>
    <row r="241" spans="1:7" x14ac:dyDescent="0.3">
      <c r="A241" s="307" t="s">
        <v>773</v>
      </c>
      <c r="B241" s="95" t="s">
        <v>723</v>
      </c>
      <c r="C241" s="204">
        <v>0</v>
      </c>
      <c r="D241" s="204" t="s">
        <v>65</v>
      </c>
      <c r="E241" s="204" t="s">
        <v>65</v>
      </c>
      <c r="F241" s="204" t="s">
        <v>65</v>
      </c>
      <c r="G241" s="204">
        <v>0</v>
      </c>
    </row>
    <row r="242" spans="1:7" x14ac:dyDescent="0.3">
      <c r="A242" s="323"/>
      <c r="B242" s="95" t="s">
        <v>724</v>
      </c>
      <c r="C242" s="204">
        <v>4</v>
      </c>
      <c r="D242" s="204" t="s">
        <v>65</v>
      </c>
      <c r="E242" s="204" t="s">
        <v>65</v>
      </c>
      <c r="F242" s="204">
        <v>0</v>
      </c>
      <c r="G242" s="204">
        <v>4</v>
      </c>
    </row>
    <row r="243" spans="1:7" x14ac:dyDescent="0.3">
      <c r="A243" s="323"/>
      <c r="B243" s="95" t="s">
        <v>725</v>
      </c>
      <c r="C243" s="204">
        <v>0</v>
      </c>
      <c r="D243" s="204" t="s">
        <v>65</v>
      </c>
      <c r="E243" s="204" t="s">
        <v>65</v>
      </c>
      <c r="F243" s="204" t="s">
        <v>65</v>
      </c>
      <c r="G243" s="204">
        <v>0</v>
      </c>
    </row>
    <row r="244" spans="1:7" x14ac:dyDescent="0.3">
      <c r="A244" s="323"/>
      <c r="B244" s="95" t="s">
        <v>726</v>
      </c>
      <c r="C244" s="204">
        <v>6</v>
      </c>
      <c r="D244" s="204">
        <v>1</v>
      </c>
      <c r="E244" s="204">
        <v>0</v>
      </c>
      <c r="F244" s="204">
        <v>1</v>
      </c>
      <c r="G244" s="204">
        <v>8</v>
      </c>
    </row>
    <row r="245" spans="1:7" x14ac:dyDescent="0.3">
      <c r="A245" s="323"/>
      <c r="B245" s="95" t="s">
        <v>727</v>
      </c>
      <c r="C245" s="204">
        <v>88</v>
      </c>
      <c r="D245" s="204">
        <v>10</v>
      </c>
      <c r="E245" s="204" t="s">
        <v>65</v>
      </c>
      <c r="F245" s="204">
        <v>13</v>
      </c>
      <c r="G245" s="204">
        <v>110</v>
      </c>
    </row>
    <row r="246" spans="1:7" x14ac:dyDescent="0.3">
      <c r="A246" s="323"/>
      <c r="B246" s="95" t="s">
        <v>728</v>
      </c>
      <c r="C246" s="204">
        <v>5</v>
      </c>
      <c r="D246" s="204">
        <v>0</v>
      </c>
      <c r="E246" s="204" t="s">
        <v>65</v>
      </c>
      <c r="F246" s="204">
        <v>0</v>
      </c>
      <c r="G246" s="204">
        <v>5</v>
      </c>
    </row>
    <row r="247" spans="1:7" x14ac:dyDescent="0.3">
      <c r="A247" s="323"/>
      <c r="B247" s="95" t="s">
        <v>729</v>
      </c>
      <c r="C247" s="204">
        <v>2</v>
      </c>
      <c r="D247" s="204">
        <v>1</v>
      </c>
      <c r="E247" s="204" t="s">
        <v>65</v>
      </c>
      <c r="F247" s="204" t="s">
        <v>65</v>
      </c>
      <c r="G247" s="204">
        <v>3</v>
      </c>
    </row>
    <row r="248" spans="1:7" x14ac:dyDescent="0.3">
      <c r="A248" s="323"/>
      <c r="B248" s="95" t="s">
        <v>730</v>
      </c>
      <c r="C248" s="204">
        <v>0</v>
      </c>
      <c r="D248" s="204" t="s">
        <v>65</v>
      </c>
      <c r="E248" s="204" t="s">
        <v>65</v>
      </c>
      <c r="F248" s="204" t="s">
        <v>65</v>
      </c>
      <c r="G248" s="204">
        <v>0</v>
      </c>
    </row>
    <row r="249" spans="1:7" x14ac:dyDescent="0.3">
      <c r="A249" s="323"/>
      <c r="B249" s="95" t="s">
        <v>731</v>
      </c>
      <c r="C249" s="204">
        <v>2</v>
      </c>
      <c r="D249" s="204" t="s">
        <v>65</v>
      </c>
      <c r="E249" s="204" t="s">
        <v>65</v>
      </c>
      <c r="F249" s="204" t="s">
        <v>65</v>
      </c>
      <c r="G249" s="204">
        <v>2</v>
      </c>
    </row>
    <row r="250" spans="1:7" x14ac:dyDescent="0.3">
      <c r="A250" s="323"/>
      <c r="B250" s="95" t="s">
        <v>732</v>
      </c>
      <c r="C250" s="204">
        <v>4</v>
      </c>
      <c r="D250" s="204">
        <v>1</v>
      </c>
      <c r="E250" s="204" t="s">
        <v>65</v>
      </c>
      <c r="F250" s="204">
        <v>3</v>
      </c>
      <c r="G250" s="204">
        <v>9</v>
      </c>
    </row>
    <row r="251" spans="1:7" x14ac:dyDescent="0.3">
      <c r="A251" s="323"/>
      <c r="B251" s="95" t="s">
        <v>733</v>
      </c>
      <c r="C251" s="204">
        <v>1</v>
      </c>
      <c r="D251" s="204" t="s">
        <v>65</v>
      </c>
      <c r="E251" s="204">
        <v>1</v>
      </c>
      <c r="F251" s="204" t="s">
        <v>65</v>
      </c>
      <c r="G251" s="204">
        <v>2</v>
      </c>
    </row>
    <row r="252" spans="1:7" x14ac:dyDescent="0.3">
      <c r="A252" s="323"/>
      <c r="B252" s="95" t="s">
        <v>734</v>
      </c>
      <c r="C252" s="204">
        <v>10</v>
      </c>
      <c r="D252" s="204">
        <v>0</v>
      </c>
      <c r="E252" s="204" t="s">
        <v>65</v>
      </c>
      <c r="F252" s="204">
        <v>9</v>
      </c>
      <c r="G252" s="204">
        <v>20</v>
      </c>
    </row>
    <row r="253" spans="1:7" x14ac:dyDescent="0.3">
      <c r="A253" s="323"/>
      <c r="B253" s="95" t="s">
        <v>722</v>
      </c>
      <c r="C253" s="204">
        <v>2</v>
      </c>
      <c r="D253" s="204" t="s">
        <v>65</v>
      </c>
      <c r="E253" s="204">
        <v>1</v>
      </c>
      <c r="F253" s="204">
        <v>5</v>
      </c>
      <c r="G253" s="204">
        <v>7</v>
      </c>
    </row>
    <row r="254" spans="1:7" x14ac:dyDescent="0.3">
      <c r="A254" s="308"/>
      <c r="B254" s="97" t="s">
        <v>86</v>
      </c>
      <c r="C254" s="207">
        <v>125</v>
      </c>
      <c r="D254" s="207">
        <v>13</v>
      </c>
      <c r="E254" s="207">
        <v>2</v>
      </c>
      <c r="F254" s="207">
        <v>31</v>
      </c>
      <c r="G254" s="207">
        <v>172</v>
      </c>
    </row>
    <row r="255" spans="1:7" x14ac:dyDescent="0.3">
      <c r="A255" s="307" t="s">
        <v>774</v>
      </c>
      <c r="B255" s="95" t="s">
        <v>735</v>
      </c>
      <c r="C255" s="204">
        <v>51</v>
      </c>
      <c r="D255" s="204">
        <v>46</v>
      </c>
      <c r="E255" s="204">
        <v>210</v>
      </c>
      <c r="F255" s="204">
        <v>7233</v>
      </c>
      <c r="G255" s="204">
        <v>7538</v>
      </c>
    </row>
    <row r="256" spans="1:7" x14ac:dyDescent="0.3">
      <c r="A256" s="323"/>
      <c r="B256" s="95" t="s">
        <v>736</v>
      </c>
      <c r="C256" s="204">
        <v>15</v>
      </c>
      <c r="D256" s="204">
        <v>12</v>
      </c>
      <c r="E256" s="204">
        <v>20</v>
      </c>
      <c r="F256" s="204">
        <v>250</v>
      </c>
      <c r="G256" s="204">
        <v>296</v>
      </c>
    </row>
    <row r="257" spans="1:7" x14ac:dyDescent="0.3">
      <c r="A257" s="323"/>
      <c r="B257" s="95" t="s">
        <v>737</v>
      </c>
      <c r="C257" s="204">
        <v>4</v>
      </c>
      <c r="D257" s="204">
        <v>6</v>
      </c>
      <c r="E257" s="204">
        <v>18</v>
      </c>
      <c r="F257" s="204">
        <v>19</v>
      </c>
      <c r="G257" s="204">
        <v>48</v>
      </c>
    </row>
    <row r="258" spans="1:7" x14ac:dyDescent="0.3">
      <c r="A258" s="323"/>
      <c r="B258" s="95" t="s">
        <v>738</v>
      </c>
      <c r="C258" s="204">
        <v>54</v>
      </c>
      <c r="D258" s="204">
        <v>23</v>
      </c>
      <c r="E258" s="204">
        <v>55</v>
      </c>
      <c r="F258" s="204">
        <v>761</v>
      </c>
      <c r="G258" s="204">
        <v>894</v>
      </c>
    </row>
    <row r="259" spans="1:7" x14ac:dyDescent="0.3">
      <c r="A259" s="323"/>
      <c r="B259" s="95" t="s">
        <v>739</v>
      </c>
      <c r="C259" s="204">
        <v>9</v>
      </c>
      <c r="D259" s="204">
        <v>15</v>
      </c>
      <c r="E259" s="204">
        <v>11</v>
      </c>
      <c r="F259" s="204">
        <v>10</v>
      </c>
      <c r="G259" s="204">
        <v>44</v>
      </c>
    </row>
    <row r="260" spans="1:7" x14ac:dyDescent="0.3">
      <c r="A260" s="323"/>
      <c r="B260" s="95" t="s">
        <v>740</v>
      </c>
      <c r="C260" s="204" t="s">
        <v>65</v>
      </c>
      <c r="D260" s="204" t="s">
        <v>65</v>
      </c>
      <c r="E260" s="204">
        <v>1</v>
      </c>
      <c r="F260" s="204">
        <v>572</v>
      </c>
      <c r="G260" s="204">
        <v>573</v>
      </c>
    </row>
    <row r="261" spans="1:7" x14ac:dyDescent="0.3">
      <c r="A261" s="323"/>
      <c r="B261" s="95" t="s">
        <v>742</v>
      </c>
      <c r="C261" s="204">
        <v>2</v>
      </c>
      <c r="D261" s="204" t="s">
        <v>65</v>
      </c>
      <c r="E261" s="204" t="s">
        <v>65</v>
      </c>
      <c r="F261" s="204" t="s">
        <v>65</v>
      </c>
      <c r="G261" s="204">
        <v>2</v>
      </c>
    </row>
    <row r="262" spans="1:7" x14ac:dyDescent="0.3">
      <c r="A262" s="323"/>
      <c r="B262" s="95" t="s">
        <v>743</v>
      </c>
      <c r="C262" s="204">
        <v>1</v>
      </c>
      <c r="D262" s="204">
        <v>0</v>
      </c>
      <c r="E262" s="204" t="s">
        <v>65</v>
      </c>
      <c r="F262" s="204">
        <v>5</v>
      </c>
      <c r="G262" s="204">
        <v>6</v>
      </c>
    </row>
    <row r="263" spans="1:7" x14ac:dyDescent="0.3">
      <c r="A263" s="323"/>
      <c r="B263" s="95" t="s">
        <v>744</v>
      </c>
      <c r="C263" s="204">
        <v>33</v>
      </c>
      <c r="D263" s="204">
        <v>33</v>
      </c>
      <c r="E263" s="204">
        <v>17</v>
      </c>
      <c r="F263" s="204">
        <v>32</v>
      </c>
      <c r="G263" s="204">
        <v>115</v>
      </c>
    </row>
    <row r="264" spans="1:7" x14ac:dyDescent="0.3">
      <c r="A264" s="323"/>
      <c r="B264" s="95" t="s">
        <v>745</v>
      </c>
      <c r="C264" s="204">
        <v>32</v>
      </c>
      <c r="D264" s="204">
        <v>3</v>
      </c>
      <c r="E264" s="204">
        <v>6</v>
      </c>
      <c r="F264" s="204">
        <v>12</v>
      </c>
      <c r="G264" s="204">
        <v>53</v>
      </c>
    </row>
    <row r="265" spans="1:7" x14ac:dyDescent="0.3">
      <c r="A265" s="323"/>
      <c r="B265" s="95" t="s">
        <v>746</v>
      </c>
      <c r="C265" s="204">
        <v>17</v>
      </c>
      <c r="D265" s="204">
        <v>7</v>
      </c>
      <c r="E265" s="204">
        <v>26</v>
      </c>
      <c r="F265" s="204">
        <v>23</v>
      </c>
      <c r="G265" s="204">
        <v>73</v>
      </c>
    </row>
    <row r="266" spans="1:7" x14ac:dyDescent="0.3">
      <c r="A266" s="323"/>
      <c r="B266" s="95" t="s">
        <v>747</v>
      </c>
      <c r="C266" s="204">
        <v>19</v>
      </c>
      <c r="D266" s="204">
        <v>10</v>
      </c>
      <c r="E266" s="204">
        <v>7</v>
      </c>
      <c r="F266" s="204">
        <v>29</v>
      </c>
      <c r="G266" s="204">
        <v>64</v>
      </c>
    </row>
    <row r="267" spans="1:7" x14ac:dyDescent="0.3">
      <c r="A267" s="323"/>
      <c r="B267" s="95" t="s">
        <v>748</v>
      </c>
      <c r="C267" s="204">
        <v>16</v>
      </c>
      <c r="D267" s="204">
        <v>5</v>
      </c>
      <c r="E267" s="204">
        <v>25</v>
      </c>
      <c r="F267" s="204">
        <v>5</v>
      </c>
      <c r="G267" s="204">
        <v>51</v>
      </c>
    </row>
    <row r="268" spans="1:7" x14ac:dyDescent="0.3">
      <c r="A268" s="323"/>
      <c r="B268" s="95" t="s">
        <v>749</v>
      </c>
      <c r="C268" s="204">
        <v>2</v>
      </c>
      <c r="D268" s="204">
        <v>15</v>
      </c>
      <c r="E268" s="204">
        <v>11</v>
      </c>
      <c r="F268" s="204">
        <v>6</v>
      </c>
      <c r="G268" s="204">
        <v>34</v>
      </c>
    </row>
    <row r="269" spans="1:7" x14ac:dyDescent="0.3">
      <c r="A269" s="323"/>
      <c r="B269" s="95" t="s">
        <v>750</v>
      </c>
      <c r="C269" s="204">
        <v>33</v>
      </c>
      <c r="D269" s="204">
        <v>11</v>
      </c>
      <c r="E269" s="204">
        <v>26</v>
      </c>
      <c r="F269" s="204">
        <v>2</v>
      </c>
      <c r="G269" s="204">
        <v>72</v>
      </c>
    </row>
    <row r="270" spans="1:7" x14ac:dyDescent="0.3">
      <c r="A270" s="323"/>
      <c r="B270" s="95" t="s">
        <v>751</v>
      </c>
      <c r="C270" s="204">
        <v>0</v>
      </c>
      <c r="D270" s="204" t="s">
        <v>65</v>
      </c>
      <c r="E270" s="204" t="s">
        <v>65</v>
      </c>
      <c r="F270" s="204" t="s">
        <v>65</v>
      </c>
      <c r="G270" s="204">
        <v>0</v>
      </c>
    </row>
    <row r="271" spans="1:7" x14ac:dyDescent="0.3">
      <c r="A271" s="323"/>
      <c r="B271" s="95" t="s">
        <v>752</v>
      </c>
      <c r="C271" s="204">
        <v>3</v>
      </c>
      <c r="D271" s="204">
        <v>0</v>
      </c>
      <c r="E271" s="204">
        <v>6</v>
      </c>
      <c r="F271" s="204">
        <v>4</v>
      </c>
      <c r="G271" s="204">
        <v>14</v>
      </c>
    </row>
    <row r="272" spans="1:7" x14ac:dyDescent="0.3">
      <c r="A272" s="323"/>
      <c r="B272" s="95" t="s">
        <v>753</v>
      </c>
      <c r="C272" s="204">
        <v>2</v>
      </c>
      <c r="D272" s="204">
        <v>3</v>
      </c>
      <c r="E272" s="204">
        <v>3</v>
      </c>
      <c r="F272" s="204">
        <v>41</v>
      </c>
      <c r="G272" s="204">
        <v>48</v>
      </c>
    </row>
    <row r="273" spans="1:7" x14ac:dyDescent="0.3">
      <c r="A273" s="323"/>
      <c r="B273" s="95" t="s">
        <v>754</v>
      </c>
      <c r="C273" s="204">
        <v>11</v>
      </c>
      <c r="D273" s="204">
        <v>5</v>
      </c>
      <c r="E273" s="204">
        <v>8</v>
      </c>
      <c r="F273" s="204">
        <v>1</v>
      </c>
      <c r="G273" s="204">
        <v>25</v>
      </c>
    </row>
    <row r="274" spans="1:7" x14ac:dyDescent="0.3">
      <c r="A274" s="323"/>
      <c r="B274" s="95" t="s">
        <v>755</v>
      </c>
      <c r="C274" s="204">
        <v>1</v>
      </c>
      <c r="D274" s="204" t="s">
        <v>65</v>
      </c>
      <c r="E274" s="204" t="s">
        <v>65</v>
      </c>
      <c r="F274" s="204">
        <v>18</v>
      </c>
      <c r="G274" s="204">
        <v>19</v>
      </c>
    </row>
    <row r="275" spans="1:7" x14ac:dyDescent="0.3">
      <c r="A275" s="323"/>
      <c r="B275" s="95" t="s">
        <v>756</v>
      </c>
      <c r="C275" s="204">
        <v>58</v>
      </c>
      <c r="D275" s="204">
        <v>16</v>
      </c>
      <c r="E275" s="204">
        <v>49</v>
      </c>
      <c r="F275" s="204">
        <v>762</v>
      </c>
      <c r="G275" s="204">
        <v>884</v>
      </c>
    </row>
    <row r="276" spans="1:7" x14ac:dyDescent="0.3">
      <c r="A276" s="323"/>
      <c r="B276" s="95" t="s">
        <v>757</v>
      </c>
      <c r="C276" s="204" t="s">
        <v>65</v>
      </c>
      <c r="D276" s="204">
        <v>0</v>
      </c>
      <c r="E276" s="204">
        <v>0</v>
      </c>
      <c r="F276" s="204">
        <v>3</v>
      </c>
      <c r="G276" s="204">
        <v>3</v>
      </c>
    </row>
    <row r="277" spans="1:7" x14ac:dyDescent="0.3">
      <c r="A277" s="323"/>
      <c r="B277" s="95" t="s">
        <v>741</v>
      </c>
      <c r="C277" s="204">
        <v>6</v>
      </c>
      <c r="D277" s="204">
        <v>8</v>
      </c>
      <c r="E277" s="204">
        <v>7</v>
      </c>
      <c r="F277" s="204">
        <v>1</v>
      </c>
      <c r="G277" s="204">
        <v>22</v>
      </c>
    </row>
    <row r="278" spans="1:7" x14ac:dyDescent="0.3">
      <c r="A278" s="308"/>
      <c r="B278" s="97" t="s">
        <v>86</v>
      </c>
      <c r="C278" s="207">
        <v>368</v>
      </c>
      <c r="D278" s="207">
        <v>217</v>
      </c>
      <c r="E278" s="207">
        <v>506</v>
      </c>
      <c r="F278" s="207">
        <v>9787</v>
      </c>
      <c r="G278" s="207">
        <v>10879</v>
      </c>
    </row>
    <row r="279" spans="1:7" x14ac:dyDescent="0.3">
      <c r="A279" s="307" t="s">
        <v>775</v>
      </c>
      <c r="B279" s="95" t="s">
        <v>758</v>
      </c>
      <c r="C279" s="204">
        <v>3</v>
      </c>
      <c r="D279" s="204">
        <v>6</v>
      </c>
      <c r="E279" s="204">
        <v>7</v>
      </c>
      <c r="F279" s="204">
        <v>23</v>
      </c>
      <c r="G279" s="204">
        <v>39</v>
      </c>
    </row>
    <row r="280" spans="1:7" x14ac:dyDescent="0.3">
      <c r="A280" s="323"/>
      <c r="B280" s="95" t="s">
        <v>760</v>
      </c>
      <c r="C280" s="204">
        <v>25</v>
      </c>
      <c r="D280" s="204">
        <v>11</v>
      </c>
      <c r="E280" s="204">
        <v>42</v>
      </c>
      <c r="F280" s="204">
        <v>95</v>
      </c>
      <c r="G280" s="204">
        <v>174</v>
      </c>
    </row>
    <row r="281" spans="1:7" x14ac:dyDescent="0.3">
      <c r="A281" s="323"/>
      <c r="B281" s="95" t="s">
        <v>761</v>
      </c>
      <c r="C281" s="204">
        <v>0</v>
      </c>
      <c r="D281" s="204" t="s">
        <v>65</v>
      </c>
      <c r="E281" s="204">
        <v>14</v>
      </c>
      <c r="F281" s="204">
        <v>4</v>
      </c>
      <c r="G281" s="204">
        <v>18</v>
      </c>
    </row>
    <row r="282" spans="1:7" x14ac:dyDescent="0.3">
      <c r="A282" s="323"/>
      <c r="B282" s="95" t="s">
        <v>762</v>
      </c>
      <c r="C282" s="204">
        <v>87</v>
      </c>
      <c r="D282" s="204">
        <v>8</v>
      </c>
      <c r="E282" s="204">
        <v>59</v>
      </c>
      <c r="F282" s="204">
        <v>294</v>
      </c>
      <c r="G282" s="204">
        <v>449</v>
      </c>
    </row>
    <row r="283" spans="1:7" x14ac:dyDescent="0.3">
      <c r="A283" s="323"/>
      <c r="B283" s="95" t="s">
        <v>763</v>
      </c>
      <c r="C283" s="204">
        <v>6</v>
      </c>
      <c r="D283" s="204">
        <v>0</v>
      </c>
      <c r="E283" s="204">
        <v>3</v>
      </c>
      <c r="F283" s="204">
        <v>1</v>
      </c>
      <c r="G283" s="204">
        <v>10</v>
      </c>
    </row>
    <row r="284" spans="1:7" x14ac:dyDescent="0.3">
      <c r="A284" s="323"/>
      <c r="B284" s="95" t="s">
        <v>764</v>
      </c>
      <c r="C284" s="204" t="s">
        <v>65</v>
      </c>
      <c r="D284" s="204" t="s">
        <v>65</v>
      </c>
      <c r="E284" s="204">
        <v>0</v>
      </c>
      <c r="F284" s="204" t="s">
        <v>65</v>
      </c>
      <c r="G284" s="204">
        <v>0</v>
      </c>
    </row>
    <row r="285" spans="1:7" x14ac:dyDescent="0.3">
      <c r="A285" s="323"/>
      <c r="B285" s="95" t="s">
        <v>765</v>
      </c>
      <c r="C285" s="204" t="s">
        <v>65</v>
      </c>
      <c r="D285" s="204" t="s">
        <v>65</v>
      </c>
      <c r="E285" s="204">
        <v>1</v>
      </c>
      <c r="F285" s="204" t="s">
        <v>65</v>
      </c>
      <c r="G285" s="204">
        <v>1</v>
      </c>
    </row>
    <row r="286" spans="1:7" x14ac:dyDescent="0.3">
      <c r="A286" s="323"/>
      <c r="B286" s="95" t="s">
        <v>766</v>
      </c>
      <c r="C286" s="204">
        <v>1</v>
      </c>
      <c r="D286" s="204" t="s">
        <v>65</v>
      </c>
      <c r="E286" s="204">
        <v>5</v>
      </c>
      <c r="F286" s="204" t="s">
        <v>65</v>
      </c>
      <c r="G286" s="204">
        <v>5</v>
      </c>
    </row>
    <row r="287" spans="1:7" x14ac:dyDescent="0.3">
      <c r="A287" s="323"/>
      <c r="B287" s="95" t="s">
        <v>767</v>
      </c>
      <c r="C287" s="204">
        <v>1</v>
      </c>
      <c r="D287" s="204">
        <v>0</v>
      </c>
      <c r="E287" s="204">
        <v>1</v>
      </c>
      <c r="F287" s="204" t="s">
        <v>65</v>
      </c>
      <c r="G287" s="204">
        <v>1</v>
      </c>
    </row>
    <row r="288" spans="1:7" x14ac:dyDescent="0.3">
      <c r="A288" s="323"/>
      <c r="B288" s="95" t="s">
        <v>768</v>
      </c>
      <c r="C288" s="204">
        <v>11</v>
      </c>
      <c r="D288" s="204">
        <v>1</v>
      </c>
      <c r="E288" s="204">
        <v>17</v>
      </c>
      <c r="F288" s="204">
        <v>0</v>
      </c>
      <c r="G288" s="204">
        <v>29</v>
      </c>
    </row>
    <row r="289" spans="1:7" x14ac:dyDescent="0.3">
      <c r="A289" s="323"/>
      <c r="B289" s="95" t="s">
        <v>769</v>
      </c>
      <c r="C289" s="204">
        <v>40</v>
      </c>
      <c r="D289" s="204">
        <v>17</v>
      </c>
      <c r="E289" s="204">
        <v>36</v>
      </c>
      <c r="F289" s="204">
        <v>75</v>
      </c>
      <c r="G289" s="204">
        <v>169</v>
      </c>
    </row>
    <row r="290" spans="1:7" x14ac:dyDescent="0.3">
      <c r="A290" s="323"/>
      <c r="B290" s="95" t="s">
        <v>770</v>
      </c>
      <c r="C290" s="204">
        <v>65</v>
      </c>
      <c r="D290" s="204">
        <v>467</v>
      </c>
      <c r="E290" s="204">
        <v>483</v>
      </c>
      <c r="F290" s="204">
        <v>622</v>
      </c>
      <c r="G290" s="204">
        <v>1638</v>
      </c>
    </row>
    <row r="291" spans="1:7" x14ac:dyDescent="0.3">
      <c r="A291" s="308"/>
      <c r="B291" s="95" t="s">
        <v>759</v>
      </c>
      <c r="C291" s="204">
        <v>2</v>
      </c>
      <c r="D291" s="204">
        <v>1</v>
      </c>
      <c r="E291" s="204">
        <v>5</v>
      </c>
      <c r="F291" s="204" t="s">
        <v>65</v>
      </c>
      <c r="G291" s="204">
        <v>8</v>
      </c>
    </row>
    <row r="292" spans="1:7" x14ac:dyDescent="0.3">
      <c r="A292" s="339" t="s">
        <v>86</v>
      </c>
      <c r="B292" s="322"/>
      <c r="C292" s="207">
        <v>240</v>
      </c>
      <c r="D292" s="207">
        <v>513</v>
      </c>
      <c r="E292" s="207">
        <v>674</v>
      </c>
      <c r="F292" s="207">
        <v>1114</v>
      </c>
      <c r="G292" s="207">
        <v>2541</v>
      </c>
    </row>
    <row r="294" spans="1:7" x14ac:dyDescent="0.3">
      <c r="A294" s="90" t="s">
        <v>1203</v>
      </c>
    </row>
    <row r="295" spans="1:7" x14ac:dyDescent="0.3">
      <c r="A295" s="217"/>
    </row>
  </sheetData>
  <mergeCells count="23">
    <mergeCell ref="A255:A278"/>
    <mergeCell ref="A279:A291"/>
    <mergeCell ref="A292:B292"/>
    <mergeCell ref="A5:A16"/>
    <mergeCell ref="A17:A27"/>
    <mergeCell ref="A28:A39"/>
    <mergeCell ref="A40:A55"/>
    <mergeCell ref="A56:A67"/>
    <mergeCell ref="A68:A89"/>
    <mergeCell ref="A90:A105"/>
    <mergeCell ref="A106:A121"/>
    <mergeCell ref="A122:A131"/>
    <mergeCell ref="A132:A144"/>
    <mergeCell ref="A145:A157"/>
    <mergeCell ref="A158:A171"/>
    <mergeCell ref="A172:A180"/>
    <mergeCell ref="A234:A240"/>
    <mergeCell ref="A241:A254"/>
    <mergeCell ref="A181:A192"/>
    <mergeCell ref="A193:A209"/>
    <mergeCell ref="A210:A223"/>
    <mergeCell ref="A224:A229"/>
    <mergeCell ref="A230:A233"/>
  </mergeCells>
  <phoneticPr fontId="1" type="noConversion"/>
  <hyperlinks>
    <hyperlink ref="G1" location="목차!A1" display="목차" xr:uid="{39FB4965-361C-4B7E-AC05-E3301B2F0847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A52F-CC08-4A63-A2D3-20CF28CDF1FF}">
  <sheetPr>
    <tabColor theme="1" tint="0.499984740745262"/>
  </sheetPr>
  <dimension ref="A1:M78"/>
  <sheetViews>
    <sheetView zoomScale="55" zoomScaleNormal="55" workbookViewId="0">
      <selection activeCell="C5" sqref="C5:G40"/>
    </sheetView>
  </sheetViews>
  <sheetFormatPr defaultRowHeight="16.5" x14ac:dyDescent="0.3"/>
  <cols>
    <col min="1" max="1" width="13" customWidth="1"/>
    <col min="2" max="2" width="49.25" bestFit="1" customWidth="1"/>
    <col min="3" max="3" width="10.625" customWidth="1"/>
    <col min="4" max="4" width="10.125" customWidth="1"/>
    <col min="5" max="5" width="12" customWidth="1"/>
    <col min="6" max="6" width="10.375" customWidth="1"/>
    <col min="7" max="7" width="10.625" customWidth="1"/>
  </cols>
  <sheetData>
    <row r="1" spans="1:13" ht="17.25" x14ac:dyDescent="0.3">
      <c r="A1" s="7" t="s">
        <v>1271</v>
      </c>
      <c r="B1" s="197"/>
      <c r="C1" s="197"/>
      <c r="D1" s="197"/>
      <c r="E1" s="198"/>
      <c r="F1" s="71" t="s">
        <v>367</v>
      </c>
      <c r="G1" s="198"/>
      <c r="H1" s="198"/>
      <c r="I1" s="198"/>
    </row>
    <row r="3" spans="1:13" x14ac:dyDescent="0.3">
      <c r="A3" s="45"/>
      <c r="B3" s="45"/>
      <c r="C3" s="45"/>
      <c r="D3" s="45"/>
      <c r="E3" s="45"/>
      <c r="F3" s="45"/>
      <c r="G3" s="33" t="s">
        <v>843</v>
      </c>
    </row>
    <row r="4" spans="1:13" x14ac:dyDescent="0.3">
      <c r="A4" s="180" t="s">
        <v>0</v>
      </c>
      <c r="B4" s="181" t="s">
        <v>169</v>
      </c>
      <c r="C4" s="181" t="s">
        <v>107</v>
      </c>
      <c r="D4" s="181" t="s">
        <v>108</v>
      </c>
      <c r="E4" s="181" t="s">
        <v>109</v>
      </c>
      <c r="F4" s="181" t="s">
        <v>85</v>
      </c>
      <c r="G4" s="184" t="s">
        <v>86</v>
      </c>
    </row>
    <row r="5" spans="1:13" x14ac:dyDescent="0.3">
      <c r="A5" s="305" t="s">
        <v>991</v>
      </c>
      <c r="B5" s="169" t="s">
        <v>186</v>
      </c>
      <c r="C5" s="178">
        <v>10638</v>
      </c>
      <c r="D5" s="169">
        <v>813</v>
      </c>
      <c r="E5" s="169">
        <v>606</v>
      </c>
      <c r="F5" s="178">
        <v>11439</v>
      </c>
      <c r="G5" s="195">
        <v>23496</v>
      </c>
      <c r="I5" s="90"/>
      <c r="J5" s="90"/>
      <c r="K5" s="90"/>
      <c r="L5" s="90"/>
      <c r="M5" s="90"/>
    </row>
    <row r="6" spans="1:13" x14ac:dyDescent="0.3">
      <c r="A6" s="305"/>
      <c r="B6" s="95" t="s">
        <v>170</v>
      </c>
      <c r="C6" s="96">
        <v>11233</v>
      </c>
      <c r="D6" s="96">
        <v>3669</v>
      </c>
      <c r="E6" s="96">
        <v>4639</v>
      </c>
      <c r="F6" s="96">
        <v>3095</v>
      </c>
      <c r="G6" s="30">
        <v>22637</v>
      </c>
      <c r="I6" s="90"/>
      <c r="J6" s="90"/>
      <c r="K6" s="90"/>
      <c r="L6" s="90"/>
      <c r="M6" s="90"/>
    </row>
    <row r="7" spans="1:13" x14ac:dyDescent="0.3">
      <c r="A7" s="305"/>
      <c r="B7" s="95" t="s">
        <v>166</v>
      </c>
      <c r="C7" s="96">
        <v>1219</v>
      </c>
      <c r="D7" s="96">
        <v>20833</v>
      </c>
      <c r="E7" s="96">
        <v>14235</v>
      </c>
      <c r="F7" s="96">
        <v>12189</v>
      </c>
      <c r="G7" s="30">
        <v>48476</v>
      </c>
      <c r="I7" s="90"/>
      <c r="J7" s="90"/>
      <c r="K7" s="90"/>
      <c r="L7" s="90"/>
      <c r="M7" s="90"/>
    </row>
    <row r="8" spans="1:13" x14ac:dyDescent="0.3">
      <c r="A8" s="305"/>
      <c r="B8" s="95" t="s">
        <v>171</v>
      </c>
      <c r="C8" s="95">
        <v>863</v>
      </c>
      <c r="D8" s="95">
        <v>123</v>
      </c>
      <c r="E8" s="95">
        <v>114</v>
      </c>
      <c r="F8" s="95">
        <v>270</v>
      </c>
      <c r="G8" s="30">
        <v>1370</v>
      </c>
      <c r="I8" s="90"/>
      <c r="J8" s="90"/>
      <c r="K8" s="90"/>
      <c r="L8" s="90"/>
      <c r="M8" s="90"/>
    </row>
    <row r="9" spans="1:13" x14ac:dyDescent="0.3">
      <c r="A9" s="305"/>
      <c r="B9" s="95" t="s">
        <v>172</v>
      </c>
      <c r="C9" s="96">
        <v>4904</v>
      </c>
      <c r="D9" s="96">
        <v>2678</v>
      </c>
      <c r="E9" s="96">
        <v>5999</v>
      </c>
      <c r="F9" s="96">
        <v>3278</v>
      </c>
      <c r="G9" s="30">
        <v>16860</v>
      </c>
      <c r="I9" s="90"/>
      <c r="J9" s="90"/>
      <c r="K9" s="90"/>
      <c r="L9" s="90"/>
      <c r="M9" s="90"/>
    </row>
    <row r="10" spans="1:13" x14ac:dyDescent="0.3">
      <c r="A10" s="305"/>
      <c r="B10" s="95" t="s">
        <v>173</v>
      </c>
      <c r="C10" s="95">
        <v>731</v>
      </c>
      <c r="D10" s="95">
        <v>484</v>
      </c>
      <c r="E10" s="96">
        <v>3859</v>
      </c>
      <c r="F10" s="95">
        <v>1992</v>
      </c>
      <c r="G10" s="30">
        <v>7066</v>
      </c>
      <c r="I10" s="90"/>
      <c r="J10" s="90"/>
      <c r="K10" s="90"/>
      <c r="L10" s="90"/>
      <c r="M10" s="90"/>
    </row>
    <row r="11" spans="1:13" x14ac:dyDescent="0.3">
      <c r="A11" s="305"/>
      <c r="B11" s="95" t="s">
        <v>174</v>
      </c>
      <c r="C11" s="96">
        <v>1379</v>
      </c>
      <c r="D11" s="95">
        <v>599</v>
      </c>
      <c r="E11" s="95">
        <v>781</v>
      </c>
      <c r="F11" s="95">
        <v>283</v>
      </c>
      <c r="G11" s="30">
        <v>3042</v>
      </c>
      <c r="I11" s="90"/>
      <c r="J11" s="90"/>
      <c r="K11" s="90"/>
      <c r="L11" s="90"/>
      <c r="M11" s="90"/>
    </row>
    <row r="12" spans="1:13" x14ac:dyDescent="0.3">
      <c r="A12" s="305"/>
      <c r="B12" s="95" t="s">
        <v>187</v>
      </c>
      <c r="C12" s="95">
        <v>800</v>
      </c>
      <c r="D12" s="96">
        <v>3079</v>
      </c>
      <c r="E12" s="96">
        <v>5884</v>
      </c>
      <c r="F12" s="96">
        <v>1782</v>
      </c>
      <c r="G12" s="30">
        <v>11545</v>
      </c>
      <c r="I12" s="90"/>
      <c r="J12" s="90"/>
      <c r="K12" s="90"/>
      <c r="L12" s="90"/>
      <c r="M12" s="90"/>
    </row>
    <row r="13" spans="1:13" x14ac:dyDescent="0.3">
      <c r="A13" s="305"/>
      <c r="B13" s="95" t="s">
        <v>150</v>
      </c>
      <c r="C13" s="96">
        <v>2503</v>
      </c>
      <c r="D13" s="96">
        <v>2106</v>
      </c>
      <c r="E13" s="96">
        <v>4283</v>
      </c>
      <c r="F13" s="95">
        <v>1005</v>
      </c>
      <c r="G13" s="30">
        <v>9897</v>
      </c>
      <c r="I13" s="90"/>
      <c r="J13" s="90"/>
      <c r="K13" s="90"/>
      <c r="L13" s="90"/>
      <c r="M13" s="90"/>
    </row>
    <row r="14" spans="1:13" x14ac:dyDescent="0.3">
      <c r="A14" s="305"/>
      <c r="B14" s="95" t="s">
        <v>175</v>
      </c>
      <c r="C14" s="95">
        <v>583</v>
      </c>
      <c r="D14" s="96">
        <v>1165</v>
      </c>
      <c r="E14" s="96">
        <v>1838</v>
      </c>
      <c r="F14" s="95">
        <v>263</v>
      </c>
      <c r="G14" s="30">
        <v>3849</v>
      </c>
      <c r="I14" s="90"/>
      <c r="J14" s="90"/>
      <c r="K14" s="90"/>
      <c r="L14" s="90"/>
      <c r="M14" s="90"/>
    </row>
    <row r="15" spans="1:13" x14ac:dyDescent="0.3">
      <c r="A15" s="305"/>
      <c r="B15" s="95" t="s">
        <v>188</v>
      </c>
      <c r="C15" s="95">
        <v>226</v>
      </c>
      <c r="D15" s="95">
        <v>117</v>
      </c>
      <c r="E15" s="95">
        <v>232</v>
      </c>
      <c r="F15" s="95">
        <v>524</v>
      </c>
      <c r="G15" s="123">
        <v>1098</v>
      </c>
      <c r="I15" s="90"/>
      <c r="J15" s="90"/>
      <c r="K15" s="90"/>
      <c r="L15" s="90"/>
      <c r="M15" s="90"/>
    </row>
    <row r="16" spans="1:13" x14ac:dyDescent="0.3">
      <c r="A16" s="305"/>
      <c r="B16" s="95" t="s">
        <v>176</v>
      </c>
      <c r="C16" s="96">
        <v>1840</v>
      </c>
      <c r="D16" s="95">
        <v>504</v>
      </c>
      <c r="E16" s="95">
        <v>432</v>
      </c>
      <c r="F16" s="96">
        <v>12054</v>
      </c>
      <c r="G16" s="30">
        <v>14830</v>
      </c>
      <c r="I16" s="90"/>
      <c r="J16" s="90"/>
      <c r="K16" s="90"/>
      <c r="L16" s="90"/>
      <c r="M16" s="90"/>
    </row>
    <row r="17" spans="1:13" x14ac:dyDescent="0.3">
      <c r="A17" s="305"/>
      <c r="B17" s="95" t="s">
        <v>177</v>
      </c>
      <c r="C17" s="96">
        <v>4305</v>
      </c>
      <c r="D17" s="96">
        <v>3424</v>
      </c>
      <c r="E17" s="96">
        <v>3878</v>
      </c>
      <c r="F17" s="96">
        <v>26207</v>
      </c>
      <c r="G17" s="30">
        <v>37814</v>
      </c>
      <c r="I17" s="90"/>
      <c r="J17" s="90"/>
      <c r="K17" s="90"/>
      <c r="L17" s="90"/>
      <c r="M17" s="90"/>
    </row>
    <row r="18" spans="1:13" x14ac:dyDescent="0.3">
      <c r="A18" s="306"/>
      <c r="B18" s="97" t="s">
        <v>110</v>
      </c>
      <c r="C18" s="98">
        <v>41225</v>
      </c>
      <c r="D18" s="98">
        <v>39595</v>
      </c>
      <c r="E18" s="98">
        <v>46780</v>
      </c>
      <c r="F18" s="98">
        <v>74380</v>
      </c>
      <c r="G18" s="32">
        <v>201981</v>
      </c>
      <c r="I18" s="90"/>
      <c r="J18" s="90"/>
      <c r="K18" s="90"/>
      <c r="L18" s="90"/>
      <c r="M18" s="90"/>
    </row>
    <row r="19" spans="1:13" x14ac:dyDescent="0.3">
      <c r="A19" s="304" t="s">
        <v>992</v>
      </c>
      <c r="B19" s="95" t="s">
        <v>189</v>
      </c>
      <c r="C19" s="96">
        <v>2098</v>
      </c>
      <c r="D19" s="96">
        <v>3071</v>
      </c>
      <c r="E19" s="96">
        <v>3649</v>
      </c>
      <c r="F19" s="96">
        <v>4964</v>
      </c>
      <c r="G19" s="30">
        <v>13783</v>
      </c>
      <c r="I19" s="90"/>
      <c r="J19" s="90"/>
      <c r="K19" s="90"/>
      <c r="L19" s="90"/>
      <c r="M19" s="90"/>
    </row>
    <row r="20" spans="1:13" x14ac:dyDescent="0.3">
      <c r="A20" s="305"/>
      <c r="B20" s="95" t="s">
        <v>190</v>
      </c>
      <c r="C20" s="95">
        <v>170</v>
      </c>
      <c r="D20" s="95">
        <v>130</v>
      </c>
      <c r="E20" s="95">
        <v>544</v>
      </c>
      <c r="F20" s="95">
        <v>11</v>
      </c>
      <c r="G20" s="123">
        <v>855</v>
      </c>
      <c r="I20" s="90"/>
      <c r="J20" s="90"/>
      <c r="K20" s="90"/>
      <c r="L20" s="90"/>
      <c r="M20" s="90"/>
    </row>
    <row r="21" spans="1:13" x14ac:dyDescent="0.3">
      <c r="A21" s="305"/>
      <c r="B21" s="95" t="s">
        <v>191</v>
      </c>
      <c r="C21" s="95">
        <v>118</v>
      </c>
      <c r="D21" s="95">
        <v>179</v>
      </c>
      <c r="E21" s="95">
        <v>901</v>
      </c>
      <c r="F21" s="95">
        <v>64</v>
      </c>
      <c r="G21" s="30">
        <v>1263</v>
      </c>
      <c r="I21" s="90"/>
      <c r="J21" s="90"/>
      <c r="K21" s="90"/>
      <c r="L21" s="90"/>
      <c r="M21" s="90"/>
    </row>
    <row r="22" spans="1:13" x14ac:dyDescent="0.3">
      <c r="A22" s="305"/>
      <c r="B22" s="95" t="s">
        <v>192</v>
      </c>
      <c r="C22" s="95">
        <v>71</v>
      </c>
      <c r="D22" s="95">
        <v>15</v>
      </c>
      <c r="E22" s="95">
        <v>138</v>
      </c>
      <c r="F22" s="95">
        <v>1</v>
      </c>
      <c r="G22" s="123">
        <v>225</v>
      </c>
      <c r="I22" s="90"/>
      <c r="J22" s="90"/>
      <c r="K22" s="90"/>
      <c r="L22" s="90"/>
      <c r="M22" s="90"/>
    </row>
    <row r="23" spans="1:13" x14ac:dyDescent="0.3">
      <c r="A23" s="305"/>
      <c r="B23" s="95" t="s">
        <v>193</v>
      </c>
      <c r="C23" s="96">
        <v>1560</v>
      </c>
      <c r="D23" s="96">
        <v>1731</v>
      </c>
      <c r="E23" s="96">
        <v>3615</v>
      </c>
      <c r="F23" s="95">
        <v>173</v>
      </c>
      <c r="G23" s="30">
        <v>7079</v>
      </c>
      <c r="I23" s="90"/>
      <c r="J23" s="90"/>
      <c r="K23" s="90"/>
      <c r="L23" s="90"/>
      <c r="M23" s="90"/>
    </row>
    <row r="24" spans="1:13" x14ac:dyDescent="0.3">
      <c r="A24" s="305"/>
      <c r="B24" s="95" t="s">
        <v>194</v>
      </c>
      <c r="C24" s="95">
        <v>1070</v>
      </c>
      <c r="D24" s="95">
        <v>658</v>
      </c>
      <c r="E24" s="96">
        <v>2001</v>
      </c>
      <c r="F24" s="95">
        <v>313</v>
      </c>
      <c r="G24" s="30">
        <v>4041</v>
      </c>
      <c r="I24" s="90"/>
      <c r="J24" s="90"/>
      <c r="K24" s="90"/>
      <c r="L24" s="90"/>
      <c r="M24" s="90"/>
    </row>
    <row r="25" spans="1:13" x14ac:dyDescent="0.3">
      <c r="A25" s="305"/>
      <c r="B25" s="95" t="s">
        <v>195</v>
      </c>
      <c r="C25" s="95">
        <v>496</v>
      </c>
      <c r="D25" s="95">
        <v>721</v>
      </c>
      <c r="E25" s="96">
        <v>2399</v>
      </c>
      <c r="F25" s="95">
        <v>122</v>
      </c>
      <c r="G25" s="30">
        <v>3737</v>
      </c>
      <c r="I25" s="90"/>
      <c r="J25" s="90"/>
      <c r="K25" s="90"/>
      <c r="L25" s="90"/>
      <c r="M25" s="90"/>
    </row>
    <row r="26" spans="1:13" x14ac:dyDescent="0.3">
      <c r="A26" s="305"/>
      <c r="B26" s="95" t="s">
        <v>196</v>
      </c>
      <c r="C26" s="96">
        <v>2818</v>
      </c>
      <c r="D26" s="96">
        <v>2801</v>
      </c>
      <c r="E26" s="96">
        <v>6433</v>
      </c>
      <c r="F26" s="95">
        <v>542</v>
      </c>
      <c r="G26" s="30">
        <v>12594</v>
      </c>
      <c r="I26" s="90"/>
      <c r="J26" s="90"/>
      <c r="K26" s="90"/>
      <c r="L26" s="90"/>
      <c r="M26" s="90"/>
    </row>
    <row r="27" spans="1:13" x14ac:dyDescent="0.3">
      <c r="A27" s="305"/>
      <c r="B27" s="95" t="s">
        <v>847</v>
      </c>
      <c r="C27" s="96">
        <v>975</v>
      </c>
      <c r="D27" s="95">
        <v>973</v>
      </c>
      <c r="E27" s="96">
        <v>3809</v>
      </c>
      <c r="F27" s="95">
        <v>415</v>
      </c>
      <c r="G27" s="30">
        <v>6172</v>
      </c>
      <c r="I27" s="90"/>
      <c r="J27" s="90"/>
      <c r="K27" s="90"/>
      <c r="L27" s="90"/>
      <c r="M27" s="90"/>
    </row>
    <row r="28" spans="1:13" x14ac:dyDescent="0.3">
      <c r="A28" s="305"/>
      <c r="B28" s="95" t="s">
        <v>197</v>
      </c>
      <c r="C28" s="95">
        <v>1023</v>
      </c>
      <c r="D28" s="96">
        <v>1697</v>
      </c>
      <c r="E28" s="96">
        <v>8492</v>
      </c>
      <c r="F28" s="95">
        <v>363</v>
      </c>
      <c r="G28" s="30">
        <v>11575</v>
      </c>
      <c r="I28" s="90"/>
      <c r="J28" s="90"/>
      <c r="K28" s="90"/>
      <c r="L28" s="90"/>
      <c r="M28" s="90"/>
    </row>
    <row r="29" spans="1:13" x14ac:dyDescent="0.3">
      <c r="A29" s="305"/>
      <c r="B29" s="95" t="s">
        <v>198</v>
      </c>
      <c r="C29" s="95">
        <v>510</v>
      </c>
      <c r="D29" s="96">
        <v>1713</v>
      </c>
      <c r="E29" s="96">
        <v>7479</v>
      </c>
      <c r="F29" s="95">
        <v>448</v>
      </c>
      <c r="G29" s="30">
        <v>10151</v>
      </c>
      <c r="I29" s="90"/>
      <c r="J29" s="90"/>
      <c r="K29" s="90"/>
      <c r="L29" s="90"/>
      <c r="M29" s="90"/>
    </row>
    <row r="30" spans="1:13" x14ac:dyDescent="0.3">
      <c r="A30" s="305"/>
      <c r="B30" s="95" t="s">
        <v>199</v>
      </c>
      <c r="C30" s="95">
        <v>129</v>
      </c>
      <c r="D30" s="95">
        <v>145</v>
      </c>
      <c r="E30" s="95">
        <v>831</v>
      </c>
      <c r="F30" s="95">
        <v>49</v>
      </c>
      <c r="G30" s="30">
        <v>1153</v>
      </c>
      <c r="I30" s="90"/>
      <c r="J30" s="90"/>
      <c r="K30" s="90"/>
      <c r="L30" s="90"/>
      <c r="M30" s="90"/>
    </row>
    <row r="31" spans="1:13" x14ac:dyDescent="0.3">
      <c r="A31" s="305"/>
      <c r="B31" s="95" t="s">
        <v>850</v>
      </c>
      <c r="C31" s="95">
        <v>265</v>
      </c>
      <c r="D31" s="95">
        <v>177</v>
      </c>
      <c r="E31" s="95">
        <v>416</v>
      </c>
      <c r="F31" s="95">
        <v>16</v>
      </c>
      <c r="G31" s="123">
        <v>874</v>
      </c>
      <c r="I31" s="90"/>
      <c r="J31" s="90"/>
      <c r="K31" s="90"/>
      <c r="L31" s="90"/>
      <c r="M31" s="90"/>
    </row>
    <row r="32" spans="1:13" x14ac:dyDescent="0.3">
      <c r="A32" s="305"/>
      <c r="B32" s="95" t="s">
        <v>178</v>
      </c>
      <c r="C32" s="95">
        <v>711</v>
      </c>
      <c r="D32" s="95">
        <v>300</v>
      </c>
      <c r="E32" s="96">
        <v>1811</v>
      </c>
      <c r="F32" s="95">
        <v>56</v>
      </c>
      <c r="G32" s="30">
        <v>2878</v>
      </c>
      <c r="I32" s="90"/>
      <c r="J32" s="90"/>
      <c r="K32" s="90"/>
      <c r="L32" s="90"/>
      <c r="M32" s="90"/>
    </row>
    <row r="33" spans="1:13" x14ac:dyDescent="0.3">
      <c r="A33" s="305"/>
      <c r="B33" s="95" t="s">
        <v>200</v>
      </c>
      <c r="C33" s="95">
        <v>365</v>
      </c>
      <c r="D33" s="95">
        <v>970</v>
      </c>
      <c r="E33" s="96">
        <v>1625</v>
      </c>
      <c r="F33" s="95">
        <v>281</v>
      </c>
      <c r="G33" s="30">
        <v>3241</v>
      </c>
      <c r="I33" s="90"/>
      <c r="J33" s="90"/>
      <c r="K33" s="90"/>
      <c r="L33" s="90"/>
      <c r="M33" s="90"/>
    </row>
    <row r="34" spans="1:13" x14ac:dyDescent="0.3">
      <c r="A34" s="305"/>
      <c r="B34" s="95" t="s">
        <v>201</v>
      </c>
      <c r="C34" s="96">
        <v>2408</v>
      </c>
      <c r="D34" s="96">
        <v>1995</v>
      </c>
      <c r="E34" s="96">
        <v>3905</v>
      </c>
      <c r="F34" s="95">
        <v>1127</v>
      </c>
      <c r="G34" s="30">
        <v>9435</v>
      </c>
      <c r="I34" s="90"/>
      <c r="J34" s="90"/>
      <c r="K34" s="90"/>
      <c r="L34" s="90"/>
      <c r="M34" s="90"/>
    </row>
    <row r="35" spans="1:13" x14ac:dyDescent="0.3">
      <c r="A35" s="305"/>
      <c r="B35" s="95" t="s">
        <v>179</v>
      </c>
      <c r="C35" s="95">
        <v>110</v>
      </c>
      <c r="D35" s="95">
        <v>124</v>
      </c>
      <c r="E35" s="95">
        <v>346</v>
      </c>
      <c r="F35" s="95">
        <v>149</v>
      </c>
      <c r="G35" s="123">
        <v>729</v>
      </c>
      <c r="I35" s="90"/>
      <c r="J35" s="90"/>
      <c r="K35" s="90"/>
      <c r="L35" s="90"/>
      <c r="M35" s="90"/>
    </row>
    <row r="36" spans="1:13" x14ac:dyDescent="0.3">
      <c r="A36" s="305"/>
      <c r="B36" s="95" t="s">
        <v>180</v>
      </c>
      <c r="C36" s="95">
        <v>515</v>
      </c>
      <c r="D36" s="95">
        <v>533</v>
      </c>
      <c r="E36" s="95">
        <v>1332</v>
      </c>
      <c r="F36" s="95">
        <v>686</v>
      </c>
      <c r="G36" s="30">
        <v>3066</v>
      </c>
      <c r="I36" s="90"/>
      <c r="J36" s="90"/>
      <c r="K36" s="90"/>
      <c r="L36" s="90"/>
      <c r="M36" s="90"/>
    </row>
    <row r="37" spans="1:13" x14ac:dyDescent="0.3">
      <c r="A37" s="305"/>
      <c r="B37" s="95" t="s">
        <v>851</v>
      </c>
      <c r="C37" s="95">
        <v>96</v>
      </c>
      <c r="D37" s="95">
        <v>125</v>
      </c>
      <c r="E37" s="95">
        <v>210</v>
      </c>
      <c r="F37" s="95">
        <v>160</v>
      </c>
      <c r="G37" s="123">
        <v>592</v>
      </c>
      <c r="I37" s="90"/>
      <c r="J37" s="90"/>
      <c r="K37" s="90"/>
      <c r="L37" s="90"/>
      <c r="M37" s="90"/>
    </row>
    <row r="38" spans="1:13" x14ac:dyDescent="0.3">
      <c r="A38" s="305"/>
      <c r="B38" s="95" t="s">
        <v>181</v>
      </c>
      <c r="C38" s="95">
        <v>981</v>
      </c>
      <c r="D38" s="96">
        <v>1299</v>
      </c>
      <c r="E38" s="96">
        <v>3672</v>
      </c>
      <c r="F38" s="96">
        <v>4355</v>
      </c>
      <c r="G38" s="30">
        <v>10308</v>
      </c>
      <c r="I38" s="90"/>
      <c r="J38" s="90"/>
      <c r="K38" s="90"/>
      <c r="L38" s="90"/>
      <c r="M38" s="90"/>
    </row>
    <row r="39" spans="1:13" x14ac:dyDescent="0.3">
      <c r="A39" s="306"/>
      <c r="B39" s="97" t="s">
        <v>110</v>
      </c>
      <c r="C39" s="98">
        <v>16489</v>
      </c>
      <c r="D39" s="98">
        <v>19358</v>
      </c>
      <c r="E39" s="98">
        <v>53609</v>
      </c>
      <c r="F39" s="98">
        <v>14295</v>
      </c>
      <c r="G39" s="32">
        <v>103751</v>
      </c>
      <c r="I39" s="90"/>
      <c r="J39" s="90"/>
      <c r="K39" s="90"/>
      <c r="L39" s="90"/>
      <c r="M39" s="90"/>
    </row>
    <row r="40" spans="1:13" x14ac:dyDescent="0.3">
      <c r="A40" s="321" t="s">
        <v>86</v>
      </c>
      <c r="B40" s="322"/>
      <c r="C40" s="98">
        <v>57714</v>
      </c>
      <c r="D40" s="98">
        <v>58953</v>
      </c>
      <c r="E40" s="98">
        <v>100389</v>
      </c>
      <c r="F40" s="98">
        <v>88675</v>
      </c>
      <c r="G40" s="32">
        <v>305731</v>
      </c>
      <c r="I40" s="90"/>
      <c r="J40" s="90"/>
      <c r="K40" s="90"/>
      <c r="L40" s="90"/>
      <c r="M40" s="90"/>
    </row>
    <row r="43" spans="1:13" x14ac:dyDescent="0.3">
      <c r="C43" s="86"/>
      <c r="D43" s="86"/>
      <c r="E43" s="86"/>
      <c r="F43" s="86"/>
      <c r="G43" s="86"/>
    </row>
    <row r="44" spans="1:13" x14ac:dyDescent="0.3">
      <c r="C44" s="86"/>
      <c r="D44" s="86"/>
      <c r="E44" s="86"/>
      <c r="F44" s="86"/>
      <c r="G44" s="86"/>
    </row>
    <row r="45" spans="1:13" x14ac:dyDescent="0.3">
      <c r="C45" s="86"/>
      <c r="D45" s="86"/>
      <c r="E45" s="86"/>
      <c r="F45" s="86"/>
      <c r="G45" s="86"/>
    </row>
    <row r="46" spans="1:13" x14ac:dyDescent="0.3">
      <c r="C46" s="86"/>
      <c r="D46" s="86"/>
      <c r="E46" s="86"/>
      <c r="F46" s="86"/>
      <c r="G46" s="86"/>
    </row>
    <row r="47" spans="1:13" x14ac:dyDescent="0.3">
      <c r="C47" s="86"/>
      <c r="D47" s="86"/>
      <c r="E47" s="86"/>
      <c r="F47" s="86"/>
      <c r="G47" s="86"/>
    </row>
    <row r="48" spans="1:13" x14ac:dyDescent="0.3">
      <c r="C48" s="86"/>
      <c r="D48" s="86"/>
      <c r="E48" s="86"/>
      <c r="F48" s="86"/>
      <c r="G48" s="86"/>
    </row>
    <row r="49" spans="3:7" x14ac:dyDescent="0.3">
      <c r="C49" s="86"/>
      <c r="D49" s="86"/>
      <c r="E49" s="86"/>
      <c r="F49" s="86"/>
      <c r="G49" s="86"/>
    </row>
    <row r="50" spans="3:7" x14ac:dyDescent="0.3">
      <c r="C50" s="86"/>
      <c r="D50" s="86"/>
      <c r="E50" s="86"/>
      <c r="F50" s="86"/>
      <c r="G50" s="86"/>
    </row>
    <row r="51" spans="3:7" x14ac:dyDescent="0.3">
      <c r="C51" s="86"/>
      <c r="D51" s="86"/>
      <c r="E51" s="86"/>
      <c r="F51" s="86"/>
      <c r="G51" s="86"/>
    </row>
    <row r="52" spans="3:7" x14ac:dyDescent="0.3">
      <c r="C52" s="86"/>
      <c r="D52" s="86"/>
      <c r="E52" s="86"/>
      <c r="F52" s="86"/>
      <c r="G52" s="86"/>
    </row>
    <row r="53" spans="3:7" x14ac:dyDescent="0.3">
      <c r="C53" s="86"/>
      <c r="D53" s="86"/>
      <c r="E53" s="86"/>
      <c r="F53" s="86"/>
      <c r="G53" s="86"/>
    </row>
    <row r="54" spans="3:7" x14ac:dyDescent="0.3">
      <c r="C54" s="86"/>
      <c r="D54" s="86"/>
      <c r="E54" s="86"/>
      <c r="F54" s="86"/>
      <c r="G54" s="86"/>
    </row>
    <row r="55" spans="3:7" x14ac:dyDescent="0.3">
      <c r="C55" s="86"/>
      <c r="D55" s="86"/>
      <c r="E55" s="86"/>
      <c r="F55" s="86"/>
      <c r="G55" s="86"/>
    </row>
    <row r="56" spans="3:7" x14ac:dyDescent="0.3">
      <c r="C56" s="86"/>
      <c r="D56" s="86"/>
      <c r="E56" s="86"/>
      <c r="F56" s="86"/>
      <c r="G56" s="86"/>
    </row>
    <row r="57" spans="3:7" x14ac:dyDescent="0.3">
      <c r="C57" s="86"/>
      <c r="D57" s="86"/>
      <c r="E57" s="86"/>
      <c r="F57" s="86"/>
      <c r="G57" s="86"/>
    </row>
    <row r="58" spans="3:7" x14ac:dyDescent="0.3">
      <c r="C58" s="86"/>
      <c r="D58" s="86"/>
      <c r="E58" s="86"/>
      <c r="F58" s="86"/>
      <c r="G58" s="86"/>
    </row>
    <row r="59" spans="3:7" x14ac:dyDescent="0.3">
      <c r="C59" s="86"/>
      <c r="D59" s="86"/>
      <c r="E59" s="86"/>
      <c r="F59" s="86"/>
      <c r="G59" s="86"/>
    </row>
    <row r="60" spans="3:7" x14ac:dyDescent="0.3">
      <c r="C60" s="86"/>
      <c r="D60" s="86"/>
      <c r="E60" s="86"/>
      <c r="F60" s="86"/>
      <c r="G60" s="86"/>
    </row>
    <row r="61" spans="3:7" x14ac:dyDescent="0.3">
      <c r="C61" s="86"/>
      <c r="D61" s="86"/>
      <c r="E61" s="86"/>
      <c r="F61" s="86"/>
      <c r="G61" s="86"/>
    </row>
    <row r="62" spans="3:7" x14ac:dyDescent="0.3">
      <c r="C62" s="86"/>
      <c r="D62" s="86"/>
      <c r="E62" s="86"/>
      <c r="F62" s="86"/>
      <c r="G62" s="86"/>
    </row>
    <row r="63" spans="3:7" x14ac:dyDescent="0.3">
      <c r="C63" s="86"/>
      <c r="D63" s="86"/>
      <c r="E63" s="86"/>
      <c r="F63" s="86"/>
      <c r="G63" s="86"/>
    </row>
    <row r="64" spans="3:7" x14ac:dyDescent="0.3">
      <c r="C64" s="86"/>
      <c r="D64" s="86"/>
      <c r="E64" s="86"/>
      <c r="F64" s="86"/>
      <c r="G64" s="86"/>
    </row>
    <row r="65" spans="3:7" x14ac:dyDescent="0.3">
      <c r="C65" s="86"/>
      <c r="D65" s="86"/>
      <c r="E65" s="86"/>
      <c r="F65" s="86"/>
      <c r="G65" s="86"/>
    </row>
    <row r="66" spans="3:7" x14ac:dyDescent="0.3">
      <c r="C66" s="86"/>
      <c r="D66" s="86"/>
      <c r="E66" s="86"/>
      <c r="F66" s="86"/>
      <c r="G66" s="86"/>
    </row>
    <row r="67" spans="3:7" x14ac:dyDescent="0.3">
      <c r="C67" s="86"/>
      <c r="D67" s="86"/>
      <c r="E67" s="86"/>
      <c r="F67" s="86"/>
      <c r="G67" s="86"/>
    </row>
    <row r="68" spans="3:7" x14ac:dyDescent="0.3">
      <c r="C68" s="86"/>
      <c r="D68" s="86"/>
      <c r="E68" s="86"/>
      <c r="F68" s="86"/>
      <c r="G68" s="86"/>
    </row>
    <row r="69" spans="3:7" x14ac:dyDescent="0.3">
      <c r="C69" s="86"/>
      <c r="D69" s="86"/>
      <c r="E69" s="86"/>
      <c r="F69" s="86"/>
      <c r="G69" s="86"/>
    </row>
    <row r="70" spans="3:7" x14ac:dyDescent="0.3">
      <c r="C70" s="86"/>
      <c r="D70" s="86"/>
      <c r="E70" s="86"/>
      <c r="F70" s="86"/>
      <c r="G70" s="86"/>
    </row>
    <row r="71" spans="3:7" x14ac:dyDescent="0.3">
      <c r="C71" s="86"/>
      <c r="D71" s="86"/>
      <c r="E71" s="86"/>
      <c r="F71" s="86"/>
      <c r="G71" s="86"/>
    </row>
    <row r="72" spans="3:7" x14ac:dyDescent="0.3">
      <c r="C72" s="86"/>
      <c r="D72" s="86"/>
      <c r="E72" s="86"/>
      <c r="F72" s="86"/>
      <c r="G72" s="86"/>
    </row>
    <row r="73" spans="3:7" x14ac:dyDescent="0.3">
      <c r="C73" s="86"/>
      <c r="D73" s="86"/>
      <c r="E73" s="86"/>
      <c r="F73" s="86"/>
      <c r="G73" s="86"/>
    </row>
    <row r="74" spans="3:7" x14ac:dyDescent="0.3">
      <c r="C74" s="86"/>
      <c r="D74" s="86"/>
      <c r="E74" s="86"/>
      <c r="F74" s="86"/>
      <c r="G74" s="86"/>
    </row>
    <row r="75" spans="3:7" x14ac:dyDescent="0.3">
      <c r="C75" s="86"/>
      <c r="D75" s="86"/>
      <c r="E75" s="86"/>
      <c r="F75" s="86"/>
      <c r="G75" s="86"/>
    </row>
    <row r="76" spans="3:7" x14ac:dyDescent="0.3">
      <c r="C76" s="86"/>
      <c r="D76" s="86"/>
      <c r="E76" s="86"/>
      <c r="F76" s="86"/>
      <c r="G76" s="86"/>
    </row>
    <row r="77" spans="3:7" x14ac:dyDescent="0.3">
      <c r="C77" s="86"/>
      <c r="D77" s="86"/>
      <c r="E77" s="86"/>
      <c r="F77" s="86"/>
      <c r="G77" s="86"/>
    </row>
    <row r="78" spans="3:7" x14ac:dyDescent="0.3">
      <c r="C78" s="86"/>
      <c r="D78" s="86"/>
      <c r="E78" s="86"/>
      <c r="F78" s="86"/>
      <c r="G78" s="86"/>
    </row>
  </sheetData>
  <mergeCells count="3">
    <mergeCell ref="A5:A18"/>
    <mergeCell ref="A19:A39"/>
    <mergeCell ref="A40:B40"/>
  </mergeCells>
  <phoneticPr fontId="1" type="noConversion"/>
  <hyperlinks>
    <hyperlink ref="F1" location="목차!A1" display="목차" xr:uid="{E9242971-1665-4089-B744-8EC3D8787551}"/>
  </hyperlinks>
  <pageMargins left="0.7" right="0.7" top="0.75" bottom="0.75" header="0.3" footer="0.3"/>
  <pageSetup paperSize="9" orientation="portrait" copies="16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4B12-C7BA-4943-AC80-1BC6590370FF}">
  <sheetPr>
    <tabColor theme="1" tint="0.499984740745262"/>
  </sheetPr>
  <dimension ref="A1:N117"/>
  <sheetViews>
    <sheetView topLeftCell="A77" zoomScale="55" zoomScaleNormal="55" workbookViewId="0">
      <selection activeCell="N108" sqref="N108"/>
    </sheetView>
  </sheetViews>
  <sheetFormatPr defaultRowHeight="16.5" x14ac:dyDescent="0.3"/>
  <cols>
    <col min="1" max="1" width="18.25" customWidth="1"/>
    <col min="2" max="2" width="23.375" customWidth="1"/>
    <col min="3" max="3" width="42" customWidth="1"/>
    <col min="4" max="4" width="9.875" customWidth="1"/>
    <col min="5" max="5" width="12.125" customWidth="1"/>
    <col min="6" max="6" width="12.625" customWidth="1"/>
  </cols>
  <sheetData>
    <row r="1" spans="1:14" ht="17.25" x14ac:dyDescent="0.3">
      <c r="A1" s="7" t="s">
        <v>1272</v>
      </c>
      <c r="B1" s="4"/>
      <c r="C1" s="4"/>
      <c r="D1" s="199"/>
      <c r="E1" s="71" t="s">
        <v>367</v>
      </c>
      <c r="F1" s="199"/>
      <c r="G1" s="199"/>
    </row>
    <row r="3" spans="1:14" x14ac:dyDescent="0.3">
      <c r="A3" s="191"/>
      <c r="B3" s="191"/>
      <c r="C3" s="191"/>
      <c r="D3" s="191"/>
      <c r="E3" s="191"/>
      <c r="F3" s="191"/>
      <c r="G3" s="191"/>
      <c r="H3" s="191" t="s">
        <v>843</v>
      </c>
    </row>
    <row r="4" spans="1:14" x14ac:dyDescent="0.3">
      <c r="A4" s="180" t="s">
        <v>496</v>
      </c>
      <c r="B4" s="181" t="s">
        <v>497</v>
      </c>
      <c r="C4" s="181" t="s">
        <v>853</v>
      </c>
      <c r="D4" s="181" t="s">
        <v>107</v>
      </c>
      <c r="E4" s="181" t="s">
        <v>108</v>
      </c>
      <c r="F4" s="181" t="s">
        <v>109</v>
      </c>
      <c r="G4" s="181" t="s">
        <v>85</v>
      </c>
      <c r="H4" s="184" t="s">
        <v>86</v>
      </c>
    </row>
    <row r="5" spans="1:14" x14ac:dyDescent="0.3">
      <c r="A5" s="305" t="s">
        <v>993</v>
      </c>
      <c r="B5" s="323" t="s">
        <v>855</v>
      </c>
      <c r="C5" s="169" t="s">
        <v>856</v>
      </c>
      <c r="D5" s="169">
        <v>72</v>
      </c>
      <c r="E5" s="169">
        <v>195</v>
      </c>
      <c r="F5" s="169">
        <v>192</v>
      </c>
      <c r="G5" s="169">
        <v>228</v>
      </c>
      <c r="H5" s="117">
        <v>687</v>
      </c>
      <c r="J5" s="90"/>
      <c r="K5" s="90"/>
      <c r="L5" s="90"/>
      <c r="M5" s="90"/>
      <c r="N5" s="90"/>
    </row>
    <row r="6" spans="1:14" x14ac:dyDescent="0.3">
      <c r="A6" s="305"/>
      <c r="B6" s="323"/>
      <c r="C6" s="95" t="s">
        <v>857</v>
      </c>
      <c r="D6" s="95">
        <v>745</v>
      </c>
      <c r="E6" s="95">
        <v>1244</v>
      </c>
      <c r="F6" s="96">
        <v>2737</v>
      </c>
      <c r="G6" s="95">
        <v>566</v>
      </c>
      <c r="H6" s="30">
        <v>5293</v>
      </c>
      <c r="J6" s="90"/>
      <c r="K6" s="90"/>
      <c r="L6" s="90"/>
      <c r="M6" s="90"/>
      <c r="N6" s="90"/>
    </row>
    <row r="7" spans="1:14" x14ac:dyDescent="0.3">
      <c r="A7" s="305"/>
      <c r="B7" s="323"/>
      <c r="C7" s="95" t="s">
        <v>858</v>
      </c>
      <c r="D7" s="95">
        <v>365</v>
      </c>
      <c r="E7" s="95">
        <v>702</v>
      </c>
      <c r="F7" s="96">
        <v>2077</v>
      </c>
      <c r="G7" s="95">
        <v>206</v>
      </c>
      <c r="H7" s="30">
        <v>3350</v>
      </c>
      <c r="J7" s="90"/>
      <c r="K7" s="90"/>
      <c r="L7" s="90"/>
      <c r="M7" s="90"/>
      <c r="N7" s="90"/>
    </row>
    <row r="8" spans="1:14" x14ac:dyDescent="0.3">
      <c r="A8" s="305"/>
      <c r="B8" s="323"/>
      <c r="C8" s="95" t="s">
        <v>859</v>
      </c>
      <c r="D8" s="95">
        <v>187</v>
      </c>
      <c r="E8" s="95">
        <v>79</v>
      </c>
      <c r="F8" s="95">
        <v>188</v>
      </c>
      <c r="G8" s="95">
        <v>7</v>
      </c>
      <c r="H8" s="123">
        <v>461</v>
      </c>
      <c r="J8" s="90"/>
      <c r="K8" s="90"/>
      <c r="L8" s="90"/>
      <c r="M8" s="90"/>
      <c r="N8" s="90"/>
    </row>
    <row r="9" spans="1:14" x14ac:dyDescent="0.3">
      <c r="A9" s="305"/>
      <c r="B9" s="308"/>
      <c r="C9" s="95" t="s">
        <v>860</v>
      </c>
      <c r="D9" s="95">
        <v>378</v>
      </c>
      <c r="E9" s="95">
        <v>647</v>
      </c>
      <c r="F9" s="96">
        <v>2068</v>
      </c>
      <c r="G9" s="95">
        <v>175</v>
      </c>
      <c r="H9" s="30">
        <v>3267</v>
      </c>
      <c r="J9" s="90"/>
      <c r="K9" s="90"/>
      <c r="L9" s="90"/>
      <c r="M9" s="90"/>
      <c r="N9" s="90"/>
    </row>
    <row r="10" spans="1:14" x14ac:dyDescent="0.3">
      <c r="A10" s="305"/>
      <c r="B10" s="307" t="s">
        <v>994</v>
      </c>
      <c r="C10" s="95" t="s">
        <v>862</v>
      </c>
      <c r="D10" s="95">
        <v>141</v>
      </c>
      <c r="E10" s="95">
        <v>331</v>
      </c>
      <c r="F10" s="95">
        <v>304</v>
      </c>
      <c r="G10" s="95">
        <v>122</v>
      </c>
      <c r="H10" s="123">
        <v>899</v>
      </c>
      <c r="J10" s="90"/>
      <c r="K10" s="90"/>
      <c r="L10" s="90"/>
      <c r="M10" s="90"/>
      <c r="N10" s="90"/>
    </row>
    <row r="11" spans="1:14" x14ac:dyDescent="0.3">
      <c r="A11" s="305"/>
      <c r="B11" s="323"/>
      <c r="C11" s="95" t="s">
        <v>863</v>
      </c>
      <c r="D11" s="95">
        <v>79</v>
      </c>
      <c r="E11" s="95">
        <v>45</v>
      </c>
      <c r="F11" s="95">
        <v>53</v>
      </c>
      <c r="G11" s="95">
        <v>0</v>
      </c>
      <c r="H11" s="123">
        <v>177</v>
      </c>
      <c r="J11" s="90"/>
      <c r="K11" s="90"/>
      <c r="L11" s="90"/>
      <c r="M11" s="90"/>
      <c r="N11" s="90"/>
    </row>
    <row r="12" spans="1:14" x14ac:dyDescent="0.3">
      <c r="A12" s="305"/>
      <c r="B12" s="323"/>
      <c r="C12" s="95" t="s">
        <v>864</v>
      </c>
      <c r="D12" s="95">
        <v>108</v>
      </c>
      <c r="E12" s="95">
        <v>183</v>
      </c>
      <c r="F12" s="95">
        <v>185</v>
      </c>
      <c r="G12" s="95">
        <v>242</v>
      </c>
      <c r="H12" s="123">
        <v>718</v>
      </c>
      <c r="J12" s="90"/>
      <c r="K12" s="90"/>
      <c r="L12" s="90"/>
      <c r="M12" s="90"/>
      <c r="N12" s="90"/>
    </row>
    <row r="13" spans="1:14" x14ac:dyDescent="0.3">
      <c r="A13" s="305"/>
      <c r="B13" s="308"/>
      <c r="C13" s="95" t="s">
        <v>865</v>
      </c>
      <c r="D13" s="95">
        <v>256</v>
      </c>
      <c r="E13" s="95">
        <v>714</v>
      </c>
      <c r="F13" s="95">
        <v>952</v>
      </c>
      <c r="G13" s="95">
        <v>73</v>
      </c>
      <c r="H13" s="30">
        <v>1994</v>
      </c>
      <c r="J13" s="90"/>
      <c r="K13" s="90"/>
      <c r="L13" s="90"/>
      <c r="M13" s="90"/>
      <c r="N13" s="90"/>
    </row>
    <row r="14" spans="1:14" x14ac:dyDescent="0.3">
      <c r="A14" s="305"/>
      <c r="B14" s="307" t="s">
        <v>866</v>
      </c>
      <c r="C14" s="95" t="s">
        <v>867</v>
      </c>
      <c r="D14" s="95">
        <v>68</v>
      </c>
      <c r="E14" s="95">
        <v>112</v>
      </c>
      <c r="F14" s="95">
        <v>338</v>
      </c>
      <c r="G14" s="95">
        <v>24</v>
      </c>
      <c r="H14" s="123">
        <v>542</v>
      </c>
      <c r="J14" s="90"/>
      <c r="K14" s="90"/>
      <c r="L14" s="90"/>
      <c r="M14" s="90"/>
      <c r="N14" s="90"/>
    </row>
    <row r="15" spans="1:14" x14ac:dyDescent="0.3">
      <c r="A15" s="305"/>
      <c r="B15" s="323"/>
      <c r="C15" s="95" t="s">
        <v>868</v>
      </c>
      <c r="D15" s="95">
        <v>553</v>
      </c>
      <c r="E15" s="96">
        <v>1168</v>
      </c>
      <c r="F15" s="95">
        <v>1119</v>
      </c>
      <c r="G15" s="95">
        <v>174</v>
      </c>
      <c r="H15" s="30">
        <v>3015</v>
      </c>
      <c r="J15" s="90"/>
      <c r="K15" s="90"/>
      <c r="L15" s="90"/>
      <c r="M15" s="90"/>
      <c r="N15" s="90"/>
    </row>
    <row r="16" spans="1:14" x14ac:dyDescent="0.3">
      <c r="A16" s="305"/>
      <c r="B16" s="323"/>
      <c r="C16" s="95" t="s">
        <v>869</v>
      </c>
      <c r="D16" s="95">
        <v>16</v>
      </c>
      <c r="E16" s="95">
        <v>24</v>
      </c>
      <c r="F16" s="95">
        <v>258</v>
      </c>
      <c r="G16" s="95">
        <v>15</v>
      </c>
      <c r="H16" s="123">
        <v>312</v>
      </c>
      <c r="J16" s="90"/>
      <c r="K16" s="90"/>
      <c r="L16" s="90"/>
      <c r="M16" s="90"/>
      <c r="N16" s="90"/>
    </row>
    <row r="17" spans="1:14" x14ac:dyDescent="0.3">
      <c r="A17" s="305"/>
      <c r="B17" s="323"/>
      <c r="C17" s="95" t="s">
        <v>870</v>
      </c>
      <c r="D17" s="95">
        <v>637</v>
      </c>
      <c r="E17" s="95">
        <v>1247</v>
      </c>
      <c r="F17" s="96">
        <v>2279</v>
      </c>
      <c r="G17" s="95">
        <v>207</v>
      </c>
      <c r="H17" s="30">
        <v>4371</v>
      </c>
      <c r="J17" s="90"/>
      <c r="K17" s="90"/>
      <c r="L17" s="90"/>
      <c r="M17" s="90"/>
      <c r="N17" s="90"/>
    </row>
    <row r="18" spans="1:14" x14ac:dyDescent="0.3">
      <c r="A18" s="305"/>
      <c r="B18" s="323"/>
      <c r="C18" s="95" t="s">
        <v>871</v>
      </c>
      <c r="D18" s="95">
        <v>420</v>
      </c>
      <c r="E18" s="95">
        <v>461</v>
      </c>
      <c r="F18" s="96">
        <v>1034</v>
      </c>
      <c r="G18" s="95">
        <v>77</v>
      </c>
      <c r="H18" s="30">
        <v>1992</v>
      </c>
      <c r="J18" s="90"/>
      <c r="K18" s="90"/>
      <c r="L18" s="90"/>
      <c r="M18" s="90"/>
      <c r="N18" s="90"/>
    </row>
    <row r="19" spans="1:14" x14ac:dyDescent="0.3">
      <c r="A19" s="305"/>
      <c r="B19" s="308"/>
      <c r="C19" s="95" t="s">
        <v>872</v>
      </c>
      <c r="D19" s="96">
        <v>1409</v>
      </c>
      <c r="E19" s="96">
        <v>3019</v>
      </c>
      <c r="F19" s="96">
        <v>8461</v>
      </c>
      <c r="G19" s="95">
        <v>586</v>
      </c>
      <c r="H19" s="30">
        <v>13475</v>
      </c>
      <c r="J19" s="90"/>
      <c r="K19" s="90"/>
      <c r="L19" s="90"/>
      <c r="M19" s="90"/>
      <c r="N19" s="90"/>
    </row>
    <row r="20" spans="1:14" x14ac:dyDescent="0.3">
      <c r="A20" s="305"/>
      <c r="B20" s="95" t="s">
        <v>873</v>
      </c>
      <c r="C20" s="95" t="s">
        <v>873</v>
      </c>
      <c r="D20" s="96">
        <v>1714</v>
      </c>
      <c r="E20" s="96">
        <v>3139</v>
      </c>
      <c r="F20" s="96">
        <v>5598</v>
      </c>
      <c r="G20" s="96">
        <v>3282</v>
      </c>
      <c r="H20" s="30">
        <v>13732</v>
      </c>
      <c r="J20" s="90"/>
      <c r="K20" s="90"/>
      <c r="L20" s="90"/>
      <c r="M20" s="90"/>
      <c r="N20" s="90"/>
    </row>
    <row r="21" spans="1:14" x14ac:dyDescent="0.3">
      <c r="A21" s="306"/>
      <c r="B21" s="339" t="s">
        <v>110</v>
      </c>
      <c r="C21" s="322"/>
      <c r="D21" s="98">
        <v>7147</v>
      </c>
      <c r="E21" s="98">
        <v>13309</v>
      </c>
      <c r="F21" s="98">
        <v>27844</v>
      </c>
      <c r="G21" s="98">
        <v>5985</v>
      </c>
      <c r="H21" s="32">
        <v>54285</v>
      </c>
      <c r="J21" s="90"/>
      <c r="K21" s="90"/>
      <c r="L21" s="90"/>
      <c r="M21" s="90"/>
      <c r="N21" s="90"/>
    </row>
    <row r="22" spans="1:14" x14ac:dyDescent="0.3">
      <c r="A22" s="304" t="s">
        <v>995</v>
      </c>
      <c r="B22" s="307" t="s">
        <v>996</v>
      </c>
      <c r="C22" s="95" t="s">
        <v>876</v>
      </c>
      <c r="D22" s="96">
        <v>1134</v>
      </c>
      <c r="E22" s="95">
        <v>273</v>
      </c>
      <c r="F22" s="95">
        <v>288</v>
      </c>
      <c r="G22" s="95">
        <v>527</v>
      </c>
      <c r="H22" s="30">
        <v>2221</v>
      </c>
      <c r="J22" s="90"/>
      <c r="K22" s="90"/>
      <c r="L22" s="90"/>
      <c r="M22" s="90"/>
      <c r="N22" s="90"/>
    </row>
    <row r="23" spans="1:14" x14ac:dyDescent="0.3">
      <c r="A23" s="305"/>
      <c r="B23" s="323"/>
      <c r="C23" s="95" t="s">
        <v>877</v>
      </c>
      <c r="D23" s="95">
        <v>310</v>
      </c>
      <c r="E23" s="95">
        <v>57</v>
      </c>
      <c r="F23" s="95">
        <v>81</v>
      </c>
      <c r="G23" s="95">
        <v>17</v>
      </c>
      <c r="H23" s="123">
        <v>465</v>
      </c>
      <c r="J23" s="90"/>
      <c r="K23" s="90"/>
      <c r="L23" s="90"/>
      <c r="M23" s="90"/>
      <c r="N23" s="90"/>
    </row>
    <row r="24" spans="1:14" x14ac:dyDescent="0.3">
      <c r="A24" s="305"/>
      <c r="B24" s="323"/>
      <c r="C24" s="95" t="s">
        <v>878</v>
      </c>
      <c r="D24" s="95">
        <v>483</v>
      </c>
      <c r="E24" s="95">
        <v>67</v>
      </c>
      <c r="F24" s="95">
        <v>115</v>
      </c>
      <c r="G24" s="95">
        <v>50</v>
      </c>
      <c r="H24" s="123">
        <v>715</v>
      </c>
      <c r="J24" s="90"/>
      <c r="K24" s="90"/>
      <c r="L24" s="90"/>
      <c r="M24" s="90"/>
      <c r="N24" s="90"/>
    </row>
    <row r="25" spans="1:14" x14ac:dyDescent="0.3">
      <c r="A25" s="305"/>
      <c r="B25" s="323"/>
      <c r="C25" s="95" t="s">
        <v>879</v>
      </c>
      <c r="D25" s="96">
        <v>3600</v>
      </c>
      <c r="E25" s="95">
        <v>145</v>
      </c>
      <c r="F25" s="95">
        <v>147</v>
      </c>
      <c r="G25" s="95">
        <v>98</v>
      </c>
      <c r="H25" s="30">
        <v>3990</v>
      </c>
      <c r="J25" s="90"/>
      <c r="K25" s="90"/>
      <c r="L25" s="90"/>
      <c r="M25" s="90"/>
      <c r="N25" s="90"/>
    </row>
    <row r="26" spans="1:14" x14ac:dyDescent="0.3">
      <c r="A26" s="305"/>
      <c r="B26" s="323"/>
      <c r="C26" s="95" t="s">
        <v>880</v>
      </c>
      <c r="D26" s="96">
        <v>1522</v>
      </c>
      <c r="E26" s="95">
        <v>156</v>
      </c>
      <c r="F26" s="95">
        <v>238</v>
      </c>
      <c r="G26" s="95">
        <v>41</v>
      </c>
      <c r="H26" s="30">
        <v>1957</v>
      </c>
      <c r="J26" s="90"/>
      <c r="K26" s="90"/>
      <c r="L26" s="90"/>
      <c r="M26" s="90"/>
      <c r="N26" s="90"/>
    </row>
    <row r="27" spans="1:14" x14ac:dyDescent="0.3">
      <c r="A27" s="305"/>
      <c r="B27" s="323"/>
      <c r="C27" s="95" t="s">
        <v>881</v>
      </c>
      <c r="D27" s="95">
        <v>255</v>
      </c>
      <c r="E27" s="95">
        <v>160</v>
      </c>
      <c r="F27" s="95">
        <v>356</v>
      </c>
      <c r="G27" s="95">
        <v>15</v>
      </c>
      <c r="H27" s="123">
        <v>786</v>
      </c>
      <c r="J27" s="90"/>
      <c r="K27" s="90"/>
      <c r="L27" s="90"/>
      <c r="M27" s="90"/>
      <c r="N27" s="90"/>
    </row>
    <row r="28" spans="1:14" x14ac:dyDescent="0.3">
      <c r="A28" s="305"/>
      <c r="B28" s="323"/>
      <c r="C28" s="95" t="s">
        <v>882</v>
      </c>
      <c r="D28" s="95">
        <v>432</v>
      </c>
      <c r="E28" s="95">
        <v>121</v>
      </c>
      <c r="F28" s="95">
        <v>350</v>
      </c>
      <c r="G28" s="95">
        <v>133</v>
      </c>
      <c r="H28" s="123">
        <v>1035</v>
      </c>
      <c r="J28" s="90"/>
      <c r="K28" s="90"/>
      <c r="L28" s="90"/>
      <c r="M28" s="90"/>
      <c r="N28" s="90"/>
    </row>
    <row r="29" spans="1:14" x14ac:dyDescent="0.3">
      <c r="A29" s="305"/>
      <c r="B29" s="323"/>
      <c r="C29" s="95" t="s">
        <v>883</v>
      </c>
      <c r="D29" s="95">
        <v>312</v>
      </c>
      <c r="E29" s="95">
        <v>139</v>
      </c>
      <c r="F29" s="95">
        <v>278</v>
      </c>
      <c r="G29" s="95">
        <v>40</v>
      </c>
      <c r="H29" s="123">
        <v>769</v>
      </c>
      <c r="J29" s="90"/>
      <c r="K29" s="90"/>
      <c r="L29" s="90"/>
      <c r="M29" s="90"/>
      <c r="N29" s="90"/>
    </row>
    <row r="30" spans="1:14" x14ac:dyDescent="0.3">
      <c r="A30" s="305"/>
      <c r="B30" s="308"/>
      <c r="C30" s="95" t="s">
        <v>884</v>
      </c>
      <c r="D30" s="96">
        <v>1530</v>
      </c>
      <c r="E30" s="95">
        <v>453</v>
      </c>
      <c r="F30" s="95">
        <v>663</v>
      </c>
      <c r="G30" s="95">
        <v>144</v>
      </c>
      <c r="H30" s="30">
        <v>2791</v>
      </c>
      <c r="J30" s="90"/>
      <c r="K30" s="90"/>
      <c r="L30" s="90"/>
      <c r="M30" s="90"/>
      <c r="N30" s="90"/>
    </row>
    <row r="31" spans="1:14" x14ac:dyDescent="0.3">
      <c r="A31" s="305"/>
      <c r="B31" s="307" t="s">
        <v>885</v>
      </c>
      <c r="C31" s="95" t="s">
        <v>886</v>
      </c>
      <c r="D31" s="96">
        <v>1590</v>
      </c>
      <c r="E31" s="95">
        <v>947</v>
      </c>
      <c r="F31" s="96">
        <v>1452</v>
      </c>
      <c r="G31" s="95">
        <v>638</v>
      </c>
      <c r="H31" s="30">
        <v>4627</v>
      </c>
      <c r="J31" s="90"/>
      <c r="K31" s="90"/>
      <c r="L31" s="90"/>
      <c r="M31" s="90"/>
      <c r="N31" s="90"/>
    </row>
    <row r="32" spans="1:14" x14ac:dyDescent="0.3">
      <c r="A32" s="305"/>
      <c r="B32" s="323"/>
      <c r="C32" s="95" t="s">
        <v>887</v>
      </c>
      <c r="D32" s="96">
        <v>1950</v>
      </c>
      <c r="E32" s="95">
        <v>542</v>
      </c>
      <c r="F32" s="95">
        <v>737</v>
      </c>
      <c r="G32" s="95">
        <v>191</v>
      </c>
      <c r="H32" s="30">
        <v>3421</v>
      </c>
      <c r="J32" s="90"/>
      <c r="K32" s="90"/>
      <c r="L32" s="90"/>
      <c r="M32" s="90"/>
      <c r="N32" s="90"/>
    </row>
    <row r="33" spans="1:14" x14ac:dyDescent="0.3">
      <c r="A33" s="305"/>
      <c r="B33" s="323"/>
      <c r="C33" s="95" t="s">
        <v>888</v>
      </c>
      <c r="D33" s="95">
        <v>544</v>
      </c>
      <c r="E33" s="95">
        <v>257</v>
      </c>
      <c r="F33" s="95">
        <v>274</v>
      </c>
      <c r="G33" s="95">
        <v>9</v>
      </c>
      <c r="H33" s="123">
        <v>1084</v>
      </c>
      <c r="J33" s="90"/>
      <c r="K33" s="90"/>
      <c r="L33" s="90"/>
      <c r="M33" s="90"/>
      <c r="N33" s="90"/>
    </row>
    <row r="34" spans="1:14" x14ac:dyDescent="0.3">
      <c r="A34" s="305"/>
      <c r="B34" s="323"/>
      <c r="C34" s="95" t="s">
        <v>889</v>
      </c>
      <c r="D34" s="95">
        <v>204</v>
      </c>
      <c r="E34" s="95">
        <v>115</v>
      </c>
      <c r="F34" s="95">
        <v>103</v>
      </c>
      <c r="G34" s="95">
        <v>11</v>
      </c>
      <c r="H34" s="123">
        <v>433</v>
      </c>
      <c r="J34" s="90"/>
      <c r="K34" s="90"/>
      <c r="L34" s="90"/>
      <c r="M34" s="90"/>
      <c r="N34" s="90"/>
    </row>
    <row r="35" spans="1:14" x14ac:dyDescent="0.3">
      <c r="A35" s="305"/>
      <c r="B35" s="323"/>
      <c r="C35" s="95" t="s">
        <v>890</v>
      </c>
      <c r="D35" s="95">
        <v>677</v>
      </c>
      <c r="E35" s="95">
        <v>384</v>
      </c>
      <c r="F35" s="95">
        <v>1053</v>
      </c>
      <c r="G35" s="95">
        <v>198</v>
      </c>
      <c r="H35" s="30">
        <v>2312</v>
      </c>
      <c r="J35" s="90"/>
      <c r="K35" s="90"/>
      <c r="L35" s="90"/>
      <c r="M35" s="90"/>
      <c r="N35" s="90"/>
    </row>
    <row r="36" spans="1:14" x14ac:dyDescent="0.3">
      <c r="A36" s="305"/>
      <c r="B36" s="323"/>
      <c r="C36" s="95" t="s">
        <v>891</v>
      </c>
      <c r="D36" s="95">
        <v>404</v>
      </c>
      <c r="E36" s="95">
        <v>134</v>
      </c>
      <c r="F36" s="95">
        <v>185</v>
      </c>
      <c r="G36" s="95">
        <v>347</v>
      </c>
      <c r="H36" s="123">
        <v>1069</v>
      </c>
      <c r="J36" s="90"/>
      <c r="K36" s="90"/>
      <c r="L36" s="90"/>
      <c r="M36" s="90"/>
      <c r="N36" s="90"/>
    </row>
    <row r="37" spans="1:14" x14ac:dyDescent="0.3">
      <c r="A37" s="305"/>
      <c r="B37" s="323"/>
      <c r="C37" s="95" t="s">
        <v>892</v>
      </c>
      <c r="D37" s="96">
        <v>1406</v>
      </c>
      <c r="E37" s="95">
        <v>805</v>
      </c>
      <c r="F37" s="96">
        <v>2240</v>
      </c>
      <c r="G37" s="95">
        <v>376</v>
      </c>
      <c r="H37" s="30">
        <v>4827</v>
      </c>
      <c r="J37" s="90"/>
      <c r="K37" s="90"/>
      <c r="L37" s="90"/>
      <c r="M37" s="90"/>
      <c r="N37" s="90"/>
    </row>
    <row r="38" spans="1:14" x14ac:dyDescent="0.3">
      <c r="A38" s="305"/>
      <c r="B38" s="323"/>
      <c r="C38" s="95" t="s">
        <v>893</v>
      </c>
      <c r="D38" s="95">
        <v>311</v>
      </c>
      <c r="E38" s="95">
        <v>168</v>
      </c>
      <c r="F38" s="95">
        <v>384</v>
      </c>
      <c r="G38" s="95">
        <v>92</v>
      </c>
      <c r="H38" s="123">
        <v>955</v>
      </c>
      <c r="J38" s="90"/>
      <c r="K38" s="90"/>
      <c r="L38" s="90"/>
      <c r="M38" s="90"/>
      <c r="N38" s="90"/>
    </row>
    <row r="39" spans="1:14" x14ac:dyDescent="0.3">
      <c r="A39" s="305"/>
      <c r="B39" s="308"/>
      <c r="C39" s="95" t="s">
        <v>894</v>
      </c>
      <c r="D39" s="96">
        <v>1400</v>
      </c>
      <c r="E39" s="96">
        <v>1131</v>
      </c>
      <c r="F39" s="96">
        <v>2519</v>
      </c>
      <c r="G39" s="96">
        <v>3008</v>
      </c>
      <c r="H39" s="30">
        <v>8058</v>
      </c>
      <c r="J39" s="90"/>
      <c r="K39" s="90"/>
      <c r="L39" s="90"/>
      <c r="M39" s="90"/>
      <c r="N39" s="90"/>
    </row>
    <row r="40" spans="1:14" x14ac:dyDescent="0.3">
      <c r="A40" s="305"/>
      <c r="B40" s="307" t="s">
        <v>895</v>
      </c>
      <c r="C40" s="95" t="s">
        <v>896</v>
      </c>
      <c r="D40" s="95">
        <v>148</v>
      </c>
      <c r="E40" s="95">
        <v>115</v>
      </c>
      <c r="F40" s="95">
        <v>95</v>
      </c>
      <c r="G40" s="95">
        <v>302</v>
      </c>
      <c r="H40" s="123">
        <v>661</v>
      </c>
      <c r="J40" s="90"/>
      <c r="K40" s="90"/>
      <c r="L40" s="90"/>
      <c r="M40" s="90"/>
      <c r="N40" s="90"/>
    </row>
    <row r="41" spans="1:14" x14ac:dyDescent="0.3">
      <c r="A41" s="305"/>
      <c r="B41" s="323"/>
      <c r="C41" s="95" t="s">
        <v>897</v>
      </c>
      <c r="D41" s="95">
        <v>795</v>
      </c>
      <c r="E41" s="95">
        <v>592</v>
      </c>
      <c r="F41" s="95">
        <v>754</v>
      </c>
      <c r="G41" s="95">
        <v>1412</v>
      </c>
      <c r="H41" s="30">
        <v>3553</v>
      </c>
      <c r="J41" s="90"/>
      <c r="K41" s="90"/>
      <c r="L41" s="90"/>
      <c r="M41" s="90"/>
      <c r="N41" s="90"/>
    </row>
    <row r="42" spans="1:14" x14ac:dyDescent="0.3">
      <c r="A42" s="305"/>
      <c r="B42" s="323"/>
      <c r="C42" s="95" t="s">
        <v>898</v>
      </c>
      <c r="D42" s="95">
        <v>263</v>
      </c>
      <c r="E42" s="95">
        <v>393</v>
      </c>
      <c r="F42" s="95">
        <v>331</v>
      </c>
      <c r="G42" s="95">
        <v>90</v>
      </c>
      <c r="H42" s="30">
        <v>1077</v>
      </c>
      <c r="J42" s="90"/>
      <c r="K42" s="90"/>
      <c r="L42" s="90"/>
      <c r="M42" s="90"/>
      <c r="N42" s="90"/>
    </row>
    <row r="43" spans="1:14" x14ac:dyDescent="0.3">
      <c r="A43" s="305"/>
      <c r="B43" s="323"/>
      <c r="C43" s="95" t="s">
        <v>899</v>
      </c>
      <c r="D43" s="95">
        <v>172</v>
      </c>
      <c r="E43" s="95">
        <v>377</v>
      </c>
      <c r="F43" s="95">
        <v>249</v>
      </c>
      <c r="G43" s="95">
        <v>38</v>
      </c>
      <c r="H43" s="123">
        <v>836</v>
      </c>
      <c r="J43" s="90"/>
      <c r="K43" s="90"/>
      <c r="L43" s="90"/>
      <c r="M43" s="90"/>
      <c r="N43" s="90"/>
    </row>
    <row r="44" spans="1:14" x14ac:dyDescent="0.3">
      <c r="A44" s="305"/>
      <c r="B44" s="308"/>
      <c r="C44" s="95" t="s">
        <v>900</v>
      </c>
      <c r="D44" s="95">
        <v>561</v>
      </c>
      <c r="E44" s="96">
        <v>1607</v>
      </c>
      <c r="F44" s="96">
        <v>1274</v>
      </c>
      <c r="G44" s="96">
        <v>2158</v>
      </c>
      <c r="H44" s="30">
        <v>5600</v>
      </c>
      <c r="J44" s="90"/>
      <c r="K44" s="90"/>
      <c r="L44" s="90"/>
      <c r="M44" s="90"/>
      <c r="N44" s="90"/>
    </row>
    <row r="45" spans="1:14" x14ac:dyDescent="0.3">
      <c r="A45" s="306"/>
      <c r="B45" s="339" t="s">
        <v>110</v>
      </c>
      <c r="C45" s="322"/>
      <c r="D45" s="98">
        <v>20003</v>
      </c>
      <c r="E45" s="98">
        <v>9138</v>
      </c>
      <c r="F45" s="98">
        <v>14164</v>
      </c>
      <c r="G45" s="98">
        <v>9934</v>
      </c>
      <c r="H45" s="32">
        <v>53240</v>
      </c>
      <c r="J45" s="90"/>
      <c r="K45" s="90"/>
      <c r="L45" s="90"/>
      <c r="M45" s="90"/>
      <c r="N45" s="90"/>
    </row>
    <row r="46" spans="1:14" x14ac:dyDescent="0.3">
      <c r="A46" s="304" t="s">
        <v>997</v>
      </c>
      <c r="B46" s="307" t="s">
        <v>902</v>
      </c>
      <c r="C46" s="95" t="s">
        <v>903</v>
      </c>
      <c r="D46" s="95">
        <v>914</v>
      </c>
      <c r="E46" s="95">
        <v>144</v>
      </c>
      <c r="F46" s="95">
        <v>488</v>
      </c>
      <c r="G46" s="95">
        <v>68</v>
      </c>
      <c r="H46" s="30">
        <v>1614</v>
      </c>
      <c r="J46" s="90"/>
      <c r="K46" s="90"/>
      <c r="L46" s="90"/>
      <c r="M46" s="90"/>
      <c r="N46" s="90"/>
    </row>
    <row r="47" spans="1:14" x14ac:dyDescent="0.3">
      <c r="A47" s="305"/>
      <c r="B47" s="323"/>
      <c r="C47" s="95" t="s">
        <v>904</v>
      </c>
      <c r="D47" s="95">
        <v>58</v>
      </c>
      <c r="E47" s="95">
        <v>6</v>
      </c>
      <c r="F47" s="95">
        <v>3</v>
      </c>
      <c r="G47" s="95">
        <v>15</v>
      </c>
      <c r="H47" s="123">
        <v>81</v>
      </c>
      <c r="J47" s="90"/>
      <c r="K47" s="90"/>
      <c r="L47" s="90"/>
      <c r="M47" s="90"/>
      <c r="N47" s="90"/>
    </row>
    <row r="48" spans="1:14" x14ac:dyDescent="0.3">
      <c r="A48" s="305"/>
      <c r="B48" s="323"/>
      <c r="C48" s="95" t="s">
        <v>905</v>
      </c>
      <c r="D48" s="95">
        <v>79</v>
      </c>
      <c r="E48" s="95">
        <v>21</v>
      </c>
      <c r="F48" s="95">
        <v>95</v>
      </c>
      <c r="G48" s="95">
        <v>1</v>
      </c>
      <c r="H48" s="123">
        <v>196</v>
      </c>
      <c r="J48" s="90"/>
      <c r="K48" s="90"/>
      <c r="L48" s="90"/>
      <c r="M48" s="90"/>
      <c r="N48" s="90"/>
    </row>
    <row r="49" spans="1:14" x14ac:dyDescent="0.3">
      <c r="A49" s="305"/>
      <c r="B49" s="323"/>
      <c r="C49" s="95" t="s">
        <v>906</v>
      </c>
      <c r="D49" s="95">
        <v>291</v>
      </c>
      <c r="E49" s="95">
        <v>105</v>
      </c>
      <c r="F49" s="95">
        <v>40</v>
      </c>
      <c r="G49" s="95">
        <v>1</v>
      </c>
      <c r="H49" s="123">
        <v>437</v>
      </c>
      <c r="J49" s="90"/>
      <c r="K49" s="90"/>
      <c r="L49" s="90"/>
      <c r="M49" s="90"/>
      <c r="N49" s="90"/>
    </row>
    <row r="50" spans="1:14" x14ac:dyDescent="0.3">
      <c r="A50" s="305"/>
      <c r="B50" s="308"/>
      <c r="C50" s="95" t="s">
        <v>907</v>
      </c>
      <c r="D50" s="95">
        <v>227</v>
      </c>
      <c r="E50" s="95">
        <v>71</v>
      </c>
      <c r="F50" s="95">
        <v>205</v>
      </c>
      <c r="G50" s="95">
        <v>25</v>
      </c>
      <c r="H50" s="123">
        <v>528</v>
      </c>
      <c r="J50" s="90"/>
      <c r="K50" s="90"/>
      <c r="L50" s="90"/>
      <c r="M50" s="90"/>
      <c r="N50" s="90"/>
    </row>
    <row r="51" spans="1:14" ht="33" x14ac:dyDescent="0.3">
      <c r="A51" s="305"/>
      <c r="B51" s="307" t="s">
        <v>908</v>
      </c>
      <c r="C51" s="95" t="s">
        <v>909</v>
      </c>
      <c r="D51" s="96">
        <v>1680</v>
      </c>
      <c r="E51" s="95">
        <v>772</v>
      </c>
      <c r="F51" s="96">
        <v>1586</v>
      </c>
      <c r="G51" s="95">
        <v>510</v>
      </c>
      <c r="H51" s="30">
        <v>4548</v>
      </c>
      <c r="J51" s="90"/>
      <c r="K51" s="90"/>
      <c r="L51" s="90"/>
      <c r="M51" s="90"/>
      <c r="N51" s="90"/>
    </row>
    <row r="52" spans="1:14" x14ac:dyDescent="0.3">
      <c r="A52" s="305"/>
      <c r="B52" s="308"/>
      <c r="C52" s="95" t="s">
        <v>910</v>
      </c>
      <c r="D52" s="95">
        <v>871</v>
      </c>
      <c r="E52" s="95">
        <v>353</v>
      </c>
      <c r="F52" s="95">
        <v>736</v>
      </c>
      <c r="G52" s="95">
        <v>101</v>
      </c>
      <c r="H52" s="30">
        <v>2061</v>
      </c>
      <c r="J52" s="90"/>
      <c r="K52" s="90"/>
      <c r="L52" s="90"/>
      <c r="M52" s="90"/>
      <c r="N52" s="90"/>
    </row>
    <row r="53" spans="1:14" x14ac:dyDescent="0.3">
      <c r="A53" s="305"/>
      <c r="B53" s="307" t="s">
        <v>911</v>
      </c>
      <c r="C53" s="95" t="s">
        <v>912</v>
      </c>
      <c r="D53" s="95">
        <v>312</v>
      </c>
      <c r="E53" s="95">
        <v>88</v>
      </c>
      <c r="F53" s="95">
        <v>59</v>
      </c>
      <c r="G53" s="95">
        <v>17</v>
      </c>
      <c r="H53" s="123">
        <v>476</v>
      </c>
      <c r="J53" s="90"/>
      <c r="K53" s="90"/>
      <c r="L53" s="90"/>
      <c r="M53" s="90"/>
      <c r="N53" s="90"/>
    </row>
    <row r="54" spans="1:14" x14ac:dyDescent="0.3">
      <c r="A54" s="305"/>
      <c r="B54" s="323"/>
      <c r="C54" s="95" t="s">
        <v>913</v>
      </c>
      <c r="D54" s="95">
        <v>176</v>
      </c>
      <c r="E54" s="95">
        <v>59</v>
      </c>
      <c r="F54" s="95">
        <v>134</v>
      </c>
      <c r="G54" s="95">
        <v>41</v>
      </c>
      <c r="H54" s="123">
        <v>411</v>
      </c>
      <c r="J54" s="90"/>
      <c r="K54" s="90"/>
      <c r="L54" s="90"/>
      <c r="M54" s="90"/>
      <c r="N54" s="90"/>
    </row>
    <row r="55" spans="1:14" x14ac:dyDescent="0.3">
      <c r="A55" s="305"/>
      <c r="B55" s="308"/>
      <c r="C55" s="95" t="s">
        <v>914</v>
      </c>
      <c r="D55" s="95">
        <v>74</v>
      </c>
      <c r="E55" s="95">
        <v>136</v>
      </c>
      <c r="F55" s="95">
        <v>127</v>
      </c>
      <c r="G55" s="95">
        <v>1</v>
      </c>
      <c r="H55" s="123">
        <v>339</v>
      </c>
      <c r="J55" s="90"/>
      <c r="K55" s="90"/>
      <c r="L55" s="90"/>
      <c r="M55" s="90"/>
      <c r="N55" s="90"/>
    </row>
    <row r="56" spans="1:14" x14ac:dyDescent="0.3">
      <c r="A56" s="305"/>
      <c r="B56" s="307" t="s">
        <v>915</v>
      </c>
      <c r="C56" s="95" t="s">
        <v>916</v>
      </c>
      <c r="D56" s="95">
        <v>311</v>
      </c>
      <c r="E56" s="95">
        <v>19</v>
      </c>
      <c r="F56" s="95">
        <v>65</v>
      </c>
      <c r="G56" s="95">
        <v>0</v>
      </c>
      <c r="H56" s="123">
        <v>395</v>
      </c>
      <c r="J56" s="90"/>
      <c r="K56" s="90"/>
      <c r="L56" s="90"/>
      <c r="M56" s="90"/>
      <c r="N56" s="90"/>
    </row>
    <row r="57" spans="1:14" x14ac:dyDescent="0.3">
      <c r="A57" s="305"/>
      <c r="B57" s="323"/>
      <c r="C57" s="95" t="s">
        <v>985</v>
      </c>
      <c r="D57" s="95">
        <v>160</v>
      </c>
      <c r="E57" s="95">
        <v>29</v>
      </c>
      <c r="F57" s="95">
        <v>240</v>
      </c>
      <c r="G57" s="95">
        <v>11</v>
      </c>
      <c r="H57" s="123">
        <v>440</v>
      </c>
      <c r="J57" s="90"/>
      <c r="K57" s="90"/>
      <c r="L57" s="90"/>
      <c r="M57" s="90"/>
      <c r="N57" s="90"/>
    </row>
    <row r="58" spans="1:14" x14ac:dyDescent="0.3">
      <c r="A58" s="305"/>
      <c r="B58" s="323"/>
      <c r="C58" s="95" t="s">
        <v>918</v>
      </c>
      <c r="D58" s="95">
        <v>76</v>
      </c>
      <c r="E58" s="95">
        <v>14</v>
      </c>
      <c r="F58" s="95">
        <v>0</v>
      </c>
      <c r="G58" s="95">
        <v>0</v>
      </c>
      <c r="H58" s="123">
        <v>90</v>
      </c>
      <c r="J58" s="90"/>
      <c r="K58" s="90"/>
      <c r="L58" s="90"/>
      <c r="M58" s="90"/>
      <c r="N58" s="90"/>
    </row>
    <row r="59" spans="1:14" x14ac:dyDescent="0.3">
      <c r="A59" s="305"/>
      <c r="B59" s="323"/>
      <c r="C59" s="95" t="s">
        <v>919</v>
      </c>
      <c r="D59" s="95">
        <v>109</v>
      </c>
      <c r="E59" s="95">
        <v>58</v>
      </c>
      <c r="F59" s="95">
        <v>70</v>
      </c>
      <c r="G59" s="95">
        <v>1</v>
      </c>
      <c r="H59" s="123">
        <v>238</v>
      </c>
      <c r="J59" s="90"/>
      <c r="K59" s="90"/>
      <c r="L59" s="90"/>
      <c r="M59" s="90"/>
      <c r="N59" s="90"/>
    </row>
    <row r="60" spans="1:14" x14ac:dyDescent="0.3">
      <c r="A60" s="305"/>
      <c r="B60" s="323"/>
      <c r="C60" s="95" t="s">
        <v>920</v>
      </c>
      <c r="D60" s="95">
        <v>158</v>
      </c>
      <c r="E60" s="95">
        <v>23</v>
      </c>
      <c r="F60" s="95">
        <v>19</v>
      </c>
      <c r="G60" s="95">
        <v>28</v>
      </c>
      <c r="H60" s="123">
        <v>228</v>
      </c>
      <c r="J60" s="90"/>
      <c r="K60" s="90"/>
      <c r="L60" s="90"/>
      <c r="M60" s="90"/>
      <c r="N60" s="90"/>
    </row>
    <row r="61" spans="1:14" x14ac:dyDescent="0.3">
      <c r="A61" s="305"/>
      <c r="B61" s="323"/>
      <c r="C61" s="95" t="s">
        <v>921</v>
      </c>
      <c r="D61" s="95">
        <v>86</v>
      </c>
      <c r="E61" s="95">
        <v>82</v>
      </c>
      <c r="F61" s="95">
        <v>137</v>
      </c>
      <c r="G61" s="95">
        <v>17</v>
      </c>
      <c r="H61" s="123">
        <v>323</v>
      </c>
      <c r="J61" s="90"/>
      <c r="K61" s="90"/>
      <c r="L61" s="90"/>
      <c r="M61" s="90"/>
      <c r="N61" s="90"/>
    </row>
    <row r="62" spans="1:14" x14ac:dyDescent="0.3">
      <c r="A62" s="305"/>
      <c r="B62" s="323"/>
      <c r="C62" s="95" t="s">
        <v>922</v>
      </c>
      <c r="D62" s="95">
        <v>148</v>
      </c>
      <c r="E62" s="95">
        <v>87</v>
      </c>
      <c r="F62" s="95">
        <v>210</v>
      </c>
      <c r="G62" s="95">
        <v>2</v>
      </c>
      <c r="H62" s="123">
        <v>447</v>
      </c>
      <c r="J62" s="90"/>
      <c r="K62" s="90"/>
      <c r="L62" s="90"/>
      <c r="M62" s="90"/>
      <c r="N62" s="90"/>
    </row>
    <row r="63" spans="1:14" x14ac:dyDescent="0.3">
      <c r="A63" s="305"/>
      <c r="B63" s="308"/>
      <c r="C63" s="95" t="s">
        <v>923</v>
      </c>
      <c r="D63" s="95">
        <v>161</v>
      </c>
      <c r="E63" s="95">
        <v>87</v>
      </c>
      <c r="F63" s="95">
        <v>381</v>
      </c>
      <c r="G63" s="95">
        <v>247</v>
      </c>
      <c r="H63" s="123">
        <v>877</v>
      </c>
      <c r="J63" s="90"/>
      <c r="K63" s="90"/>
      <c r="L63" s="90"/>
      <c r="M63" s="90"/>
      <c r="N63" s="90"/>
    </row>
    <row r="64" spans="1:14" x14ac:dyDescent="0.3">
      <c r="A64" s="306"/>
      <c r="B64" s="339" t="s">
        <v>110</v>
      </c>
      <c r="C64" s="322"/>
      <c r="D64" s="98">
        <v>5893</v>
      </c>
      <c r="E64" s="98">
        <v>2156</v>
      </c>
      <c r="F64" s="98">
        <v>4594</v>
      </c>
      <c r="G64" s="97">
        <v>1086</v>
      </c>
      <c r="H64" s="32">
        <v>13729</v>
      </c>
      <c r="J64" s="90"/>
      <c r="K64" s="90"/>
      <c r="L64" s="90"/>
      <c r="M64" s="90"/>
      <c r="N64" s="90"/>
    </row>
    <row r="65" spans="1:14" x14ac:dyDescent="0.3">
      <c r="A65" s="304" t="s">
        <v>998</v>
      </c>
      <c r="B65" s="307" t="s">
        <v>925</v>
      </c>
      <c r="C65" s="95" t="s">
        <v>926</v>
      </c>
      <c r="D65" s="95">
        <v>151</v>
      </c>
      <c r="E65" s="95">
        <v>571</v>
      </c>
      <c r="F65" s="96">
        <v>3656</v>
      </c>
      <c r="G65" s="95">
        <v>119</v>
      </c>
      <c r="H65" s="30">
        <v>4497</v>
      </c>
      <c r="J65" s="90"/>
      <c r="K65" s="90"/>
      <c r="L65" s="90"/>
      <c r="M65" s="90"/>
      <c r="N65" s="90"/>
    </row>
    <row r="66" spans="1:14" x14ac:dyDescent="0.3">
      <c r="A66" s="305"/>
      <c r="B66" s="323"/>
      <c r="C66" s="95" t="s">
        <v>927</v>
      </c>
      <c r="D66" s="95">
        <v>51</v>
      </c>
      <c r="E66" s="95">
        <v>98</v>
      </c>
      <c r="F66" s="95">
        <v>198</v>
      </c>
      <c r="G66" s="95">
        <v>0</v>
      </c>
      <c r="H66" s="123">
        <v>346</v>
      </c>
      <c r="J66" s="90"/>
      <c r="K66" s="90"/>
      <c r="L66" s="90"/>
      <c r="M66" s="90"/>
      <c r="N66" s="90"/>
    </row>
    <row r="67" spans="1:14" x14ac:dyDescent="0.3">
      <c r="A67" s="305"/>
      <c r="B67" s="323"/>
      <c r="C67" s="95" t="s">
        <v>928</v>
      </c>
      <c r="D67" s="95">
        <v>67</v>
      </c>
      <c r="E67" s="95">
        <v>326</v>
      </c>
      <c r="F67" s="95">
        <v>555</v>
      </c>
      <c r="G67" s="95">
        <v>0</v>
      </c>
      <c r="H67" s="123">
        <v>948</v>
      </c>
      <c r="J67" s="90"/>
      <c r="K67" s="90"/>
      <c r="L67" s="90"/>
      <c r="M67" s="90"/>
      <c r="N67" s="90"/>
    </row>
    <row r="68" spans="1:14" x14ac:dyDescent="0.3">
      <c r="A68" s="305"/>
      <c r="B68" s="308"/>
      <c r="C68" s="95" t="s">
        <v>929</v>
      </c>
      <c r="D68" s="95">
        <v>63</v>
      </c>
      <c r="E68" s="95">
        <v>685</v>
      </c>
      <c r="F68" s="95">
        <v>444</v>
      </c>
      <c r="G68" s="95">
        <v>86</v>
      </c>
      <c r="H68" s="123">
        <v>1278</v>
      </c>
      <c r="J68" s="90"/>
      <c r="K68" s="90"/>
      <c r="L68" s="90"/>
      <c r="M68" s="90"/>
      <c r="N68" s="90"/>
    </row>
    <row r="69" spans="1:14" x14ac:dyDescent="0.3">
      <c r="A69" s="305"/>
      <c r="B69" s="307" t="s">
        <v>930</v>
      </c>
      <c r="C69" s="95" t="s">
        <v>931</v>
      </c>
      <c r="D69" s="95">
        <v>51</v>
      </c>
      <c r="E69" s="95">
        <v>322</v>
      </c>
      <c r="F69" s="96">
        <v>211</v>
      </c>
      <c r="G69" s="95">
        <v>1274</v>
      </c>
      <c r="H69" s="30">
        <v>1859</v>
      </c>
      <c r="J69" s="90"/>
      <c r="K69" s="90"/>
      <c r="L69" s="90"/>
      <c r="M69" s="90"/>
      <c r="N69" s="90"/>
    </row>
    <row r="70" spans="1:14" x14ac:dyDescent="0.3">
      <c r="A70" s="305"/>
      <c r="B70" s="323"/>
      <c r="C70" s="95" t="s">
        <v>932</v>
      </c>
      <c r="D70" s="95">
        <v>5</v>
      </c>
      <c r="E70" s="95">
        <v>36</v>
      </c>
      <c r="F70" s="95">
        <v>49</v>
      </c>
      <c r="G70" s="95">
        <v>159</v>
      </c>
      <c r="H70" s="123">
        <v>249</v>
      </c>
      <c r="J70" s="90"/>
      <c r="K70" s="90"/>
      <c r="L70" s="90"/>
      <c r="M70" s="90"/>
      <c r="N70" s="90"/>
    </row>
    <row r="71" spans="1:14" x14ac:dyDescent="0.3">
      <c r="A71" s="305"/>
      <c r="B71" s="323"/>
      <c r="C71" s="95" t="s">
        <v>933</v>
      </c>
      <c r="D71" s="95">
        <v>1</v>
      </c>
      <c r="E71" s="95">
        <v>0</v>
      </c>
      <c r="F71" s="95">
        <v>6</v>
      </c>
      <c r="G71" s="95">
        <v>111</v>
      </c>
      <c r="H71" s="123">
        <v>118</v>
      </c>
      <c r="J71" s="90"/>
      <c r="K71" s="90"/>
      <c r="L71" s="90"/>
      <c r="M71" s="90"/>
      <c r="N71" s="90"/>
    </row>
    <row r="72" spans="1:14" x14ac:dyDescent="0.3">
      <c r="A72" s="305"/>
      <c r="B72" s="308"/>
      <c r="C72" s="95" t="s">
        <v>934</v>
      </c>
      <c r="D72" s="95">
        <v>6</v>
      </c>
      <c r="E72" s="95">
        <v>31</v>
      </c>
      <c r="F72" s="95">
        <v>394</v>
      </c>
      <c r="G72" s="95">
        <v>51</v>
      </c>
      <c r="H72" s="123">
        <v>482</v>
      </c>
      <c r="J72" s="90"/>
      <c r="K72" s="90"/>
      <c r="L72" s="90"/>
      <c r="M72" s="90"/>
      <c r="N72" s="90"/>
    </row>
    <row r="73" spans="1:14" x14ac:dyDescent="0.3">
      <c r="A73" s="305"/>
      <c r="B73" s="307" t="s">
        <v>935</v>
      </c>
      <c r="C73" s="95" t="s">
        <v>936</v>
      </c>
      <c r="D73" s="95">
        <v>65</v>
      </c>
      <c r="E73" s="95">
        <v>413</v>
      </c>
      <c r="F73" s="96">
        <v>3283</v>
      </c>
      <c r="G73" s="95">
        <v>74</v>
      </c>
      <c r="H73" s="30">
        <v>3835</v>
      </c>
      <c r="J73" s="90"/>
      <c r="K73" s="90"/>
      <c r="L73" s="90"/>
      <c r="M73" s="90"/>
      <c r="N73" s="90"/>
    </row>
    <row r="74" spans="1:14" x14ac:dyDescent="0.3">
      <c r="A74" s="305"/>
      <c r="B74" s="323"/>
      <c r="C74" s="95" t="s">
        <v>937</v>
      </c>
      <c r="D74" s="95">
        <v>119</v>
      </c>
      <c r="E74" s="95">
        <v>1235</v>
      </c>
      <c r="F74" s="95">
        <v>271</v>
      </c>
      <c r="G74" s="95">
        <v>70</v>
      </c>
      <c r="H74" s="30">
        <v>1695</v>
      </c>
      <c r="J74" s="90"/>
      <c r="K74" s="90"/>
      <c r="L74" s="90"/>
      <c r="M74" s="90"/>
      <c r="N74" s="90"/>
    </row>
    <row r="75" spans="1:14" x14ac:dyDescent="0.3">
      <c r="A75" s="305"/>
      <c r="B75" s="323"/>
      <c r="C75" s="95" t="s">
        <v>938</v>
      </c>
      <c r="D75" s="95">
        <v>27</v>
      </c>
      <c r="E75" s="95">
        <v>64</v>
      </c>
      <c r="F75" s="95">
        <v>1</v>
      </c>
      <c r="G75" s="95">
        <v>1485</v>
      </c>
      <c r="H75" s="123">
        <v>1577</v>
      </c>
      <c r="J75" s="90"/>
      <c r="K75" s="90"/>
      <c r="L75" s="90"/>
      <c r="M75" s="90"/>
      <c r="N75" s="90"/>
    </row>
    <row r="76" spans="1:14" x14ac:dyDescent="0.3">
      <c r="A76" s="305"/>
      <c r="B76" s="308"/>
      <c r="C76" s="95" t="s">
        <v>939</v>
      </c>
      <c r="D76" s="95">
        <v>82</v>
      </c>
      <c r="E76" s="95">
        <v>1462</v>
      </c>
      <c r="F76" s="95">
        <v>551</v>
      </c>
      <c r="G76" s="95">
        <v>169</v>
      </c>
      <c r="H76" s="30">
        <v>2265</v>
      </c>
      <c r="J76" s="90"/>
      <c r="K76" s="90"/>
      <c r="L76" s="90"/>
      <c r="M76" s="90"/>
      <c r="N76" s="90"/>
    </row>
    <row r="77" spans="1:14" x14ac:dyDescent="0.3">
      <c r="A77" s="305"/>
      <c r="B77" s="95" t="s">
        <v>85</v>
      </c>
      <c r="C77" s="95" t="s">
        <v>940</v>
      </c>
      <c r="D77" s="95">
        <v>403</v>
      </c>
      <c r="E77" s="95">
        <v>137</v>
      </c>
      <c r="F77" s="95">
        <v>1174</v>
      </c>
      <c r="G77" s="95">
        <v>733</v>
      </c>
      <c r="H77" s="30">
        <v>2447</v>
      </c>
      <c r="J77" s="90"/>
      <c r="K77" s="90"/>
      <c r="L77" s="90"/>
      <c r="M77" s="90"/>
      <c r="N77" s="90"/>
    </row>
    <row r="78" spans="1:14" x14ac:dyDescent="0.3">
      <c r="A78" s="306"/>
      <c r="B78" s="339" t="s">
        <v>110</v>
      </c>
      <c r="C78" s="322"/>
      <c r="D78" s="97">
        <v>1089</v>
      </c>
      <c r="E78" s="98">
        <v>5381</v>
      </c>
      <c r="F78" s="98">
        <v>10794</v>
      </c>
      <c r="G78" s="98">
        <v>4332</v>
      </c>
      <c r="H78" s="32">
        <v>21595</v>
      </c>
      <c r="J78" s="90"/>
      <c r="K78" s="90"/>
      <c r="L78" s="90"/>
      <c r="M78" s="90"/>
      <c r="N78" s="90"/>
    </row>
    <row r="79" spans="1:14" x14ac:dyDescent="0.3">
      <c r="A79" s="304" t="s">
        <v>999</v>
      </c>
      <c r="B79" s="307" t="s">
        <v>942</v>
      </c>
      <c r="C79" s="95" t="s">
        <v>943</v>
      </c>
      <c r="D79" s="95">
        <v>461</v>
      </c>
      <c r="E79" s="95">
        <v>732</v>
      </c>
      <c r="F79" s="96">
        <v>1628</v>
      </c>
      <c r="G79" s="95">
        <v>216</v>
      </c>
      <c r="H79" s="30">
        <v>3036</v>
      </c>
      <c r="J79" s="90"/>
      <c r="K79" s="90"/>
      <c r="L79" s="90"/>
      <c r="M79" s="90"/>
      <c r="N79" s="90"/>
    </row>
    <row r="80" spans="1:14" x14ac:dyDescent="0.3">
      <c r="A80" s="305"/>
      <c r="B80" s="323"/>
      <c r="C80" s="95" t="s">
        <v>944</v>
      </c>
      <c r="D80" s="95">
        <v>179</v>
      </c>
      <c r="E80" s="95">
        <v>50</v>
      </c>
      <c r="F80" s="95">
        <v>125</v>
      </c>
      <c r="G80" s="95">
        <v>460</v>
      </c>
      <c r="H80" s="123">
        <v>814</v>
      </c>
      <c r="J80" s="90"/>
      <c r="K80" s="90"/>
      <c r="L80" s="90"/>
      <c r="M80" s="90"/>
      <c r="N80" s="90"/>
    </row>
    <row r="81" spans="1:14" x14ac:dyDescent="0.3">
      <c r="A81" s="305"/>
      <c r="B81" s="323"/>
      <c r="C81" s="95" t="s">
        <v>945</v>
      </c>
      <c r="D81" s="95">
        <v>165</v>
      </c>
      <c r="E81" s="95">
        <v>87</v>
      </c>
      <c r="F81" s="95">
        <v>202</v>
      </c>
      <c r="G81" s="95">
        <v>4</v>
      </c>
      <c r="H81" s="123">
        <v>458</v>
      </c>
      <c r="J81" s="90"/>
      <c r="K81" s="90"/>
      <c r="L81" s="90"/>
      <c r="M81" s="90"/>
      <c r="N81" s="90"/>
    </row>
    <row r="82" spans="1:14" x14ac:dyDescent="0.3">
      <c r="A82" s="305"/>
      <c r="B82" s="323"/>
      <c r="C82" s="95" t="s">
        <v>946</v>
      </c>
      <c r="D82" s="95">
        <v>493</v>
      </c>
      <c r="E82" s="95">
        <v>279</v>
      </c>
      <c r="F82" s="95">
        <v>1182</v>
      </c>
      <c r="G82" s="95">
        <v>80</v>
      </c>
      <c r="H82" s="30">
        <v>2035</v>
      </c>
      <c r="J82" s="90"/>
      <c r="K82" s="90"/>
      <c r="L82" s="90"/>
      <c r="M82" s="90"/>
      <c r="N82" s="90"/>
    </row>
    <row r="83" spans="1:14" x14ac:dyDescent="0.3">
      <c r="A83" s="305"/>
      <c r="B83" s="323"/>
      <c r="C83" s="95" t="s">
        <v>947</v>
      </c>
      <c r="D83" s="95">
        <v>514</v>
      </c>
      <c r="E83" s="95">
        <v>403</v>
      </c>
      <c r="F83" s="95">
        <v>771</v>
      </c>
      <c r="G83" s="95">
        <v>28</v>
      </c>
      <c r="H83" s="30">
        <v>1716</v>
      </c>
      <c r="J83" s="90"/>
      <c r="K83" s="90"/>
      <c r="L83" s="90"/>
      <c r="M83" s="90"/>
      <c r="N83" s="90"/>
    </row>
    <row r="84" spans="1:14" x14ac:dyDescent="0.3">
      <c r="A84" s="305"/>
      <c r="B84" s="308"/>
      <c r="C84" s="95" t="s">
        <v>948</v>
      </c>
      <c r="D84" s="95">
        <v>990</v>
      </c>
      <c r="E84" s="95">
        <v>958</v>
      </c>
      <c r="F84" s="95">
        <v>987</v>
      </c>
      <c r="G84" s="95">
        <v>653</v>
      </c>
      <c r="H84" s="30">
        <v>3587</v>
      </c>
      <c r="J84" s="90"/>
      <c r="K84" s="90"/>
      <c r="L84" s="90"/>
      <c r="M84" s="90"/>
      <c r="N84" s="90"/>
    </row>
    <row r="85" spans="1:14" x14ac:dyDescent="0.3">
      <c r="A85" s="305"/>
      <c r="B85" s="307" t="s">
        <v>172</v>
      </c>
      <c r="C85" s="95" t="s">
        <v>949</v>
      </c>
      <c r="D85" s="96">
        <v>1553</v>
      </c>
      <c r="E85" s="95">
        <v>1069</v>
      </c>
      <c r="F85" s="96">
        <v>1795</v>
      </c>
      <c r="G85" s="95">
        <v>615</v>
      </c>
      <c r="H85" s="30">
        <v>5032</v>
      </c>
      <c r="J85" s="90"/>
      <c r="K85" s="90"/>
      <c r="L85" s="90"/>
      <c r="M85" s="90"/>
      <c r="N85" s="90"/>
    </row>
    <row r="86" spans="1:14" x14ac:dyDescent="0.3">
      <c r="A86" s="305"/>
      <c r="B86" s="323"/>
      <c r="C86" s="95" t="s">
        <v>950</v>
      </c>
      <c r="D86" s="95">
        <v>1277</v>
      </c>
      <c r="E86" s="95">
        <v>220</v>
      </c>
      <c r="F86" s="95">
        <v>768</v>
      </c>
      <c r="G86" s="95">
        <v>32</v>
      </c>
      <c r="H86" s="123">
        <v>2297</v>
      </c>
      <c r="J86" s="90"/>
      <c r="K86" s="90"/>
      <c r="L86" s="90"/>
      <c r="M86" s="90"/>
      <c r="N86" s="90"/>
    </row>
    <row r="87" spans="1:14" x14ac:dyDescent="0.3">
      <c r="A87" s="305"/>
      <c r="B87" s="323"/>
      <c r="C87" s="95" t="s">
        <v>951</v>
      </c>
      <c r="D87" s="95">
        <v>67</v>
      </c>
      <c r="E87" s="95">
        <v>109</v>
      </c>
      <c r="F87" s="95">
        <v>278</v>
      </c>
      <c r="G87" s="95">
        <v>0</v>
      </c>
      <c r="H87" s="123">
        <v>455</v>
      </c>
      <c r="J87" s="90"/>
      <c r="K87" s="90"/>
      <c r="L87" s="90"/>
      <c r="M87" s="90"/>
      <c r="N87" s="90"/>
    </row>
    <row r="88" spans="1:14" x14ac:dyDescent="0.3">
      <c r="A88" s="305"/>
      <c r="B88" s="323"/>
      <c r="C88" s="95" t="s">
        <v>952</v>
      </c>
      <c r="D88" s="95">
        <v>212</v>
      </c>
      <c r="E88" s="95">
        <v>725</v>
      </c>
      <c r="F88" s="95">
        <v>1191</v>
      </c>
      <c r="G88" s="95">
        <v>238</v>
      </c>
      <c r="H88" s="30">
        <v>2365</v>
      </c>
      <c r="J88" s="90"/>
      <c r="K88" s="90"/>
      <c r="L88" s="90"/>
      <c r="M88" s="90"/>
      <c r="N88" s="90"/>
    </row>
    <row r="89" spans="1:14" x14ac:dyDescent="0.3">
      <c r="A89" s="305"/>
      <c r="B89" s="323"/>
      <c r="C89" s="95" t="s">
        <v>953</v>
      </c>
      <c r="D89" s="95">
        <v>433</v>
      </c>
      <c r="E89" s="95">
        <v>558</v>
      </c>
      <c r="F89" s="96">
        <v>1567</v>
      </c>
      <c r="G89" s="95">
        <v>183</v>
      </c>
      <c r="H89" s="30">
        <v>2740</v>
      </c>
      <c r="J89" s="90"/>
      <c r="K89" s="90"/>
      <c r="L89" s="90"/>
      <c r="M89" s="90"/>
      <c r="N89" s="90"/>
    </row>
    <row r="90" spans="1:14" x14ac:dyDescent="0.3">
      <c r="A90" s="305"/>
      <c r="B90" s="323"/>
      <c r="C90" s="95" t="s">
        <v>954</v>
      </c>
      <c r="D90" s="95">
        <v>68</v>
      </c>
      <c r="E90" s="95">
        <v>84</v>
      </c>
      <c r="F90" s="95">
        <v>177</v>
      </c>
      <c r="G90" s="95">
        <v>0</v>
      </c>
      <c r="H90" s="123">
        <v>329</v>
      </c>
      <c r="J90" s="90"/>
      <c r="K90" s="90"/>
      <c r="L90" s="90"/>
      <c r="M90" s="90"/>
      <c r="N90" s="90"/>
    </row>
    <row r="91" spans="1:14" x14ac:dyDescent="0.3">
      <c r="A91" s="305"/>
      <c r="B91" s="323"/>
      <c r="C91" s="95" t="s">
        <v>955</v>
      </c>
      <c r="D91" s="95">
        <v>233</v>
      </c>
      <c r="E91" s="95">
        <v>498</v>
      </c>
      <c r="F91" s="96">
        <v>1326</v>
      </c>
      <c r="G91" s="95">
        <v>363</v>
      </c>
      <c r="H91" s="30">
        <v>2420</v>
      </c>
      <c r="J91" s="90"/>
      <c r="K91" s="90"/>
      <c r="L91" s="90"/>
      <c r="M91" s="90"/>
      <c r="N91" s="90"/>
    </row>
    <row r="92" spans="1:14" x14ac:dyDescent="0.3">
      <c r="A92" s="305"/>
      <c r="B92" s="308"/>
      <c r="C92" s="95" t="s">
        <v>956</v>
      </c>
      <c r="D92" s="96">
        <v>2341</v>
      </c>
      <c r="E92" s="96">
        <v>2065</v>
      </c>
      <c r="F92" s="96">
        <v>5669</v>
      </c>
      <c r="G92" s="95">
        <v>1262</v>
      </c>
      <c r="H92" s="30">
        <v>11337</v>
      </c>
      <c r="J92" s="90"/>
      <c r="K92" s="90"/>
      <c r="L92" s="90"/>
      <c r="M92" s="90"/>
      <c r="N92" s="90"/>
    </row>
    <row r="93" spans="1:14" x14ac:dyDescent="0.3">
      <c r="A93" s="305"/>
      <c r="B93" s="307" t="s">
        <v>957</v>
      </c>
      <c r="C93" s="95" t="s">
        <v>958</v>
      </c>
      <c r="D93" s="95">
        <v>95</v>
      </c>
      <c r="E93" s="95">
        <v>138</v>
      </c>
      <c r="F93" s="95">
        <v>163</v>
      </c>
      <c r="G93" s="95">
        <v>0</v>
      </c>
      <c r="H93" s="123">
        <v>396</v>
      </c>
      <c r="J93" s="90"/>
      <c r="K93" s="90"/>
      <c r="L93" s="90"/>
      <c r="M93" s="90"/>
      <c r="N93" s="90"/>
    </row>
    <row r="94" spans="1:14" x14ac:dyDescent="0.3">
      <c r="A94" s="305"/>
      <c r="B94" s="323"/>
      <c r="C94" s="95" t="s">
        <v>1000</v>
      </c>
      <c r="D94" s="95">
        <v>242</v>
      </c>
      <c r="E94" s="95">
        <v>252</v>
      </c>
      <c r="F94" s="95">
        <v>915</v>
      </c>
      <c r="G94" s="95">
        <v>65</v>
      </c>
      <c r="H94" s="123">
        <v>1474</v>
      </c>
      <c r="J94" s="90"/>
      <c r="K94" s="90"/>
      <c r="L94" s="90"/>
      <c r="M94" s="90"/>
      <c r="N94" s="90"/>
    </row>
    <row r="95" spans="1:14" x14ac:dyDescent="0.3">
      <c r="A95" s="305"/>
      <c r="B95" s="323"/>
      <c r="C95" s="95" t="s">
        <v>960</v>
      </c>
      <c r="D95" s="95">
        <v>3</v>
      </c>
      <c r="E95" s="95">
        <v>12</v>
      </c>
      <c r="F95" s="95">
        <v>158</v>
      </c>
      <c r="G95" s="95">
        <v>1</v>
      </c>
      <c r="H95" s="123">
        <v>173</v>
      </c>
      <c r="J95" s="90"/>
      <c r="K95" s="90"/>
      <c r="L95" s="90"/>
      <c r="M95" s="90"/>
      <c r="N95" s="90"/>
    </row>
    <row r="96" spans="1:14" x14ac:dyDescent="0.3">
      <c r="A96" s="305"/>
      <c r="B96" s="323"/>
      <c r="C96" s="95" t="s">
        <v>1001</v>
      </c>
      <c r="D96" s="95">
        <v>2</v>
      </c>
      <c r="E96" s="95">
        <v>88</v>
      </c>
      <c r="F96" s="95">
        <v>114</v>
      </c>
      <c r="G96" s="95">
        <v>0</v>
      </c>
      <c r="H96" s="123">
        <v>205</v>
      </c>
      <c r="J96" s="90"/>
      <c r="K96" s="90"/>
      <c r="L96" s="90"/>
      <c r="M96" s="90"/>
      <c r="N96" s="90"/>
    </row>
    <row r="97" spans="1:14" x14ac:dyDescent="0.3">
      <c r="A97" s="305"/>
      <c r="B97" s="308"/>
      <c r="C97" s="95" t="s">
        <v>962</v>
      </c>
      <c r="D97" s="95">
        <v>133</v>
      </c>
      <c r="E97" s="95">
        <v>85</v>
      </c>
      <c r="F97" s="95">
        <v>502</v>
      </c>
      <c r="G97" s="95">
        <v>63</v>
      </c>
      <c r="H97" s="123">
        <v>784</v>
      </c>
      <c r="J97" s="90"/>
      <c r="K97" s="90"/>
      <c r="L97" s="90"/>
      <c r="M97" s="90"/>
      <c r="N97" s="90"/>
    </row>
    <row r="98" spans="1:14" x14ac:dyDescent="0.3">
      <c r="A98" s="305"/>
      <c r="B98" s="307" t="s">
        <v>637</v>
      </c>
      <c r="C98" s="95" t="s">
        <v>963</v>
      </c>
      <c r="D98" s="95">
        <v>494</v>
      </c>
      <c r="E98" s="95">
        <v>250</v>
      </c>
      <c r="F98" s="95">
        <v>611</v>
      </c>
      <c r="G98" s="95">
        <v>47</v>
      </c>
      <c r="H98" s="123">
        <v>1402</v>
      </c>
      <c r="J98" s="90"/>
      <c r="K98" s="90"/>
      <c r="L98" s="90"/>
      <c r="M98" s="90"/>
      <c r="N98" s="90"/>
    </row>
    <row r="99" spans="1:14" x14ac:dyDescent="0.3">
      <c r="A99" s="305"/>
      <c r="B99" s="323"/>
      <c r="C99" s="95" t="s">
        <v>964</v>
      </c>
      <c r="D99" s="95">
        <v>10</v>
      </c>
      <c r="E99" s="95">
        <v>0</v>
      </c>
      <c r="F99" s="95">
        <v>117</v>
      </c>
      <c r="G99" s="95">
        <v>0</v>
      </c>
      <c r="H99" s="123">
        <v>126</v>
      </c>
      <c r="J99" s="90"/>
      <c r="K99" s="90"/>
      <c r="L99" s="90"/>
      <c r="M99" s="90"/>
      <c r="N99" s="90"/>
    </row>
    <row r="100" spans="1:14" x14ac:dyDescent="0.3">
      <c r="A100" s="305"/>
      <c r="B100" s="308"/>
      <c r="C100" s="95" t="s">
        <v>965</v>
      </c>
      <c r="D100" s="95">
        <v>331</v>
      </c>
      <c r="E100" s="95">
        <v>117</v>
      </c>
      <c r="F100" s="95">
        <v>345</v>
      </c>
      <c r="G100" s="95">
        <v>30</v>
      </c>
      <c r="H100" s="123">
        <v>822</v>
      </c>
      <c r="J100" s="90"/>
      <c r="K100" s="90"/>
      <c r="L100" s="90"/>
      <c r="M100" s="90"/>
      <c r="N100" s="90"/>
    </row>
    <row r="101" spans="1:14" x14ac:dyDescent="0.3">
      <c r="A101" s="306"/>
      <c r="B101" s="339" t="s">
        <v>110</v>
      </c>
      <c r="C101" s="322"/>
      <c r="D101" s="98">
        <v>10295</v>
      </c>
      <c r="E101" s="98">
        <v>8780</v>
      </c>
      <c r="F101" s="98">
        <v>20591</v>
      </c>
      <c r="G101" s="98">
        <v>4340</v>
      </c>
      <c r="H101" s="32">
        <v>44005</v>
      </c>
      <c r="J101" s="90"/>
      <c r="K101" s="90"/>
      <c r="L101" s="90"/>
      <c r="M101" s="90"/>
      <c r="N101" s="90"/>
    </row>
    <row r="102" spans="1:14" x14ac:dyDescent="0.3">
      <c r="A102" s="304" t="s">
        <v>1002</v>
      </c>
      <c r="B102" s="307" t="s">
        <v>967</v>
      </c>
      <c r="C102" s="95" t="s">
        <v>989</v>
      </c>
      <c r="D102" s="95">
        <v>241</v>
      </c>
      <c r="E102" s="95">
        <v>1051</v>
      </c>
      <c r="F102" s="95">
        <v>916</v>
      </c>
      <c r="G102" s="95">
        <v>452</v>
      </c>
      <c r="H102" s="30">
        <v>2661</v>
      </c>
      <c r="J102" s="90"/>
      <c r="K102" s="90"/>
      <c r="L102" s="90"/>
      <c r="M102" s="90"/>
      <c r="N102" s="90"/>
    </row>
    <row r="103" spans="1:14" x14ac:dyDescent="0.3">
      <c r="A103" s="305"/>
      <c r="B103" s="323"/>
      <c r="C103" s="95" t="s">
        <v>969</v>
      </c>
      <c r="D103" s="95">
        <v>7</v>
      </c>
      <c r="E103" s="95">
        <v>61</v>
      </c>
      <c r="F103" s="95">
        <v>35</v>
      </c>
      <c r="G103" s="95">
        <v>34</v>
      </c>
      <c r="H103" s="123">
        <v>136</v>
      </c>
      <c r="J103" s="90"/>
      <c r="K103" s="90"/>
      <c r="L103" s="90"/>
      <c r="M103" s="90"/>
      <c r="N103" s="90"/>
    </row>
    <row r="104" spans="1:14" x14ac:dyDescent="0.3">
      <c r="A104" s="305"/>
      <c r="B104" s="323"/>
      <c r="C104" s="95" t="s">
        <v>970</v>
      </c>
      <c r="D104" s="95">
        <v>17</v>
      </c>
      <c r="E104" s="95">
        <v>153</v>
      </c>
      <c r="F104" s="95">
        <v>158</v>
      </c>
      <c r="G104" s="95">
        <v>31</v>
      </c>
      <c r="H104" s="123">
        <v>359</v>
      </c>
      <c r="J104" s="90"/>
      <c r="K104" s="90"/>
      <c r="L104" s="90"/>
      <c r="M104" s="90"/>
      <c r="N104" s="90"/>
    </row>
    <row r="105" spans="1:14" x14ac:dyDescent="0.3">
      <c r="A105" s="305"/>
      <c r="B105" s="323"/>
      <c r="C105" s="95" t="s">
        <v>971</v>
      </c>
      <c r="D105" s="95">
        <v>2</v>
      </c>
      <c r="E105" s="95">
        <v>8</v>
      </c>
      <c r="F105" s="95">
        <v>14</v>
      </c>
      <c r="G105" s="95">
        <v>13</v>
      </c>
      <c r="H105" s="123">
        <v>37</v>
      </c>
      <c r="J105" s="90"/>
      <c r="K105" s="90"/>
      <c r="L105" s="90"/>
      <c r="M105" s="90"/>
      <c r="N105" s="90"/>
    </row>
    <row r="106" spans="1:14" x14ac:dyDescent="0.3">
      <c r="A106" s="305"/>
      <c r="B106" s="308"/>
      <c r="C106" s="95" t="s">
        <v>972</v>
      </c>
      <c r="D106" s="95">
        <v>50</v>
      </c>
      <c r="E106" s="95">
        <v>29</v>
      </c>
      <c r="F106" s="95">
        <v>61</v>
      </c>
      <c r="G106" s="95">
        <v>239</v>
      </c>
      <c r="H106" s="123">
        <v>378</v>
      </c>
      <c r="J106" s="90"/>
      <c r="K106" s="90"/>
      <c r="L106" s="90"/>
      <c r="M106" s="90"/>
      <c r="N106" s="90"/>
    </row>
    <row r="107" spans="1:14" x14ac:dyDescent="0.3">
      <c r="A107" s="305"/>
      <c r="B107" s="307" t="s">
        <v>973</v>
      </c>
      <c r="C107" s="95" t="s">
        <v>974</v>
      </c>
      <c r="D107" s="95">
        <v>18</v>
      </c>
      <c r="E107" s="95">
        <v>17</v>
      </c>
      <c r="F107" s="95">
        <v>9</v>
      </c>
      <c r="G107" s="95">
        <v>0</v>
      </c>
      <c r="H107" s="123">
        <v>44</v>
      </c>
      <c r="J107" s="90"/>
      <c r="K107" s="90"/>
      <c r="L107" s="90"/>
      <c r="M107" s="90"/>
      <c r="N107" s="90"/>
    </row>
    <row r="108" spans="1:14" x14ac:dyDescent="0.3">
      <c r="A108" s="305"/>
      <c r="B108" s="323"/>
      <c r="C108" s="95" t="s">
        <v>975</v>
      </c>
      <c r="D108" s="95">
        <v>12</v>
      </c>
      <c r="E108" s="95">
        <v>28</v>
      </c>
      <c r="F108" s="95">
        <v>64</v>
      </c>
      <c r="G108" s="95">
        <v>0</v>
      </c>
      <c r="H108" s="123">
        <v>105</v>
      </c>
      <c r="J108" s="90"/>
      <c r="K108" s="90"/>
      <c r="L108" s="90"/>
      <c r="M108" s="90"/>
      <c r="N108" s="90"/>
    </row>
    <row r="109" spans="1:14" x14ac:dyDescent="0.3">
      <c r="A109" s="305"/>
      <c r="B109" s="323"/>
      <c r="C109" s="95" t="s">
        <v>976</v>
      </c>
      <c r="D109" s="95">
        <v>16</v>
      </c>
      <c r="E109" s="95">
        <v>25</v>
      </c>
      <c r="F109" s="95">
        <v>281</v>
      </c>
      <c r="G109" s="95">
        <v>21</v>
      </c>
      <c r="H109" s="123">
        <v>343</v>
      </c>
      <c r="J109" s="90"/>
      <c r="K109" s="90"/>
      <c r="L109" s="90"/>
      <c r="M109" s="90"/>
      <c r="N109" s="90"/>
    </row>
    <row r="110" spans="1:14" x14ac:dyDescent="0.3">
      <c r="A110" s="305"/>
      <c r="B110" s="308"/>
      <c r="C110" s="95" t="s">
        <v>977</v>
      </c>
      <c r="D110" s="95">
        <v>9</v>
      </c>
      <c r="E110" s="95">
        <v>14</v>
      </c>
      <c r="F110" s="95">
        <v>42</v>
      </c>
      <c r="G110" s="95">
        <v>15</v>
      </c>
      <c r="H110" s="123">
        <v>79</v>
      </c>
      <c r="J110" s="90"/>
      <c r="K110" s="90"/>
      <c r="L110" s="90"/>
      <c r="M110" s="90"/>
      <c r="N110" s="90"/>
    </row>
    <row r="111" spans="1:14" x14ac:dyDescent="0.3">
      <c r="A111" s="305"/>
      <c r="B111" s="307" t="s">
        <v>762</v>
      </c>
      <c r="C111" s="95" t="s">
        <v>978</v>
      </c>
      <c r="D111" s="95">
        <v>20</v>
      </c>
      <c r="E111" s="95">
        <v>0</v>
      </c>
      <c r="F111" s="95">
        <v>136</v>
      </c>
      <c r="G111" s="95">
        <v>0</v>
      </c>
      <c r="H111" s="123">
        <v>156</v>
      </c>
      <c r="J111" s="90"/>
      <c r="K111" s="90"/>
      <c r="L111" s="90"/>
      <c r="M111" s="90"/>
      <c r="N111" s="90"/>
    </row>
    <row r="112" spans="1:14" x14ac:dyDescent="0.3">
      <c r="A112" s="305"/>
      <c r="B112" s="308"/>
      <c r="C112" s="95" t="s">
        <v>979</v>
      </c>
      <c r="D112" s="95">
        <v>26</v>
      </c>
      <c r="E112" s="95">
        <v>1</v>
      </c>
      <c r="F112" s="95">
        <v>21</v>
      </c>
      <c r="G112" s="95">
        <v>1</v>
      </c>
      <c r="H112" s="123">
        <v>50</v>
      </c>
      <c r="J112" s="90"/>
      <c r="K112" s="90"/>
      <c r="L112" s="90"/>
      <c r="M112" s="90"/>
      <c r="N112" s="90"/>
    </row>
    <row r="113" spans="1:14" x14ac:dyDescent="0.3">
      <c r="A113" s="306"/>
      <c r="B113" s="339" t="s">
        <v>110</v>
      </c>
      <c r="C113" s="322"/>
      <c r="D113" s="97">
        <v>419</v>
      </c>
      <c r="E113" s="97">
        <v>1387</v>
      </c>
      <c r="F113" s="98">
        <v>1736</v>
      </c>
      <c r="G113" s="97">
        <v>807</v>
      </c>
      <c r="H113" s="32">
        <v>4348</v>
      </c>
      <c r="J113" s="90"/>
      <c r="K113" s="90"/>
      <c r="L113" s="90"/>
      <c r="M113" s="90"/>
      <c r="N113" s="90"/>
    </row>
    <row r="114" spans="1:14" x14ac:dyDescent="0.3">
      <c r="A114" s="124" t="s">
        <v>85</v>
      </c>
      <c r="B114" s="337" t="s">
        <v>980</v>
      </c>
      <c r="C114" s="338"/>
      <c r="D114" s="96">
        <v>9433</v>
      </c>
      <c r="E114" s="96">
        <v>18161</v>
      </c>
      <c r="F114" s="96">
        <v>20567</v>
      </c>
      <c r="G114" s="96">
        <v>50800</v>
      </c>
      <c r="H114" s="30">
        <v>98961</v>
      </c>
      <c r="J114" s="90"/>
      <c r="K114" s="90"/>
      <c r="L114" s="90"/>
      <c r="M114" s="90"/>
      <c r="N114" s="90"/>
    </row>
    <row r="115" spans="1:14" x14ac:dyDescent="0.3">
      <c r="A115" s="321" t="s">
        <v>86</v>
      </c>
      <c r="B115" s="321"/>
      <c r="C115" s="322"/>
      <c r="D115" s="98">
        <v>54279</v>
      </c>
      <c r="E115" s="98">
        <v>58312</v>
      </c>
      <c r="F115" s="98">
        <v>100289</v>
      </c>
      <c r="G115" s="98">
        <v>77284</v>
      </c>
      <c r="H115" s="32">
        <v>290164</v>
      </c>
      <c r="J115" s="90"/>
      <c r="K115" s="90"/>
      <c r="L115" s="90"/>
      <c r="M115" s="90"/>
      <c r="N115" s="90"/>
    </row>
    <row r="117" spans="1:14" x14ac:dyDescent="0.3">
      <c r="A117" s="90" t="s">
        <v>1203</v>
      </c>
    </row>
  </sheetData>
  <mergeCells count="34">
    <mergeCell ref="A22:A45"/>
    <mergeCell ref="B22:B30"/>
    <mergeCell ref="B31:B39"/>
    <mergeCell ref="B40:B44"/>
    <mergeCell ref="B45:C45"/>
    <mergeCell ref="A5:A21"/>
    <mergeCell ref="B5:B9"/>
    <mergeCell ref="B10:B13"/>
    <mergeCell ref="B14:B19"/>
    <mergeCell ref="B21:C21"/>
    <mergeCell ref="A46:A64"/>
    <mergeCell ref="B46:B50"/>
    <mergeCell ref="B51:B52"/>
    <mergeCell ref="B53:B55"/>
    <mergeCell ref="B56:B63"/>
    <mergeCell ref="B64:C64"/>
    <mergeCell ref="A65:A78"/>
    <mergeCell ref="B65:B68"/>
    <mergeCell ref="B69:B72"/>
    <mergeCell ref="B73:B76"/>
    <mergeCell ref="B78:C78"/>
    <mergeCell ref="B114:C114"/>
    <mergeCell ref="A115:C115"/>
    <mergeCell ref="B101:C101"/>
    <mergeCell ref="A102:A113"/>
    <mergeCell ref="B102:B106"/>
    <mergeCell ref="B107:B110"/>
    <mergeCell ref="B111:B112"/>
    <mergeCell ref="B113:C113"/>
    <mergeCell ref="A79:A101"/>
    <mergeCell ref="B79:B84"/>
    <mergeCell ref="B85:B92"/>
    <mergeCell ref="B93:B97"/>
    <mergeCell ref="B98:B100"/>
  </mergeCells>
  <phoneticPr fontId="1" type="noConversion"/>
  <hyperlinks>
    <hyperlink ref="E1" location="목차!A1" display="목차" xr:uid="{F0118596-5F09-4BE1-AE40-26431057F854}"/>
  </hyperlinks>
  <pageMargins left="0.7" right="0.7" top="0.75" bottom="0.75" header="0.3" footer="0.3"/>
  <pageSetup paperSize="9" orientation="portrait" copies="16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D85F-2F6D-4B22-A35E-F4937D862BD6}">
  <sheetPr>
    <tabColor theme="1" tint="0.499984740745262"/>
  </sheetPr>
  <dimension ref="A1:G70"/>
  <sheetViews>
    <sheetView topLeftCell="A50" zoomScale="70" zoomScaleNormal="70" workbookViewId="0">
      <selection activeCell="A70" sqref="A70"/>
    </sheetView>
  </sheetViews>
  <sheetFormatPr defaultRowHeight="16.5" x14ac:dyDescent="0.3"/>
  <cols>
    <col min="1" max="1" width="15.25" customWidth="1"/>
    <col min="2" max="2" width="42.125" customWidth="1"/>
    <col min="3" max="6" width="12.625" customWidth="1"/>
  </cols>
  <sheetData>
    <row r="1" spans="1:7" ht="17.25" x14ac:dyDescent="0.3">
      <c r="A1" s="7" t="s">
        <v>1273</v>
      </c>
      <c r="B1" s="4"/>
      <c r="C1" s="4"/>
      <c r="D1" s="199"/>
      <c r="E1" s="71" t="s">
        <v>367</v>
      </c>
      <c r="F1" s="199"/>
      <c r="G1" s="199"/>
    </row>
    <row r="3" spans="1:7" x14ac:dyDescent="0.3">
      <c r="A3" s="191"/>
      <c r="B3" s="191"/>
      <c r="C3" s="191"/>
      <c r="D3" s="191"/>
      <c r="E3" s="191"/>
      <c r="F3" s="191"/>
      <c r="G3" s="191"/>
    </row>
    <row r="4" spans="1:7" x14ac:dyDescent="0.3">
      <c r="A4" s="181" t="s">
        <v>1208</v>
      </c>
      <c r="B4" s="181" t="s">
        <v>1209</v>
      </c>
      <c r="C4" s="181" t="s">
        <v>107</v>
      </c>
      <c r="D4" s="181" t="s">
        <v>108</v>
      </c>
      <c r="E4" s="181" t="s">
        <v>109</v>
      </c>
      <c r="F4" s="181" t="s">
        <v>85</v>
      </c>
      <c r="G4" s="184" t="s">
        <v>86</v>
      </c>
    </row>
    <row r="5" spans="1:7" ht="19.5" customHeight="1" x14ac:dyDescent="0.3">
      <c r="A5" s="307" t="s">
        <v>460</v>
      </c>
      <c r="B5" s="95" t="s">
        <v>1210</v>
      </c>
      <c r="C5" s="204">
        <v>1505</v>
      </c>
      <c r="D5" s="204">
        <v>878</v>
      </c>
      <c r="E5" s="204">
        <v>1442</v>
      </c>
      <c r="F5" s="204">
        <v>308</v>
      </c>
      <c r="G5" s="204">
        <v>4133</v>
      </c>
    </row>
    <row r="6" spans="1:7" ht="19.5" customHeight="1" x14ac:dyDescent="0.3">
      <c r="A6" s="323"/>
      <c r="B6" s="95" t="s">
        <v>1211</v>
      </c>
      <c r="C6" s="204">
        <v>54</v>
      </c>
      <c r="D6" s="204">
        <v>79</v>
      </c>
      <c r="E6" s="204">
        <v>98</v>
      </c>
      <c r="F6" s="204">
        <v>39</v>
      </c>
      <c r="G6" s="204">
        <v>270</v>
      </c>
    </row>
    <row r="7" spans="1:7" ht="19.5" customHeight="1" x14ac:dyDescent="0.3">
      <c r="A7" s="323"/>
      <c r="B7" s="95" t="s">
        <v>1212</v>
      </c>
      <c r="C7" s="204">
        <v>386</v>
      </c>
      <c r="D7" s="204">
        <v>380</v>
      </c>
      <c r="E7" s="204">
        <v>426</v>
      </c>
      <c r="F7" s="204">
        <v>27</v>
      </c>
      <c r="G7" s="204">
        <v>1218</v>
      </c>
    </row>
    <row r="8" spans="1:7" ht="19.5" customHeight="1" x14ac:dyDescent="0.3">
      <c r="A8" s="323"/>
      <c r="B8" s="95" t="s">
        <v>1213</v>
      </c>
      <c r="C8" s="204">
        <v>909</v>
      </c>
      <c r="D8" s="204">
        <v>773</v>
      </c>
      <c r="E8" s="204">
        <v>564</v>
      </c>
      <c r="F8" s="204">
        <v>335</v>
      </c>
      <c r="G8" s="204">
        <v>2581</v>
      </c>
    </row>
    <row r="9" spans="1:7" ht="19.5" customHeight="1" x14ac:dyDescent="0.3">
      <c r="A9" s="323"/>
      <c r="B9" s="95" t="s">
        <v>1214</v>
      </c>
      <c r="C9" s="204">
        <v>185</v>
      </c>
      <c r="D9" s="204">
        <v>91</v>
      </c>
      <c r="E9" s="204">
        <v>64</v>
      </c>
      <c r="F9" s="204">
        <v>63</v>
      </c>
      <c r="G9" s="204">
        <v>404</v>
      </c>
    </row>
    <row r="10" spans="1:7" ht="19.5" customHeight="1" x14ac:dyDescent="0.3">
      <c r="A10" s="323"/>
      <c r="B10" s="95" t="s">
        <v>1215</v>
      </c>
      <c r="C10" s="204">
        <v>129</v>
      </c>
      <c r="D10" s="204">
        <v>102</v>
      </c>
      <c r="E10" s="204">
        <v>210</v>
      </c>
      <c r="F10" s="204">
        <v>39</v>
      </c>
      <c r="G10" s="204">
        <v>480</v>
      </c>
    </row>
    <row r="11" spans="1:7" ht="19.5" customHeight="1" x14ac:dyDescent="0.3">
      <c r="A11" s="323"/>
      <c r="B11" s="95" t="s">
        <v>1216</v>
      </c>
      <c r="C11" s="204">
        <v>111</v>
      </c>
      <c r="D11" s="204">
        <v>42</v>
      </c>
      <c r="E11" s="204">
        <v>38</v>
      </c>
      <c r="F11" s="204">
        <v>0</v>
      </c>
      <c r="G11" s="204">
        <v>190</v>
      </c>
    </row>
    <row r="12" spans="1:7" ht="19.5" customHeight="1" x14ac:dyDescent="0.3">
      <c r="A12" s="323"/>
      <c r="B12" s="95" t="s">
        <v>1217</v>
      </c>
      <c r="C12" s="204">
        <v>76</v>
      </c>
      <c r="D12" s="204">
        <v>16</v>
      </c>
      <c r="E12" s="204">
        <v>20</v>
      </c>
      <c r="F12" s="204">
        <v>8</v>
      </c>
      <c r="G12" s="204">
        <v>120</v>
      </c>
    </row>
    <row r="13" spans="1:7" ht="19.5" customHeight="1" x14ac:dyDescent="0.3">
      <c r="A13" s="308"/>
      <c r="B13" s="98" t="s">
        <v>110</v>
      </c>
      <c r="C13" s="207">
        <v>3356</v>
      </c>
      <c r="D13" s="207">
        <v>2361</v>
      </c>
      <c r="E13" s="207">
        <v>2861</v>
      </c>
      <c r="F13" s="207">
        <v>820</v>
      </c>
      <c r="G13" s="207">
        <v>9397</v>
      </c>
    </row>
    <row r="14" spans="1:7" ht="19.5" customHeight="1" x14ac:dyDescent="0.3">
      <c r="A14" s="307" t="s">
        <v>461</v>
      </c>
      <c r="B14" s="95" t="s">
        <v>1218</v>
      </c>
      <c r="C14" s="204">
        <v>53</v>
      </c>
      <c r="D14" s="204">
        <v>167</v>
      </c>
      <c r="E14" s="204">
        <v>168</v>
      </c>
      <c r="F14" s="204">
        <v>52</v>
      </c>
      <c r="G14" s="204">
        <v>440</v>
      </c>
    </row>
    <row r="15" spans="1:7" ht="19.5" customHeight="1" x14ac:dyDescent="0.3">
      <c r="A15" s="323"/>
      <c r="B15" s="95" t="s">
        <v>1219</v>
      </c>
      <c r="C15" s="204">
        <v>36</v>
      </c>
      <c r="D15" s="204">
        <v>42</v>
      </c>
      <c r="E15" s="204">
        <v>75</v>
      </c>
      <c r="F15" s="204">
        <v>1</v>
      </c>
      <c r="G15" s="204">
        <v>155</v>
      </c>
    </row>
    <row r="16" spans="1:7" ht="19.5" customHeight="1" x14ac:dyDescent="0.3">
      <c r="A16" s="323"/>
      <c r="B16" s="95" t="s">
        <v>1220</v>
      </c>
      <c r="C16" s="204">
        <v>308</v>
      </c>
      <c r="D16" s="204">
        <v>150</v>
      </c>
      <c r="E16" s="204">
        <v>168</v>
      </c>
      <c r="F16" s="204">
        <v>21</v>
      </c>
      <c r="G16" s="204">
        <v>645</v>
      </c>
    </row>
    <row r="17" spans="1:7" ht="19.5" customHeight="1" x14ac:dyDescent="0.3">
      <c r="A17" s="323"/>
      <c r="B17" s="95" t="s">
        <v>1221</v>
      </c>
      <c r="C17" s="204">
        <v>727</v>
      </c>
      <c r="D17" s="204">
        <v>354</v>
      </c>
      <c r="E17" s="204">
        <v>239</v>
      </c>
      <c r="F17" s="204">
        <v>22</v>
      </c>
      <c r="G17" s="204">
        <v>1342</v>
      </c>
    </row>
    <row r="18" spans="1:7" ht="19.5" customHeight="1" x14ac:dyDescent="0.3">
      <c r="A18" s="308"/>
      <c r="B18" s="98" t="s">
        <v>110</v>
      </c>
      <c r="C18" s="207">
        <v>1123</v>
      </c>
      <c r="D18" s="207">
        <v>712</v>
      </c>
      <c r="E18" s="207">
        <v>651</v>
      </c>
      <c r="F18" s="207">
        <v>95</v>
      </c>
      <c r="G18" s="207">
        <v>2581</v>
      </c>
    </row>
    <row r="19" spans="1:7" ht="19.5" customHeight="1" x14ac:dyDescent="0.3">
      <c r="A19" s="307" t="s">
        <v>462</v>
      </c>
      <c r="B19" s="95" t="s">
        <v>1222</v>
      </c>
      <c r="C19" s="204">
        <v>238</v>
      </c>
      <c r="D19" s="204">
        <v>290</v>
      </c>
      <c r="E19" s="204">
        <v>1314</v>
      </c>
      <c r="F19" s="204">
        <v>61</v>
      </c>
      <c r="G19" s="204">
        <v>1903</v>
      </c>
    </row>
    <row r="20" spans="1:7" ht="19.5" customHeight="1" x14ac:dyDescent="0.3">
      <c r="A20" s="323"/>
      <c r="B20" s="95" t="s">
        <v>1223</v>
      </c>
      <c r="C20" s="204">
        <v>223</v>
      </c>
      <c r="D20" s="204">
        <v>124</v>
      </c>
      <c r="E20" s="204">
        <v>274</v>
      </c>
      <c r="F20" s="204">
        <v>11</v>
      </c>
      <c r="G20" s="204">
        <v>632</v>
      </c>
    </row>
    <row r="21" spans="1:7" ht="19.5" customHeight="1" x14ac:dyDescent="0.3">
      <c r="A21" s="323"/>
      <c r="B21" s="95" t="s">
        <v>1224</v>
      </c>
      <c r="C21" s="204">
        <v>151</v>
      </c>
      <c r="D21" s="204">
        <v>219</v>
      </c>
      <c r="E21" s="204">
        <v>821</v>
      </c>
      <c r="F21" s="204">
        <v>83</v>
      </c>
      <c r="G21" s="204">
        <v>1275</v>
      </c>
    </row>
    <row r="22" spans="1:7" ht="19.5" customHeight="1" x14ac:dyDescent="0.3">
      <c r="A22" s="308"/>
      <c r="B22" s="98" t="s">
        <v>110</v>
      </c>
      <c r="C22" s="207">
        <v>612</v>
      </c>
      <c r="D22" s="207">
        <v>633</v>
      </c>
      <c r="E22" s="207">
        <v>2410</v>
      </c>
      <c r="F22" s="207">
        <v>155</v>
      </c>
      <c r="G22" s="207">
        <v>3809</v>
      </c>
    </row>
    <row r="23" spans="1:7" ht="19.5" customHeight="1" x14ac:dyDescent="0.3">
      <c r="A23" s="307" t="s">
        <v>463</v>
      </c>
      <c r="B23" s="95" t="s">
        <v>1225</v>
      </c>
      <c r="C23" s="204">
        <v>180</v>
      </c>
      <c r="D23" s="204">
        <v>116</v>
      </c>
      <c r="E23" s="204">
        <v>80</v>
      </c>
      <c r="F23" s="204">
        <v>38</v>
      </c>
      <c r="G23" s="204">
        <v>413</v>
      </c>
    </row>
    <row r="24" spans="1:7" ht="19.5" customHeight="1" x14ac:dyDescent="0.3">
      <c r="A24" s="323"/>
      <c r="B24" s="95" t="s">
        <v>1226</v>
      </c>
      <c r="C24" s="204">
        <v>438</v>
      </c>
      <c r="D24" s="204">
        <v>275</v>
      </c>
      <c r="E24" s="204">
        <v>538</v>
      </c>
      <c r="F24" s="204">
        <v>36</v>
      </c>
      <c r="G24" s="204">
        <v>1286</v>
      </c>
    </row>
    <row r="25" spans="1:7" ht="19.5" customHeight="1" x14ac:dyDescent="0.3">
      <c r="A25" s="308"/>
      <c r="B25" s="98" t="s">
        <v>110</v>
      </c>
      <c r="C25" s="207">
        <v>618</v>
      </c>
      <c r="D25" s="207">
        <v>391</v>
      </c>
      <c r="E25" s="207">
        <v>618</v>
      </c>
      <c r="F25" s="207">
        <v>73</v>
      </c>
      <c r="G25" s="207">
        <v>1700</v>
      </c>
    </row>
    <row r="26" spans="1:7" ht="19.5" customHeight="1" x14ac:dyDescent="0.3">
      <c r="A26" s="307" t="s">
        <v>464</v>
      </c>
      <c r="B26" s="95" t="s">
        <v>1227</v>
      </c>
      <c r="C26" s="204">
        <v>2078</v>
      </c>
      <c r="D26" s="204">
        <v>858</v>
      </c>
      <c r="E26" s="204">
        <v>1595</v>
      </c>
      <c r="F26" s="204">
        <v>175</v>
      </c>
      <c r="G26" s="204">
        <v>4706</v>
      </c>
    </row>
    <row r="27" spans="1:7" ht="19.5" customHeight="1" x14ac:dyDescent="0.3">
      <c r="A27" s="323"/>
      <c r="B27" s="95" t="s">
        <v>1228</v>
      </c>
      <c r="C27" s="204">
        <v>1566</v>
      </c>
      <c r="D27" s="204">
        <v>451</v>
      </c>
      <c r="E27" s="204">
        <v>440</v>
      </c>
      <c r="F27" s="204">
        <v>432</v>
      </c>
      <c r="G27" s="204">
        <v>2889</v>
      </c>
    </row>
    <row r="28" spans="1:7" ht="19.5" customHeight="1" x14ac:dyDescent="0.3">
      <c r="A28" s="323"/>
      <c r="B28" s="95" t="s">
        <v>1229</v>
      </c>
      <c r="C28" s="204">
        <v>5015</v>
      </c>
      <c r="D28" s="204">
        <v>943</v>
      </c>
      <c r="E28" s="204">
        <v>614</v>
      </c>
      <c r="F28" s="204">
        <v>429</v>
      </c>
      <c r="G28" s="204">
        <v>7000</v>
      </c>
    </row>
    <row r="29" spans="1:7" ht="19.5" customHeight="1" x14ac:dyDescent="0.3">
      <c r="A29" s="323"/>
      <c r="B29" s="95" t="s">
        <v>1230</v>
      </c>
      <c r="C29" s="204">
        <v>1682</v>
      </c>
      <c r="D29" s="204">
        <v>504</v>
      </c>
      <c r="E29" s="204">
        <v>451</v>
      </c>
      <c r="F29" s="204">
        <v>195</v>
      </c>
      <c r="G29" s="204">
        <v>2832</v>
      </c>
    </row>
    <row r="30" spans="1:7" ht="19.5" customHeight="1" x14ac:dyDescent="0.3">
      <c r="A30" s="308"/>
      <c r="B30" s="98" t="s">
        <v>110</v>
      </c>
      <c r="C30" s="207">
        <v>10341</v>
      </c>
      <c r="D30" s="207">
        <v>2756</v>
      </c>
      <c r="E30" s="207">
        <v>3100</v>
      </c>
      <c r="F30" s="207">
        <v>1231</v>
      </c>
      <c r="G30" s="207">
        <v>17427</v>
      </c>
    </row>
    <row r="31" spans="1:7" ht="19.5" customHeight="1" x14ac:dyDescent="0.3">
      <c r="A31" s="307" t="s">
        <v>465</v>
      </c>
      <c r="B31" s="95" t="s">
        <v>1231</v>
      </c>
      <c r="C31" s="204">
        <v>806</v>
      </c>
      <c r="D31" s="204">
        <v>90</v>
      </c>
      <c r="E31" s="204">
        <v>111</v>
      </c>
      <c r="F31" s="204">
        <v>152</v>
      </c>
      <c r="G31" s="204">
        <v>1158</v>
      </c>
    </row>
    <row r="32" spans="1:7" ht="19.5" customHeight="1" x14ac:dyDescent="0.3">
      <c r="A32" s="323"/>
      <c r="B32" s="95" t="s">
        <v>1232</v>
      </c>
      <c r="C32" s="204">
        <v>87</v>
      </c>
      <c r="D32" s="204">
        <v>60</v>
      </c>
      <c r="E32" s="204">
        <v>88</v>
      </c>
      <c r="F32" s="204">
        <v>2</v>
      </c>
      <c r="G32" s="204">
        <v>237</v>
      </c>
    </row>
    <row r="33" spans="1:7" ht="19.5" customHeight="1" x14ac:dyDescent="0.3">
      <c r="A33" s="323"/>
      <c r="B33" s="95" t="s">
        <v>1233</v>
      </c>
      <c r="C33" s="204">
        <v>722</v>
      </c>
      <c r="D33" s="204">
        <v>414</v>
      </c>
      <c r="E33" s="204">
        <v>3340</v>
      </c>
      <c r="F33" s="204">
        <v>53</v>
      </c>
      <c r="G33" s="204">
        <v>4528</v>
      </c>
    </row>
    <row r="34" spans="1:7" ht="19.5" customHeight="1" x14ac:dyDescent="0.3">
      <c r="A34" s="323"/>
      <c r="B34" s="95" t="s">
        <v>1234</v>
      </c>
      <c r="C34" s="204">
        <v>137</v>
      </c>
      <c r="D34" s="204">
        <v>980</v>
      </c>
      <c r="E34" s="204">
        <v>111</v>
      </c>
      <c r="F34" s="204">
        <v>366</v>
      </c>
      <c r="G34" s="204">
        <v>1595</v>
      </c>
    </row>
    <row r="35" spans="1:7" ht="19.5" customHeight="1" x14ac:dyDescent="0.3">
      <c r="A35" s="323"/>
      <c r="B35" s="95" t="s">
        <v>1235</v>
      </c>
      <c r="C35" s="204">
        <v>9</v>
      </c>
      <c r="D35" s="204">
        <v>2</v>
      </c>
      <c r="E35" s="204">
        <v>94</v>
      </c>
      <c r="F35" s="204">
        <v>290</v>
      </c>
      <c r="G35" s="204">
        <v>396</v>
      </c>
    </row>
    <row r="36" spans="1:7" ht="19.5" customHeight="1" x14ac:dyDescent="0.3">
      <c r="A36" s="308"/>
      <c r="B36" s="98" t="s">
        <v>110</v>
      </c>
      <c r="C36" s="207">
        <v>1761</v>
      </c>
      <c r="D36" s="207">
        <v>1546</v>
      </c>
      <c r="E36" s="207">
        <v>3744</v>
      </c>
      <c r="F36" s="207">
        <v>863</v>
      </c>
      <c r="G36" s="207">
        <v>7914</v>
      </c>
    </row>
    <row r="37" spans="1:7" ht="19.5" customHeight="1" x14ac:dyDescent="0.3">
      <c r="A37" s="307" t="s">
        <v>466</v>
      </c>
      <c r="B37" s="95" t="s">
        <v>1236</v>
      </c>
      <c r="C37" s="204">
        <v>271</v>
      </c>
      <c r="D37" s="204">
        <v>542</v>
      </c>
      <c r="E37" s="204">
        <v>229</v>
      </c>
      <c r="F37" s="204">
        <v>33</v>
      </c>
      <c r="G37" s="204">
        <v>1075</v>
      </c>
    </row>
    <row r="38" spans="1:7" ht="19.5" customHeight="1" x14ac:dyDescent="0.3">
      <c r="A38" s="323"/>
      <c r="B38" s="95" t="s">
        <v>1237</v>
      </c>
      <c r="C38" s="204">
        <v>319</v>
      </c>
      <c r="D38" s="204">
        <v>126</v>
      </c>
      <c r="E38" s="204">
        <v>261</v>
      </c>
      <c r="F38" s="204">
        <v>18</v>
      </c>
      <c r="G38" s="204">
        <v>724</v>
      </c>
    </row>
    <row r="39" spans="1:7" ht="19.5" customHeight="1" x14ac:dyDescent="0.3">
      <c r="A39" s="323"/>
      <c r="B39" s="95" t="s">
        <v>1238</v>
      </c>
      <c r="C39" s="204">
        <v>527</v>
      </c>
      <c r="D39" s="204">
        <v>253</v>
      </c>
      <c r="E39" s="204">
        <v>240</v>
      </c>
      <c r="F39" s="204">
        <v>11</v>
      </c>
      <c r="G39" s="204">
        <v>1031</v>
      </c>
    </row>
    <row r="40" spans="1:7" ht="19.5" customHeight="1" x14ac:dyDescent="0.3">
      <c r="A40" s="308"/>
      <c r="B40" s="98" t="s">
        <v>110</v>
      </c>
      <c r="C40" s="207">
        <v>1116</v>
      </c>
      <c r="D40" s="207">
        <v>921</v>
      </c>
      <c r="E40" s="207">
        <v>731</v>
      </c>
      <c r="F40" s="207">
        <v>61</v>
      </c>
      <c r="G40" s="207">
        <v>2830</v>
      </c>
    </row>
    <row r="41" spans="1:7" ht="19.5" customHeight="1" x14ac:dyDescent="0.3">
      <c r="A41" s="307" t="s">
        <v>467</v>
      </c>
      <c r="B41" s="95" t="s">
        <v>1239</v>
      </c>
      <c r="C41" s="204">
        <v>244</v>
      </c>
      <c r="D41" s="204">
        <v>397</v>
      </c>
      <c r="E41" s="204">
        <v>330</v>
      </c>
      <c r="F41" s="204">
        <v>148</v>
      </c>
      <c r="G41" s="204">
        <v>1119</v>
      </c>
    </row>
    <row r="42" spans="1:7" ht="19.5" customHeight="1" x14ac:dyDescent="0.3">
      <c r="A42" s="323"/>
      <c r="B42" s="95" t="s">
        <v>1240</v>
      </c>
      <c r="C42" s="204">
        <v>108</v>
      </c>
      <c r="D42" s="204">
        <v>123</v>
      </c>
      <c r="E42" s="204">
        <v>215</v>
      </c>
      <c r="F42" s="204">
        <v>33</v>
      </c>
      <c r="G42" s="204">
        <v>479</v>
      </c>
    </row>
    <row r="43" spans="1:7" ht="19.5" customHeight="1" x14ac:dyDescent="0.3">
      <c r="A43" s="323"/>
      <c r="B43" s="95" t="s">
        <v>1241</v>
      </c>
      <c r="C43" s="204">
        <v>67</v>
      </c>
      <c r="D43" s="204">
        <v>84</v>
      </c>
      <c r="E43" s="204">
        <v>200</v>
      </c>
      <c r="F43" s="204">
        <v>0</v>
      </c>
      <c r="G43" s="204">
        <v>350</v>
      </c>
    </row>
    <row r="44" spans="1:7" ht="19.5" customHeight="1" x14ac:dyDescent="0.3">
      <c r="A44" s="323"/>
      <c r="B44" s="95" t="s">
        <v>1242</v>
      </c>
      <c r="C44" s="204">
        <v>60</v>
      </c>
      <c r="D44" s="204">
        <v>330</v>
      </c>
      <c r="E44" s="204">
        <v>183</v>
      </c>
      <c r="F44" s="204">
        <v>17</v>
      </c>
      <c r="G44" s="204">
        <v>590</v>
      </c>
    </row>
    <row r="45" spans="1:7" ht="19.5" customHeight="1" x14ac:dyDescent="0.3">
      <c r="A45" s="308"/>
      <c r="B45" s="98" t="s">
        <v>110</v>
      </c>
      <c r="C45" s="207">
        <v>479</v>
      </c>
      <c r="D45" s="207">
        <v>933</v>
      </c>
      <c r="E45" s="207">
        <v>928</v>
      </c>
      <c r="F45" s="207">
        <v>198</v>
      </c>
      <c r="G45" s="207">
        <v>2538</v>
      </c>
    </row>
    <row r="46" spans="1:7" ht="19.5" customHeight="1" x14ac:dyDescent="0.3">
      <c r="A46" s="307" t="s">
        <v>468</v>
      </c>
      <c r="B46" s="95" t="s">
        <v>1243</v>
      </c>
      <c r="C46" s="204">
        <v>927</v>
      </c>
      <c r="D46" s="204">
        <v>1064</v>
      </c>
      <c r="E46" s="204">
        <v>1912</v>
      </c>
      <c r="F46" s="204">
        <v>1148</v>
      </c>
      <c r="G46" s="204">
        <v>5052</v>
      </c>
    </row>
    <row r="47" spans="1:7" ht="19.5" customHeight="1" x14ac:dyDescent="0.3">
      <c r="A47" s="323"/>
      <c r="B47" s="95" t="s">
        <v>1244</v>
      </c>
      <c r="C47" s="204">
        <v>378</v>
      </c>
      <c r="D47" s="204">
        <v>395</v>
      </c>
      <c r="E47" s="204">
        <v>634</v>
      </c>
      <c r="F47" s="204">
        <v>51</v>
      </c>
      <c r="G47" s="204">
        <v>1459</v>
      </c>
    </row>
    <row r="48" spans="1:7" ht="19.5" customHeight="1" x14ac:dyDescent="0.3">
      <c r="A48" s="323"/>
      <c r="B48" s="95" t="s">
        <v>1245</v>
      </c>
      <c r="C48" s="204">
        <v>722</v>
      </c>
      <c r="D48" s="204">
        <v>863</v>
      </c>
      <c r="E48" s="204">
        <v>917</v>
      </c>
      <c r="F48" s="204">
        <v>258</v>
      </c>
      <c r="G48" s="204">
        <v>2760</v>
      </c>
    </row>
    <row r="49" spans="1:7" ht="19.5" customHeight="1" x14ac:dyDescent="0.3">
      <c r="A49" s="323"/>
      <c r="B49" s="95" t="s">
        <v>1246</v>
      </c>
      <c r="C49" s="204">
        <v>1234</v>
      </c>
      <c r="D49" s="204">
        <v>1431</v>
      </c>
      <c r="E49" s="204">
        <v>1262</v>
      </c>
      <c r="F49" s="204">
        <v>117</v>
      </c>
      <c r="G49" s="204">
        <v>4044</v>
      </c>
    </row>
    <row r="50" spans="1:7" ht="19.5" customHeight="1" x14ac:dyDescent="0.3">
      <c r="A50" s="308"/>
      <c r="B50" s="98" t="s">
        <v>110</v>
      </c>
      <c r="C50" s="207">
        <v>3262</v>
      </c>
      <c r="D50" s="207">
        <v>3753</v>
      </c>
      <c r="E50" s="207">
        <v>4725</v>
      </c>
      <c r="F50" s="207">
        <v>1575</v>
      </c>
      <c r="G50" s="207">
        <v>13315</v>
      </c>
    </row>
    <row r="51" spans="1:7" ht="19.5" customHeight="1" x14ac:dyDescent="0.3">
      <c r="A51" s="307" t="s">
        <v>469</v>
      </c>
      <c r="B51" s="95" t="s">
        <v>1247</v>
      </c>
      <c r="C51" s="204">
        <v>103</v>
      </c>
      <c r="D51" s="204">
        <v>308</v>
      </c>
      <c r="E51" s="204">
        <v>422</v>
      </c>
      <c r="F51" s="204">
        <v>41</v>
      </c>
      <c r="G51" s="204">
        <v>873</v>
      </c>
    </row>
    <row r="52" spans="1:7" ht="19.5" customHeight="1" x14ac:dyDescent="0.3">
      <c r="A52" s="323"/>
      <c r="B52" s="95" t="s">
        <v>1248</v>
      </c>
      <c r="C52" s="204">
        <v>4</v>
      </c>
      <c r="D52" s="204">
        <v>58</v>
      </c>
      <c r="E52" s="204">
        <v>81</v>
      </c>
      <c r="F52" s="204">
        <v>0</v>
      </c>
      <c r="G52" s="204">
        <v>142</v>
      </c>
    </row>
    <row r="53" spans="1:7" ht="19.5" customHeight="1" x14ac:dyDescent="0.3">
      <c r="A53" s="323"/>
      <c r="B53" s="95" t="s">
        <v>1249</v>
      </c>
      <c r="C53" s="204">
        <v>76</v>
      </c>
      <c r="D53" s="204">
        <v>222</v>
      </c>
      <c r="E53" s="204">
        <v>406</v>
      </c>
      <c r="F53" s="204">
        <v>67</v>
      </c>
      <c r="G53" s="204">
        <v>772</v>
      </c>
    </row>
    <row r="54" spans="1:7" ht="19.5" customHeight="1" x14ac:dyDescent="0.3">
      <c r="A54" s="323"/>
      <c r="B54" s="95" t="s">
        <v>1250</v>
      </c>
      <c r="C54" s="204">
        <v>239</v>
      </c>
      <c r="D54" s="204">
        <v>363</v>
      </c>
      <c r="E54" s="204">
        <v>20</v>
      </c>
      <c r="F54" s="204">
        <v>28</v>
      </c>
      <c r="G54" s="204">
        <v>650</v>
      </c>
    </row>
    <row r="55" spans="1:7" ht="19.5" customHeight="1" x14ac:dyDescent="0.3">
      <c r="A55" s="323"/>
      <c r="B55" s="95" t="s">
        <v>1251</v>
      </c>
      <c r="C55" s="204">
        <v>131</v>
      </c>
      <c r="D55" s="204">
        <v>342</v>
      </c>
      <c r="E55" s="204">
        <v>557</v>
      </c>
      <c r="F55" s="204">
        <v>142</v>
      </c>
      <c r="G55" s="204">
        <v>1172</v>
      </c>
    </row>
    <row r="56" spans="1:7" ht="19.5" customHeight="1" x14ac:dyDescent="0.3">
      <c r="A56" s="308"/>
      <c r="B56" s="98" t="s">
        <v>110</v>
      </c>
      <c r="C56" s="207">
        <v>553</v>
      </c>
      <c r="D56" s="207">
        <v>1294</v>
      </c>
      <c r="E56" s="207">
        <v>1485</v>
      </c>
      <c r="F56" s="207">
        <v>277</v>
      </c>
      <c r="G56" s="207">
        <v>3609</v>
      </c>
    </row>
    <row r="57" spans="1:7" ht="19.5" customHeight="1" x14ac:dyDescent="0.3">
      <c r="A57" s="307" t="s">
        <v>470</v>
      </c>
      <c r="B57" s="95" t="s">
        <v>1252</v>
      </c>
      <c r="C57" s="204">
        <v>57</v>
      </c>
      <c r="D57" s="204">
        <v>56</v>
      </c>
      <c r="E57" s="204">
        <v>84</v>
      </c>
      <c r="F57" s="204">
        <v>5</v>
      </c>
      <c r="G57" s="204">
        <v>202</v>
      </c>
    </row>
    <row r="58" spans="1:7" ht="19.5" customHeight="1" x14ac:dyDescent="0.3">
      <c r="A58" s="323"/>
      <c r="B58" s="95" t="s">
        <v>1253</v>
      </c>
      <c r="C58" s="204">
        <v>173</v>
      </c>
      <c r="D58" s="204">
        <v>289</v>
      </c>
      <c r="E58" s="204">
        <v>529</v>
      </c>
      <c r="F58" s="204">
        <v>40</v>
      </c>
      <c r="G58" s="204">
        <v>1031</v>
      </c>
    </row>
    <row r="59" spans="1:7" ht="19.5" customHeight="1" x14ac:dyDescent="0.3">
      <c r="A59" s="323"/>
      <c r="B59" s="95" t="s">
        <v>1254</v>
      </c>
      <c r="C59" s="204">
        <v>73</v>
      </c>
      <c r="D59" s="204">
        <v>136</v>
      </c>
      <c r="E59" s="204">
        <v>543</v>
      </c>
      <c r="F59" s="204">
        <v>10</v>
      </c>
      <c r="G59" s="204">
        <v>762</v>
      </c>
    </row>
    <row r="60" spans="1:7" ht="19.5" customHeight="1" x14ac:dyDescent="0.3">
      <c r="A60" s="323"/>
      <c r="B60" s="95" t="s">
        <v>1255</v>
      </c>
      <c r="C60" s="204">
        <v>221</v>
      </c>
      <c r="D60" s="204">
        <v>274</v>
      </c>
      <c r="E60" s="204">
        <v>159</v>
      </c>
      <c r="F60" s="204">
        <v>90</v>
      </c>
      <c r="G60" s="204">
        <v>744</v>
      </c>
    </row>
    <row r="61" spans="1:7" ht="19.5" customHeight="1" x14ac:dyDescent="0.3">
      <c r="A61" s="323"/>
      <c r="B61" s="95" t="s">
        <v>1256</v>
      </c>
      <c r="C61" s="204">
        <v>117</v>
      </c>
      <c r="D61" s="204">
        <v>18</v>
      </c>
      <c r="E61" s="204">
        <v>65</v>
      </c>
      <c r="F61" s="204">
        <v>2</v>
      </c>
      <c r="G61" s="204">
        <v>201</v>
      </c>
    </row>
    <row r="62" spans="1:7" ht="19.5" customHeight="1" x14ac:dyDescent="0.3">
      <c r="A62" s="308"/>
      <c r="B62" s="98" t="s">
        <v>110</v>
      </c>
      <c r="C62" s="207">
        <v>640</v>
      </c>
      <c r="D62" s="207">
        <v>774</v>
      </c>
      <c r="E62" s="207">
        <v>1380</v>
      </c>
      <c r="F62" s="207">
        <v>146</v>
      </c>
      <c r="G62" s="207">
        <v>2939</v>
      </c>
    </row>
    <row r="63" spans="1:7" ht="19.5" customHeight="1" x14ac:dyDescent="0.3">
      <c r="A63" s="307" t="s">
        <v>471</v>
      </c>
      <c r="B63" s="95" t="s">
        <v>1257</v>
      </c>
      <c r="C63" s="204">
        <v>119</v>
      </c>
      <c r="D63" s="204">
        <v>131</v>
      </c>
      <c r="E63" s="204">
        <v>58</v>
      </c>
      <c r="F63" s="204">
        <v>0</v>
      </c>
      <c r="G63" s="204">
        <v>308</v>
      </c>
    </row>
    <row r="64" spans="1:7" ht="19.5" customHeight="1" x14ac:dyDescent="0.3">
      <c r="A64" s="323"/>
      <c r="B64" s="95" t="s">
        <v>1258</v>
      </c>
      <c r="C64" s="204">
        <v>972</v>
      </c>
      <c r="D64" s="204">
        <v>121</v>
      </c>
      <c r="E64" s="204">
        <v>180</v>
      </c>
      <c r="F64" s="204">
        <v>37</v>
      </c>
      <c r="G64" s="204">
        <v>1310</v>
      </c>
    </row>
    <row r="65" spans="1:7" ht="19.5" customHeight="1" x14ac:dyDescent="0.3">
      <c r="A65" s="323"/>
      <c r="B65" s="95" t="s">
        <v>1259</v>
      </c>
      <c r="C65" s="204">
        <v>280</v>
      </c>
      <c r="D65" s="204">
        <v>91</v>
      </c>
      <c r="E65" s="204">
        <v>22</v>
      </c>
      <c r="F65" s="204">
        <v>1</v>
      </c>
      <c r="G65" s="204">
        <v>395</v>
      </c>
    </row>
    <row r="66" spans="1:7" ht="19.5" customHeight="1" x14ac:dyDescent="0.3">
      <c r="A66" s="308"/>
      <c r="B66" s="98" t="s">
        <v>110</v>
      </c>
      <c r="C66" s="207">
        <v>1371</v>
      </c>
      <c r="D66" s="207">
        <v>344</v>
      </c>
      <c r="E66" s="207">
        <v>260</v>
      </c>
      <c r="F66" s="207">
        <v>38</v>
      </c>
      <c r="G66" s="207">
        <v>2013</v>
      </c>
    </row>
    <row r="67" spans="1:7" ht="19.5" customHeight="1" x14ac:dyDescent="0.3">
      <c r="A67" s="95" t="s">
        <v>85</v>
      </c>
      <c r="B67" s="95" t="s">
        <v>1280</v>
      </c>
      <c r="C67" s="204">
        <v>29048</v>
      </c>
      <c r="D67" s="204">
        <v>41894</v>
      </c>
      <c r="E67" s="204">
        <v>77397</v>
      </c>
      <c r="F67" s="204">
        <v>71753</v>
      </c>
      <c r="G67" s="204">
        <v>220092</v>
      </c>
    </row>
    <row r="68" spans="1:7" ht="19.5" customHeight="1" x14ac:dyDescent="0.3">
      <c r="A68" s="343" t="s">
        <v>86</v>
      </c>
      <c r="B68" s="344"/>
      <c r="C68" s="98">
        <v>54279</v>
      </c>
      <c r="D68" s="98">
        <v>58312</v>
      </c>
      <c r="E68" s="98">
        <v>100289</v>
      </c>
      <c r="F68" s="98">
        <v>77284</v>
      </c>
      <c r="G68" s="98">
        <v>290164</v>
      </c>
    </row>
    <row r="70" spans="1:7" x14ac:dyDescent="0.3">
      <c r="A70" s="90" t="s">
        <v>1203</v>
      </c>
    </row>
  </sheetData>
  <mergeCells count="13">
    <mergeCell ref="A68:B68"/>
    <mergeCell ref="A41:A45"/>
    <mergeCell ref="A46:A50"/>
    <mergeCell ref="A51:A56"/>
    <mergeCell ref="A57:A62"/>
    <mergeCell ref="A63:A66"/>
    <mergeCell ref="A31:A36"/>
    <mergeCell ref="A37:A40"/>
    <mergeCell ref="A5:A13"/>
    <mergeCell ref="A14:A18"/>
    <mergeCell ref="A19:A22"/>
    <mergeCell ref="A23:A25"/>
    <mergeCell ref="A26:A30"/>
  </mergeCells>
  <phoneticPr fontId="1" type="noConversion"/>
  <hyperlinks>
    <hyperlink ref="E1" location="목차!A1" display="목차" xr:uid="{3E065C9C-F7DE-4F30-84B6-088938713421}"/>
  </hyperlinks>
  <pageMargins left="0.7" right="0.7" top="0.75" bottom="0.75" header="0.3" footer="0.3"/>
  <pageSetup paperSize="9" orientation="portrait" copies="16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1" tint="0.499984740745262"/>
  </sheetPr>
  <dimension ref="A1:K29"/>
  <sheetViews>
    <sheetView zoomScale="85" zoomScaleNormal="85" workbookViewId="0">
      <selection activeCell="M16" sqref="M16"/>
    </sheetView>
  </sheetViews>
  <sheetFormatPr defaultRowHeight="16.5" x14ac:dyDescent="0.3"/>
  <cols>
    <col min="1" max="1" width="12.625" customWidth="1"/>
  </cols>
  <sheetData>
    <row r="1" spans="1:11" ht="17.25" x14ac:dyDescent="0.3">
      <c r="A1" s="7" t="s">
        <v>420</v>
      </c>
      <c r="B1" s="4"/>
      <c r="C1" s="4"/>
      <c r="D1" s="4"/>
      <c r="E1" s="4"/>
      <c r="G1" s="72" t="s">
        <v>368</v>
      </c>
    </row>
    <row r="3" spans="1:11" ht="17.25" customHeight="1" x14ac:dyDescent="0.3">
      <c r="K3" s="5" t="s">
        <v>87</v>
      </c>
    </row>
    <row r="4" spans="1:11" ht="17.25" thickBot="1" x14ac:dyDescent="0.35">
      <c r="A4" s="342" t="s">
        <v>0</v>
      </c>
      <c r="B4" s="347" t="s">
        <v>8</v>
      </c>
      <c r="C4" s="349"/>
      <c r="D4" s="347" t="s">
        <v>9</v>
      </c>
      <c r="E4" s="349"/>
      <c r="F4" s="347" t="s">
        <v>10</v>
      </c>
      <c r="G4" s="349"/>
      <c r="H4" s="347" t="s">
        <v>369</v>
      </c>
      <c r="I4" s="348"/>
      <c r="J4" s="347" t="s">
        <v>402</v>
      </c>
      <c r="K4" s="348"/>
    </row>
    <row r="5" spans="1:11" ht="17.25" thickTop="1" x14ac:dyDescent="0.3">
      <c r="A5" s="342"/>
      <c r="B5" s="130" t="s">
        <v>77</v>
      </c>
      <c r="C5" s="130" t="s">
        <v>36</v>
      </c>
      <c r="D5" s="130" t="s">
        <v>77</v>
      </c>
      <c r="E5" s="130" t="s">
        <v>36</v>
      </c>
      <c r="F5" s="130" t="s">
        <v>77</v>
      </c>
      <c r="G5" s="130" t="s">
        <v>36</v>
      </c>
      <c r="H5" s="130" t="s">
        <v>77</v>
      </c>
      <c r="I5" s="129" t="s">
        <v>36</v>
      </c>
      <c r="J5" s="39" t="s">
        <v>77</v>
      </c>
      <c r="K5" s="40" t="s">
        <v>36</v>
      </c>
    </row>
    <row r="6" spans="1:11" x14ac:dyDescent="0.3">
      <c r="A6" s="15" t="s">
        <v>107</v>
      </c>
      <c r="B6" s="127">
        <v>46415</v>
      </c>
      <c r="C6" s="126">
        <v>32.700000000000003</v>
      </c>
      <c r="D6" s="127">
        <v>50714</v>
      </c>
      <c r="E6" s="126">
        <v>30.1</v>
      </c>
      <c r="F6" s="127">
        <v>53068</v>
      </c>
      <c r="G6" s="126">
        <v>27.5</v>
      </c>
      <c r="H6" s="127">
        <v>58024</v>
      </c>
      <c r="I6" s="117">
        <v>28</v>
      </c>
      <c r="J6" s="12">
        <v>57714</v>
      </c>
      <c r="K6" s="37">
        <v>26.6</v>
      </c>
    </row>
    <row r="7" spans="1:11" x14ac:dyDescent="0.3">
      <c r="A7" s="34" t="s">
        <v>108</v>
      </c>
      <c r="B7" s="96">
        <v>30458</v>
      </c>
      <c r="C7" s="95">
        <v>21.5</v>
      </c>
      <c r="D7" s="96">
        <v>38907</v>
      </c>
      <c r="E7" s="95">
        <v>23.1</v>
      </c>
      <c r="F7" s="96">
        <v>45620</v>
      </c>
      <c r="G7" s="95">
        <v>23.6</v>
      </c>
      <c r="H7" s="96">
        <v>52338</v>
      </c>
      <c r="I7" s="123">
        <v>25.2</v>
      </c>
      <c r="J7" s="14">
        <v>58953</v>
      </c>
      <c r="K7" s="19">
        <v>27.2</v>
      </c>
    </row>
    <row r="8" spans="1:11" x14ac:dyDescent="0.3">
      <c r="A8" s="34" t="s">
        <v>109</v>
      </c>
      <c r="B8" s="96">
        <v>64883</v>
      </c>
      <c r="C8" s="95">
        <v>45.8</v>
      </c>
      <c r="D8" s="96">
        <v>78754</v>
      </c>
      <c r="E8" s="95">
        <v>46.8</v>
      </c>
      <c r="F8" s="96">
        <v>94566</v>
      </c>
      <c r="G8" s="95">
        <v>48.9</v>
      </c>
      <c r="H8" s="96">
        <v>97032</v>
      </c>
      <c r="I8" s="123">
        <v>46.8</v>
      </c>
      <c r="J8" s="14">
        <v>100389</v>
      </c>
      <c r="K8" s="19">
        <v>46.3</v>
      </c>
    </row>
    <row r="9" spans="1:11" x14ac:dyDescent="0.3">
      <c r="A9" s="41" t="s">
        <v>110</v>
      </c>
      <c r="B9" s="98">
        <v>141757</v>
      </c>
      <c r="C9" s="97">
        <v>100</v>
      </c>
      <c r="D9" s="98">
        <v>168375</v>
      </c>
      <c r="E9" s="97">
        <v>100</v>
      </c>
      <c r="F9" s="98">
        <v>193253</v>
      </c>
      <c r="G9" s="97">
        <v>100</v>
      </c>
      <c r="H9" s="98">
        <v>207394</v>
      </c>
      <c r="I9" s="125">
        <v>100</v>
      </c>
      <c r="J9" s="31">
        <v>217056</v>
      </c>
      <c r="K9" s="42">
        <v>100</v>
      </c>
    </row>
    <row r="10" spans="1:11" x14ac:dyDescent="0.3">
      <c r="A10" s="34" t="s">
        <v>85</v>
      </c>
      <c r="B10" s="96">
        <v>64497</v>
      </c>
      <c r="C10" s="95"/>
      <c r="D10" s="96">
        <v>70429</v>
      </c>
      <c r="E10" s="95"/>
      <c r="F10" s="96">
        <v>72537</v>
      </c>
      <c r="G10" s="95"/>
      <c r="H10" s="96">
        <v>79388</v>
      </c>
      <c r="I10" s="123"/>
      <c r="J10" s="14">
        <v>88675</v>
      </c>
      <c r="K10" s="19"/>
    </row>
    <row r="11" spans="1:11" x14ac:dyDescent="0.3">
      <c r="A11" s="41" t="s">
        <v>86</v>
      </c>
      <c r="B11" s="98">
        <v>206254</v>
      </c>
      <c r="C11" s="97"/>
      <c r="D11" s="98">
        <v>238803</v>
      </c>
      <c r="E11" s="97"/>
      <c r="F11" s="98">
        <v>265791</v>
      </c>
      <c r="G11" s="97"/>
      <c r="H11" s="98">
        <v>286782</v>
      </c>
      <c r="I11" s="125"/>
      <c r="J11" s="31">
        <v>305731</v>
      </c>
      <c r="K11" s="42"/>
    </row>
    <row r="13" spans="1:11" x14ac:dyDescent="0.3">
      <c r="A13" t="s">
        <v>264</v>
      </c>
    </row>
    <row r="14" spans="1:11" x14ac:dyDescent="0.3">
      <c r="A14" t="s">
        <v>395</v>
      </c>
    </row>
    <row r="16" spans="1:11" x14ac:dyDescent="0.3">
      <c r="B16" s="90"/>
      <c r="C16" s="90"/>
      <c r="D16" s="90"/>
      <c r="E16" s="90"/>
      <c r="F16" s="90"/>
      <c r="G16" s="90"/>
      <c r="H16" s="90"/>
      <c r="I16" s="90"/>
      <c r="J16" s="90"/>
      <c r="K16" s="90"/>
    </row>
    <row r="17" spans="2:11" x14ac:dyDescent="0.3">
      <c r="B17" s="90"/>
      <c r="C17" s="90"/>
      <c r="D17" s="90"/>
      <c r="E17" s="90"/>
      <c r="F17" s="90"/>
      <c r="G17" s="90"/>
      <c r="H17" s="90"/>
      <c r="I17" s="90"/>
      <c r="J17" s="90"/>
      <c r="K17" s="90"/>
    </row>
    <row r="18" spans="2:11" x14ac:dyDescent="0.3">
      <c r="B18" s="90"/>
      <c r="C18" s="90"/>
      <c r="D18" s="90"/>
      <c r="E18" s="90"/>
      <c r="F18" s="90"/>
      <c r="G18" s="90"/>
      <c r="H18" s="90"/>
      <c r="I18" s="90"/>
      <c r="J18" s="90"/>
      <c r="K18" s="90"/>
    </row>
    <row r="19" spans="2:11" x14ac:dyDescent="0.3">
      <c r="B19" s="90"/>
      <c r="C19" s="90"/>
      <c r="D19" s="90"/>
      <c r="E19" s="90"/>
      <c r="F19" s="90"/>
      <c r="G19" s="90"/>
      <c r="H19" s="90"/>
      <c r="I19" s="90"/>
      <c r="J19" s="90"/>
      <c r="K19" s="90"/>
    </row>
    <row r="20" spans="2:11" x14ac:dyDescent="0.3">
      <c r="B20" s="90"/>
      <c r="C20" s="90"/>
      <c r="D20" s="90"/>
      <c r="E20" s="90"/>
      <c r="F20" s="90"/>
      <c r="G20" s="90"/>
      <c r="H20" s="90"/>
      <c r="I20" s="90"/>
      <c r="J20" s="90"/>
      <c r="K20" s="90"/>
    </row>
    <row r="21" spans="2:11" x14ac:dyDescent="0.3">
      <c r="B21" s="90"/>
      <c r="C21" s="90"/>
      <c r="D21" s="90"/>
      <c r="E21" s="90"/>
      <c r="F21" s="90"/>
      <c r="G21" s="90"/>
      <c r="H21" s="90"/>
      <c r="I21" s="90"/>
      <c r="J21" s="90"/>
      <c r="K21" s="90"/>
    </row>
    <row r="24" spans="2:1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</row>
    <row r="25" spans="2:1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2:1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</row>
    <row r="27" spans="2:1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</row>
    <row r="28" spans="2:1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</row>
    <row r="29" spans="2:1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</row>
  </sheetData>
  <mergeCells count="6">
    <mergeCell ref="J4:K4"/>
    <mergeCell ref="A4:A5"/>
    <mergeCell ref="H4:I4"/>
    <mergeCell ref="F4:G4"/>
    <mergeCell ref="D4:E4"/>
    <mergeCell ref="B4:C4"/>
  </mergeCells>
  <phoneticPr fontId="1" type="noConversion"/>
  <hyperlinks>
    <hyperlink ref="G1" location="목차!A1" display="목차" xr:uid="{00000000-0004-0000-2400-000000000000}"/>
  </hyperlinks>
  <pageMargins left="0.7" right="0.7" top="0.75" bottom="0.75" header="0.3" footer="0.3"/>
  <pageSetup paperSize="9" orientation="portrait" copies="16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2C28-1F89-495F-9F36-7C7F57D46CB2}">
  <sheetPr>
    <tabColor theme="0" tint="-4.9989318521683403E-2"/>
  </sheetPr>
  <dimension ref="A1:S89"/>
  <sheetViews>
    <sheetView zoomScale="55" zoomScaleNormal="55" workbookViewId="0">
      <selection activeCell="A47" sqref="A47"/>
    </sheetView>
  </sheetViews>
  <sheetFormatPr defaultRowHeight="16.5" x14ac:dyDescent="0.3"/>
  <cols>
    <col min="2" max="2" width="22.75" customWidth="1"/>
  </cols>
  <sheetData>
    <row r="1" spans="1:19" ht="17.25" x14ac:dyDescent="0.3">
      <c r="A1" s="7" t="s">
        <v>1274</v>
      </c>
      <c r="B1" s="4"/>
      <c r="C1" s="4"/>
      <c r="D1" s="4"/>
      <c r="E1" s="199"/>
      <c r="F1" s="71" t="s">
        <v>367</v>
      </c>
    </row>
    <row r="3" spans="1:19" x14ac:dyDescent="0.3">
      <c r="A3" s="170"/>
      <c r="B3" s="170"/>
      <c r="C3" s="170"/>
      <c r="D3" s="170"/>
      <c r="E3" s="170"/>
      <c r="F3" s="170"/>
      <c r="G3" s="170"/>
      <c r="H3" s="170"/>
      <c r="I3" s="170"/>
      <c r="J3" s="170" t="s">
        <v>87</v>
      </c>
    </row>
    <row r="4" spans="1:19" ht="17.25" thickBot="1" x14ac:dyDescent="0.35">
      <c r="A4" s="342" t="s">
        <v>245</v>
      </c>
      <c r="B4" s="341" t="s">
        <v>139</v>
      </c>
      <c r="C4" s="335" t="s">
        <v>115</v>
      </c>
      <c r="D4" s="345"/>
      <c r="E4" s="335" t="s">
        <v>833</v>
      </c>
      <c r="F4" s="345"/>
      <c r="G4" s="335" t="s">
        <v>1003</v>
      </c>
      <c r="H4" s="345"/>
      <c r="I4" s="335" t="s">
        <v>86</v>
      </c>
      <c r="J4" s="336"/>
    </row>
    <row r="5" spans="1:19" ht="17.25" thickTop="1" x14ac:dyDescent="0.3">
      <c r="A5" s="342"/>
      <c r="B5" s="341"/>
      <c r="C5" s="183" t="s">
        <v>77</v>
      </c>
      <c r="D5" s="183" t="s">
        <v>36</v>
      </c>
      <c r="E5" s="183" t="s">
        <v>77</v>
      </c>
      <c r="F5" s="183" t="s">
        <v>36</v>
      </c>
      <c r="G5" s="183" t="s">
        <v>77</v>
      </c>
      <c r="H5" s="183" t="s">
        <v>36</v>
      </c>
      <c r="I5" s="183" t="s">
        <v>77</v>
      </c>
      <c r="J5" s="182" t="s">
        <v>36</v>
      </c>
    </row>
    <row r="6" spans="1:19" x14ac:dyDescent="0.3">
      <c r="A6" s="304" t="s">
        <v>8</v>
      </c>
      <c r="B6" s="95" t="s">
        <v>40</v>
      </c>
      <c r="C6" s="204">
        <v>21625</v>
      </c>
      <c r="D6" s="95">
        <v>32.4</v>
      </c>
      <c r="E6" s="96">
        <v>31828</v>
      </c>
      <c r="F6" s="95">
        <v>54.5</v>
      </c>
      <c r="G6" s="204">
        <v>16335</v>
      </c>
      <c r="H6" s="95">
        <v>20.6</v>
      </c>
      <c r="I6" s="204">
        <v>69788</v>
      </c>
      <c r="J6" s="194">
        <v>34.1</v>
      </c>
      <c r="L6" s="90"/>
      <c r="M6" s="90"/>
      <c r="N6" s="90"/>
      <c r="O6" s="90"/>
      <c r="P6" s="90"/>
      <c r="Q6" s="90"/>
      <c r="R6" s="90"/>
      <c r="S6" s="90"/>
    </row>
    <row r="7" spans="1:19" x14ac:dyDescent="0.3">
      <c r="A7" s="305"/>
      <c r="B7" s="95" t="s">
        <v>57</v>
      </c>
      <c r="C7" s="204">
        <v>12569</v>
      </c>
      <c r="D7" s="95">
        <v>18.8</v>
      </c>
      <c r="E7" s="96">
        <v>2853</v>
      </c>
      <c r="F7" s="95">
        <v>4.9000000000000004</v>
      </c>
      <c r="G7" s="204">
        <v>15458</v>
      </c>
      <c r="H7" s="95">
        <v>19.5</v>
      </c>
      <c r="I7" s="204">
        <v>30881</v>
      </c>
      <c r="J7" s="194">
        <v>15.1</v>
      </c>
      <c r="L7" s="90"/>
      <c r="M7" s="90"/>
      <c r="N7" s="90"/>
      <c r="O7" s="90"/>
      <c r="P7" s="90"/>
      <c r="Q7" s="90"/>
      <c r="R7" s="90"/>
      <c r="S7" s="90"/>
    </row>
    <row r="8" spans="1:19" x14ac:dyDescent="0.3">
      <c r="A8" s="305"/>
      <c r="B8" s="95" t="s">
        <v>52</v>
      </c>
      <c r="C8" s="204">
        <v>3753</v>
      </c>
      <c r="D8" s="95">
        <v>5.6</v>
      </c>
      <c r="E8" s="96">
        <v>15954</v>
      </c>
      <c r="F8" s="95">
        <v>27.3</v>
      </c>
      <c r="G8" s="204">
        <v>11949</v>
      </c>
      <c r="H8" s="95">
        <v>15</v>
      </c>
      <c r="I8" s="204">
        <v>31657</v>
      </c>
      <c r="J8" s="194">
        <v>15.5</v>
      </c>
      <c r="L8" s="90"/>
      <c r="M8" s="90"/>
      <c r="N8" s="90"/>
      <c r="O8" s="90"/>
      <c r="P8" s="90"/>
      <c r="Q8" s="90"/>
      <c r="R8" s="90"/>
      <c r="S8" s="90"/>
    </row>
    <row r="9" spans="1:19" x14ac:dyDescent="0.3">
      <c r="A9" s="305"/>
      <c r="B9" s="95" t="s">
        <v>41</v>
      </c>
      <c r="C9" s="204">
        <v>7425</v>
      </c>
      <c r="D9" s="95">
        <v>11.1</v>
      </c>
      <c r="E9" s="96">
        <v>1447</v>
      </c>
      <c r="F9" s="95">
        <v>2.5</v>
      </c>
      <c r="G9" s="204">
        <v>10134</v>
      </c>
      <c r="H9" s="95">
        <v>12.8</v>
      </c>
      <c r="I9" s="204">
        <v>19005</v>
      </c>
      <c r="J9" s="194">
        <v>9.3000000000000007</v>
      </c>
      <c r="L9" s="90"/>
      <c r="M9" s="90"/>
      <c r="N9" s="90"/>
      <c r="O9" s="90"/>
      <c r="P9" s="90"/>
      <c r="Q9" s="90"/>
      <c r="R9" s="90"/>
      <c r="S9" s="90"/>
    </row>
    <row r="10" spans="1:19" x14ac:dyDescent="0.3">
      <c r="A10" s="305"/>
      <c r="B10" s="95" t="s">
        <v>63</v>
      </c>
      <c r="C10" s="204">
        <v>4955</v>
      </c>
      <c r="D10" s="95">
        <v>7.4</v>
      </c>
      <c r="E10" s="96">
        <v>1111</v>
      </c>
      <c r="F10" s="95">
        <v>1.9</v>
      </c>
      <c r="G10" s="204">
        <v>4125</v>
      </c>
      <c r="H10" s="95">
        <v>5.2</v>
      </c>
      <c r="I10" s="204">
        <v>10192</v>
      </c>
      <c r="J10" s="194">
        <v>5</v>
      </c>
      <c r="L10" s="90"/>
      <c r="M10" s="90"/>
      <c r="N10" s="90"/>
      <c r="O10" s="90"/>
      <c r="P10" s="90"/>
      <c r="Q10" s="90"/>
      <c r="R10" s="90"/>
      <c r="S10" s="90"/>
    </row>
    <row r="11" spans="1:19" x14ac:dyDescent="0.3">
      <c r="A11" s="305"/>
      <c r="B11" s="95" t="s">
        <v>48</v>
      </c>
      <c r="C11" s="204">
        <v>800</v>
      </c>
      <c r="D11" s="95">
        <v>1.2</v>
      </c>
      <c r="E11" s="95">
        <v>105</v>
      </c>
      <c r="F11" s="95">
        <v>0.2</v>
      </c>
      <c r="G11" s="204">
        <v>5550</v>
      </c>
      <c r="H11" s="95">
        <v>7</v>
      </c>
      <c r="I11" s="204">
        <v>6455</v>
      </c>
      <c r="J11" s="194">
        <v>3.2</v>
      </c>
      <c r="L11" s="90"/>
      <c r="M11" s="90"/>
      <c r="N11" s="90"/>
      <c r="O11" s="90"/>
      <c r="P11" s="90"/>
      <c r="Q11" s="90"/>
      <c r="R11" s="90"/>
      <c r="S11" s="90"/>
    </row>
    <row r="12" spans="1:19" x14ac:dyDescent="0.3">
      <c r="A12" s="305"/>
      <c r="B12" s="95" t="s">
        <v>253</v>
      </c>
      <c r="C12" s="204">
        <v>15598</v>
      </c>
      <c r="D12" s="95">
        <v>23.4</v>
      </c>
      <c r="E12" s="96">
        <v>5140</v>
      </c>
      <c r="F12" s="95">
        <v>8.8000000000000007</v>
      </c>
      <c r="G12" s="204">
        <v>15881</v>
      </c>
      <c r="H12" s="95">
        <v>20</v>
      </c>
      <c r="I12" s="204">
        <v>36620</v>
      </c>
      <c r="J12" s="194">
        <v>17.899999999999999</v>
      </c>
      <c r="L12" s="90"/>
      <c r="M12" s="90"/>
      <c r="N12" s="90"/>
      <c r="O12" s="90"/>
      <c r="P12" s="90"/>
      <c r="Q12" s="90"/>
      <c r="R12" s="90"/>
      <c r="S12" s="90"/>
    </row>
    <row r="13" spans="1:19" x14ac:dyDescent="0.3">
      <c r="A13" s="306"/>
      <c r="B13" s="97" t="s">
        <v>86</v>
      </c>
      <c r="C13" s="207">
        <v>66726</v>
      </c>
      <c r="D13" s="97">
        <v>100</v>
      </c>
      <c r="E13" s="98">
        <v>58439</v>
      </c>
      <c r="F13" s="97">
        <v>100</v>
      </c>
      <c r="G13" s="207">
        <v>79432</v>
      </c>
      <c r="H13" s="97">
        <v>100</v>
      </c>
      <c r="I13" s="207">
        <v>204597</v>
      </c>
      <c r="J13" s="192">
        <v>100</v>
      </c>
      <c r="L13" s="90"/>
      <c r="M13" s="90"/>
      <c r="N13" s="90"/>
      <c r="O13" s="90"/>
      <c r="P13" s="90"/>
      <c r="Q13" s="90"/>
      <c r="R13" s="90"/>
      <c r="S13" s="90"/>
    </row>
    <row r="14" spans="1:19" x14ac:dyDescent="0.3">
      <c r="A14" s="304" t="s">
        <v>9</v>
      </c>
      <c r="B14" s="95" t="s">
        <v>40</v>
      </c>
      <c r="C14" s="204">
        <v>23939</v>
      </c>
      <c r="D14" s="95">
        <v>33.200000000000003</v>
      </c>
      <c r="E14" s="96">
        <v>34073</v>
      </c>
      <c r="F14" s="95">
        <v>52.3</v>
      </c>
      <c r="G14" s="204">
        <v>18961</v>
      </c>
      <c r="H14" s="95">
        <v>21.1</v>
      </c>
      <c r="I14" s="204">
        <v>76973</v>
      </c>
      <c r="J14" s="194">
        <v>33.9</v>
      </c>
      <c r="L14" s="90"/>
      <c r="M14" s="90"/>
      <c r="N14" s="90"/>
      <c r="O14" s="90"/>
      <c r="P14" s="90"/>
      <c r="Q14" s="90"/>
      <c r="R14" s="90"/>
      <c r="S14" s="90"/>
    </row>
    <row r="15" spans="1:19" x14ac:dyDescent="0.3">
      <c r="A15" s="305"/>
      <c r="B15" s="95" t="s">
        <v>57</v>
      </c>
      <c r="C15" s="204">
        <v>10679</v>
      </c>
      <c r="D15" s="95">
        <v>14.8</v>
      </c>
      <c r="E15" s="96">
        <v>3176</v>
      </c>
      <c r="F15" s="95">
        <v>4.9000000000000004</v>
      </c>
      <c r="G15" s="204">
        <v>15509</v>
      </c>
      <c r="H15" s="95">
        <v>17.2</v>
      </c>
      <c r="I15" s="204">
        <v>29365</v>
      </c>
      <c r="J15" s="194">
        <v>12.9</v>
      </c>
      <c r="L15" s="90"/>
      <c r="M15" s="90"/>
      <c r="N15" s="90"/>
      <c r="O15" s="90"/>
      <c r="P15" s="90"/>
      <c r="Q15" s="90"/>
      <c r="R15" s="90"/>
      <c r="S15" s="90"/>
    </row>
    <row r="16" spans="1:19" x14ac:dyDescent="0.3">
      <c r="A16" s="305"/>
      <c r="B16" s="95" t="s">
        <v>52</v>
      </c>
      <c r="C16" s="204">
        <v>3676</v>
      </c>
      <c r="D16" s="95">
        <v>5.0999999999999996</v>
      </c>
      <c r="E16" s="96">
        <v>19046</v>
      </c>
      <c r="F16" s="95">
        <v>29.2</v>
      </c>
      <c r="G16" s="204">
        <v>14873</v>
      </c>
      <c r="H16" s="95">
        <v>16.5</v>
      </c>
      <c r="I16" s="204">
        <v>37595</v>
      </c>
      <c r="J16" s="194">
        <v>16.5</v>
      </c>
      <c r="L16" s="90"/>
      <c r="M16" s="90"/>
      <c r="N16" s="90"/>
      <c r="O16" s="90"/>
      <c r="P16" s="90"/>
      <c r="Q16" s="90"/>
      <c r="R16" s="90"/>
      <c r="S16" s="90"/>
    </row>
    <row r="17" spans="1:19" x14ac:dyDescent="0.3">
      <c r="A17" s="305"/>
      <c r="B17" s="95" t="s">
        <v>41</v>
      </c>
      <c r="C17" s="204">
        <v>8001</v>
      </c>
      <c r="D17" s="95">
        <v>11.1</v>
      </c>
      <c r="E17" s="96">
        <v>1626</v>
      </c>
      <c r="F17" s="95">
        <v>2.5</v>
      </c>
      <c r="G17" s="204">
        <v>11946</v>
      </c>
      <c r="H17" s="95">
        <v>13.3</v>
      </c>
      <c r="I17" s="204">
        <v>21573</v>
      </c>
      <c r="J17" s="194">
        <v>9.5</v>
      </c>
      <c r="L17" s="90"/>
      <c r="M17" s="90"/>
      <c r="N17" s="90"/>
      <c r="O17" s="90"/>
      <c r="P17" s="90"/>
      <c r="Q17" s="90"/>
      <c r="R17" s="90"/>
      <c r="S17" s="90"/>
    </row>
    <row r="18" spans="1:19" x14ac:dyDescent="0.3">
      <c r="A18" s="305"/>
      <c r="B18" s="95" t="s">
        <v>63</v>
      </c>
      <c r="C18" s="204">
        <v>6821</v>
      </c>
      <c r="D18" s="95">
        <v>9.5</v>
      </c>
      <c r="E18" s="96">
        <v>1493</v>
      </c>
      <c r="F18" s="95">
        <v>2.2999999999999998</v>
      </c>
      <c r="G18" s="204">
        <v>5709</v>
      </c>
      <c r="H18" s="95">
        <v>6.3</v>
      </c>
      <c r="I18" s="204">
        <v>14022</v>
      </c>
      <c r="J18" s="194">
        <v>6.2</v>
      </c>
      <c r="L18" s="90"/>
      <c r="M18" s="90"/>
      <c r="N18" s="90"/>
      <c r="O18" s="90"/>
      <c r="P18" s="90"/>
      <c r="Q18" s="90"/>
      <c r="R18" s="90"/>
      <c r="S18" s="90"/>
    </row>
    <row r="19" spans="1:19" x14ac:dyDescent="0.3">
      <c r="A19" s="305"/>
      <c r="B19" s="95" t="s">
        <v>48</v>
      </c>
      <c r="C19" s="204">
        <v>840</v>
      </c>
      <c r="D19" s="95">
        <v>1.2</v>
      </c>
      <c r="E19" s="95">
        <v>138</v>
      </c>
      <c r="F19" s="95">
        <v>0.2</v>
      </c>
      <c r="G19" s="204">
        <v>5833</v>
      </c>
      <c r="H19" s="95">
        <v>6.5</v>
      </c>
      <c r="I19" s="204">
        <v>6811</v>
      </c>
      <c r="J19" s="194">
        <v>3</v>
      </c>
      <c r="L19" s="90"/>
      <c r="M19" s="90"/>
      <c r="N19" s="90"/>
      <c r="O19" s="90"/>
      <c r="P19" s="90"/>
      <c r="Q19" s="90"/>
      <c r="R19" s="90"/>
      <c r="S19" s="90"/>
    </row>
    <row r="20" spans="1:19" x14ac:dyDescent="0.3">
      <c r="A20" s="305"/>
      <c r="B20" s="95" t="s">
        <v>253</v>
      </c>
      <c r="C20" s="204">
        <v>18157</v>
      </c>
      <c r="D20" s="95">
        <v>25.2</v>
      </c>
      <c r="E20" s="96">
        <v>5580</v>
      </c>
      <c r="F20" s="95">
        <v>8.6</v>
      </c>
      <c r="G20" s="204">
        <v>17165</v>
      </c>
      <c r="H20" s="95">
        <v>19.100000000000001</v>
      </c>
      <c r="I20" s="204">
        <v>40902</v>
      </c>
      <c r="J20" s="194">
        <v>18</v>
      </c>
      <c r="L20" s="90"/>
      <c r="M20" s="90"/>
      <c r="N20" s="90"/>
      <c r="O20" s="90"/>
      <c r="P20" s="90"/>
      <c r="Q20" s="90"/>
      <c r="R20" s="90"/>
      <c r="S20" s="90"/>
    </row>
    <row r="21" spans="1:19" x14ac:dyDescent="0.3">
      <c r="A21" s="306"/>
      <c r="B21" s="97" t="s">
        <v>86</v>
      </c>
      <c r="C21" s="207">
        <v>72113</v>
      </c>
      <c r="D21" s="97">
        <v>100</v>
      </c>
      <c r="E21" s="98">
        <v>65132</v>
      </c>
      <c r="F21" s="97">
        <v>100</v>
      </c>
      <c r="G21" s="207">
        <v>89996</v>
      </c>
      <c r="H21" s="97">
        <v>100</v>
      </c>
      <c r="I21" s="207">
        <v>227242</v>
      </c>
      <c r="J21" s="192">
        <v>100</v>
      </c>
      <c r="L21" s="90"/>
      <c r="M21" s="90"/>
      <c r="N21" s="90"/>
      <c r="O21" s="90"/>
      <c r="P21" s="90"/>
      <c r="Q21" s="90"/>
      <c r="R21" s="90"/>
      <c r="S21" s="90"/>
    </row>
    <row r="22" spans="1:19" x14ac:dyDescent="0.3">
      <c r="A22" s="304" t="s">
        <v>10</v>
      </c>
      <c r="B22" s="95" t="s">
        <v>40</v>
      </c>
      <c r="C22" s="204">
        <v>27753</v>
      </c>
      <c r="D22" s="95">
        <v>33.799999999999997</v>
      </c>
      <c r="E22" s="96">
        <v>34052</v>
      </c>
      <c r="F22" s="95">
        <v>49.9</v>
      </c>
      <c r="G22" s="204">
        <v>21352</v>
      </c>
      <c r="H22" s="95">
        <v>23.3</v>
      </c>
      <c r="I22" s="204">
        <v>83157</v>
      </c>
      <c r="J22" s="194">
        <v>34.299999999999997</v>
      </c>
      <c r="L22" s="90"/>
      <c r="M22" s="90"/>
      <c r="N22" s="90"/>
      <c r="O22" s="90"/>
      <c r="P22" s="90"/>
      <c r="Q22" s="90"/>
      <c r="R22" s="90"/>
      <c r="S22" s="90"/>
    </row>
    <row r="23" spans="1:19" x14ac:dyDescent="0.3">
      <c r="A23" s="305"/>
      <c r="B23" s="95" t="s">
        <v>57</v>
      </c>
      <c r="C23" s="204">
        <v>8899</v>
      </c>
      <c r="D23" s="95">
        <v>10.8</v>
      </c>
      <c r="E23" s="96">
        <v>3178</v>
      </c>
      <c r="F23" s="95">
        <v>4.7</v>
      </c>
      <c r="G23" s="204">
        <v>12528</v>
      </c>
      <c r="H23" s="95">
        <v>13.6</v>
      </c>
      <c r="I23" s="204">
        <v>24604</v>
      </c>
      <c r="J23" s="194">
        <v>10.199999999999999</v>
      </c>
      <c r="L23" s="90"/>
      <c r="M23" s="90"/>
      <c r="N23" s="90"/>
      <c r="O23" s="90"/>
      <c r="P23" s="90"/>
      <c r="Q23" s="90"/>
      <c r="R23" s="90"/>
      <c r="S23" s="90"/>
    </row>
    <row r="24" spans="1:19" x14ac:dyDescent="0.3">
      <c r="A24" s="305"/>
      <c r="B24" s="95" t="s">
        <v>52</v>
      </c>
      <c r="C24" s="204">
        <v>5256</v>
      </c>
      <c r="D24" s="95">
        <v>6.4</v>
      </c>
      <c r="E24" s="96">
        <v>20574</v>
      </c>
      <c r="F24" s="95">
        <v>30.2</v>
      </c>
      <c r="G24" s="204">
        <v>12592</v>
      </c>
      <c r="H24" s="95">
        <v>13.7</v>
      </c>
      <c r="I24" s="204">
        <v>38422</v>
      </c>
      <c r="J24" s="194">
        <v>15.9</v>
      </c>
      <c r="L24" s="90"/>
      <c r="M24" s="90"/>
      <c r="N24" s="90"/>
      <c r="O24" s="90"/>
      <c r="P24" s="90"/>
      <c r="Q24" s="90"/>
      <c r="R24" s="90"/>
      <c r="S24" s="90"/>
    </row>
    <row r="25" spans="1:19" x14ac:dyDescent="0.3">
      <c r="A25" s="305"/>
      <c r="B25" s="95" t="s">
        <v>41</v>
      </c>
      <c r="C25" s="204">
        <v>9700</v>
      </c>
      <c r="D25" s="95">
        <v>11.8</v>
      </c>
      <c r="E25" s="96">
        <v>1583</v>
      </c>
      <c r="F25" s="95">
        <v>2.2999999999999998</v>
      </c>
      <c r="G25" s="204">
        <v>11713</v>
      </c>
      <c r="H25" s="95">
        <v>12.8</v>
      </c>
      <c r="I25" s="204">
        <v>22996</v>
      </c>
      <c r="J25" s="194">
        <v>9.5</v>
      </c>
      <c r="L25" s="90"/>
      <c r="M25" s="90"/>
      <c r="N25" s="90"/>
      <c r="O25" s="90"/>
      <c r="P25" s="90"/>
      <c r="Q25" s="90"/>
      <c r="R25" s="90"/>
      <c r="S25" s="90"/>
    </row>
    <row r="26" spans="1:19" x14ac:dyDescent="0.3">
      <c r="A26" s="305"/>
      <c r="B26" s="95" t="s">
        <v>63</v>
      </c>
      <c r="C26" s="204">
        <v>7963</v>
      </c>
      <c r="D26" s="95">
        <v>9.6999999999999993</v>
      </c>
      <c r="E26" s="96">
        <v>1040</v>
      </c>
      <c r="F26" s="95">
        <v>1.5</v>
      </c>
      <c r="G26" s="204">
        <v>7556</v>
      </c>
      <c r="H26" s="95">
        <v>8.1999999999999993</v>
      </c>
      <c r="I26" s="204">
        <v>16559</v>
      </c>
      <c r="J26" s="194">
        <v>6.8</v>
      </c>
      <c r="L26" s="90"/>
      <c r="M26" s="90"/>
      <c r="N26" s="90"/>
      <c r="O26" s="90"/>
      <c r="P26" s="90"/>
      <c r="Q26" s="90"/>
      <c r="R26" s="90"/>
      <c r="S26" s="90"/>
    </row>
    <row r="27" spans="1:19" x14ac:dyDescent="0.3">
      <c r="A27" s="305"/>
      <c r="B27" s="95" t="s">
        <v>48</v>
      </c>
      <c r="C27" s="204">
        <v>903</v>
      </c>
      <c r="D27" s="95">
        <v>1.1000000000000001</v>
      </c>
      <c r="E27" s="95">
        <v>152</v>
      </c>
      <c r="F27" s="95">
        <v>0.2</v>
      </c>
      <c r="G27" s="204">
        <v>6629</v>
      </c>
      <c r="H27" s="95">
        <v>7.2</v>
      </c>
      <c r="I27" s="204">
        <v>7683</v>
      </c>
      <c r="J27" s="194">
        <v>3.2</v>
      </c>
      <c r="L27" s="90"/>
      <c r="M27" s="90"/>
      <c r="N27" s="90"/>
      <c r="O27" s="90"/>
      <c r="P27" s="90"/>
      <c r="Q27" s="90"/>
      <c r="R27" s="90"/>
      <c r="S27" s="90"/>
    </row>
    <row r="28" spans="1:19" x14ac:dyDescent="0.3">
      <c r="A28" s="305"/>
      <c r="B28" s="95" t="s">
        <v>253</v>
      </c>
      <c r="C28" s="204">
        <v>21618</v>
      </c>
      <c r="D28" s="95">
        <v>26.3</v>
      </c>
      <c r="E28" s="96">
        <v>7631</v>
      </c>
      <c r="F28" s="95">
        <v>11.2</v>
      </c>
      <c r="G28" s="204">
        <v>19455</v>
      </c>
      <c r="H28" s="95">
        <v>21.2</v>
      </c>
      <c r="I28" s="204">
        <v>48704</v>
      </c>
      <c r="J28" s="194">
        <v>20.100000000000001</v>
      </c>
      <c r="L28" s="90"/>
      <c r="M28" s="90"/>
      <c r="N28" s="90"/>
      <c r="O28" s="90"/>
      <c r="P28" s="90"/>
      <c r="Q28" s="90"/>
      <c r="R28" s="90"/>
      <c r="S28" s="90"/>
    </row>
    <row r="29" spans="1:19" x14ac:dyDescent="0.3">
      <c r="A29" s="306"/>
      <c r="B29" s="97" t="s">
        <v>86</v>
      </c>
      <c r="C29" s="207">
        <v>82092</v>
      </c>
      <c r="D29" s="97">
        <v>100</v>
      </c>
      <c r="E29" s="98">
        <v>68208</v>
      </c>
      <c r="F29" s="97">
        <v>100</v>
      </c>
      <c r="G29" s="207">
        <v>91825</v>
      </c>
      <c r="H29" s="97">
        <v>100</v>
      </c>
      <c r="I29" s="207">
        <v>242125</v>
      </c>
      <c r="J29" s="192">
        <v>100</v>
      </c>
      <c r="L29" s="90"/>
      <c r="M29" s="90"/>
      <c r="N29" s="90"/>
      <c r="O29" s="90"/>
      <c r="P29" s="90"/>
      <c r="Q29" s="90"/>
      <c r="R29" s="90"/>
      <c r="S29" s="90"/>
    </row>
    <row r="30" spans="1:19" x14ac:dyDescent="0.3">
      <c r="A30" s="304" t="s">
        <v>369</v>
      </c>
      <c r="B30" s="95" t="s">
        <v>40</v>
      </c>
      <c r="C30" s="204">
        <v>29679</v>
      </c>
      <c r="D30" s="95">
        <v>34.200000000000003</v>
      </c>
      <c r="E30" s="96">
        <v>36007</v>
      </c>
      <c r="F30" s="95">
        <v>48.2</v>
      </c>
      <c r="G30" s="204">
        <v>22837</v>
      </c>
      <c r="H30" s="95">
        <v>23.2</v>
      </c>
      <c r="I30" s="204">
        <v>88523</v>
      </c>
      <c r="J30" s="194">
        <v>34.1</v>
      </c>
      <c r="L30" s="90"/>
      <c r="M30" s="90"/>
      <c r="N30" s="90"/>
      <c r="O30" s="90"/>
      <c r="P30" s="90"/>
      <c r="Q30" s="90"/>
      <c r="R30" s="90"/>
      <c r="S30" s="90"/>
    </row>
    <row r="31" spans="1:19" x14ac:dyDescent="0.3">
      <c r="A31" s="305"/>
      <c r="B31" s="95" t="s">
        <v>57</v>
      </c>
      <c r="C31" s="204">
        <v>10137</v>
      </c>
      <c r="D31" s="95">
        <v>11.7</v>
      </c>
      <c r="E31" s="96">
        <v>3361</v>
      </c>
      <c r="F31" s="95">
        <v>4.5</v>
      </c>
      <c r="G31" s="204">
        <v>13539</v>
      </c>
      <c r="H31" s="95">
        <v>13.8</v>
      </c>
      <c r="I31" s="204">
        <v>27038</v>
      </c>
      <c r="J31" s="194">
        <v>10.4</v>
      </c>
      <c r="L31" s="90"/>
      <c r="M31" s="90"/>
      <c r="N31" s="90"/>
      <c r="O31" s="90"/>
      <c r="P31" s="90"/>
      <c r="Q31" s="90"/>
      <c r="R31" s="90"/>
      <c r="S31" s="90"/>
    </row>
    <row r="32" spans="1:19" x14ac:dyDescent="0.3">
      <c r="A32" s="305"/>
      <c r="B32" s="95" t="s">
        <v>52</v>
      </c>
      <c r="C32" s="204">
        <v>4552</v>
      </c>
      <c r="D32" s="95">
        <v>5.3</v>
      </c>
      <c r="E32" s="96">
        <v>23207</v>
      </c>
      <c r="F32" s="95">
        <v>31.1</v>
      </c>
      <c r="G32" s="204">
        <v>12616</v>
      </c>
      <c r="H32" s="95">
        <v>12.8</v>
      </c>
      <c r="I32" s="204">
        <v>40375</v>
      </c>
      <c r="J32" s="194">
        <v>15.5</v>
      </c>
      <c r="L32" s="90"/>
      <c r="M32" s="90"/>
      <c r="N32" s="90"/>
      <c r="O32" s="90"/>
      <c r="P32" s="90"/>
      <c r="Q32" s="90"/>
      <c r="R32" s="90"/>
      <c r="S32" s="90"/>
    </row>
    <row r="33" spans="1:19" x14ac:dyDescent="0.3">
      <c r="A33" s="305"/>
      <c r="B33" s="95" t="s">
        <v>41</v>
      </c>
      <c r="C33" s="204">
        <v>8672</v>
      </c>
      <c r="D33" s="95">
        <v>10</v>
      </c>
      <c r="E33" s="96">
        <v>1571</v>
      </c>
      <c r="F33" s="95">
        <v>2.1</v>
      </c>
      <c r="G33" s="204">
        <v>13547</v>
      </c>
      <c r="H33" s="95">
        <v>13.8</v>
      </c>
      <c r="I33" s="204">
        <v>23790</v>
      </c>
      <c r="J33" s="194">
        <v>9.1999999999999993</v>
      </c>
      <c r="L33" s="90"/>
      <c r="M33" s="90"/>
      <c r="N33" s="90"/>
      <c r="O33" s="90"/>
      <c r="P33" s="90"/>
      <c r="Q33" s="90"/>
      <c r="R33" s="90"/>
      <c r="S33" s="90"/>
    </row>
    <row r="34" spans="1:19" x14ac:dyDescent="0.3">
      <c r="A34" s="305"/>
      <c r="B34" s="95" t="s">
        <v>63</v>
      </c>
      <c r="C34" s="204">
        <v>8398</v>
      </c>
      <c r="D34" s="95">
        <v>9.6999999999999993</v>
      </c>
      <c r="E34" s="96">
        <v>1193</v>
      </c>
      <c r="F34" s="95">
        <v>1.6</v>
      </c>
      <c r="G34" s="204">
        <v>7646</v>
      </c>
      <c r="H34" s="95">
        <v>7.8</v>
      </c>
      <c r="I34" s="204">
        <v>17237</v>
      </c>
      <c r="J34" s="194">
        <v>6.6</v>
      </c>
      <c r="L34" s="90"/>
      <c r="M34" s="90"/>
      <c r="N34" s="90"/>
      <c r="O34" s="90"/>
      <c r="P34" s="90"/>
      <c r="Q34" s="90"/>
      <c r="R34" s="90"/>
      <c r="S34" s="90"/>
    </row>
    <row r="35" spans="1:19" x14ac:dyDescent="0.3">
      <c r="A35" s="305"/>
      <c r="B35" s="95" t="s">
        <v>48</v>
      </c>
      <c r="C35" s="204">
        <v>970</v>
      </c>
      <c r="D35" s="95">
        <v>1.1000000000000001</v>
      </c>
      <c r="E35" s="95">
        <v>168</v>
      </c>
      <c r="F35" s="95">
        <v>0.2</v>
      </c>
      <c r="G35" s="204">
        <v>6961</v>
      </c>
      <c r="H35" s="95">
        <v>7.1</v>
      </c>
      <c r="I35" s="204">
        <v>8099</v>
      </c>
      <c r="J35" s="194">
        <v>3.1</v>
      </c>
      <c r="L35" s="90"/>
      <c r="M35" s="90"/>
      <c r="N35" s="90"/>
      <c r="O35" s="90"/>
      <c r="P35" s="90"/>
      <c r="Q35" s="90"/>
      <c r="R35" s="90"/>
      <c r="S35" s="90"/>
    </row>
    <row r="36" spans="1:19" x14ac:dyDescent="0.3">
      <c r="A36" s="305"/>
      <c r="B36" s="95" t="s">
        <v>253</v>
      </c>
      <c r="C36" s="204">
        <v>24263</v>
      </c>
      <c r="D36" s="95">
        <v>28</v>
      </c>
      <c r="E36" s="96">
        <v>9191</v>
      </c>
      <c r="F36" s="95">
        <v>12.3</v>
      </c>
      <c r="G36" s="204">
        <v>21202</v>
      </c>
      <c r="H36" s="95">
        <v>21.6</v>
      </c>
      <c r="I36" s="204">
        <v>54656</v>
      </c>
      <c r="J36" s="194">
        <v>21</v>
      </c>
      <c r="L36" s="90"/>
      <c r="M36" s="90"/>
      <c r="N36" s="90"/>
      <c r="O36" s="90"/>
      <c r="P36" s="90"/>
      <c r="Q36" s="90"/>
      <c r="R36" s="90"/>
      <c r="S36" s="90"/>
    </row>
    <row r="37" spans="1:19" x14ac:dyDescent="0.3">
      <c r="A37" s="306"/>
      <c r="B37" s="97" t="s">
        <v>86</v>
      </c>
      <c r="C37" s="207">
        <v>86671</v>
      </c>
      <c r="D37" s="97">
        <v>100</v>
      </c>
      <c r="E37" s="98">
        <v>74698</v>
      </c>
      <c r="F37" s="97">
        <v>100</v>
      </c>
      <c r="G37" s="207">
        <v>98349</v>
      </c>
      <c r="H37" s="97">
        <v>100</v>
      </c>
      <c r="I37" s="207">
        <v>259717</v>
      </c>
      <c r="J37" s="192">
        <v>100</v>
      </c>
      <c r="L37" s="90"/>
      <c r="M37" s="90"/>
      <c r="N37" s="90"/>
      <c r="O37" s="90"/>
      <c r="P37" s="90"/>
      <c r="Q37" s="90"/>
      <c r="R37" s="90"/>
      <c r="S37" s="90"/>
    </row>
    <row r="38" spans="1:19" x14ac:dyDescent="0.3">
      <c r="A38" s="304" t="s">
        <v>402</v>
      </c>
      <c r="B38" s="95" t="s">
        <v>40</v>
      </c>
      <c r="C38" s="204">
        <v>31870</v>
      </c>
      <c r="D38" s="133">
        <v>30.6</v>
      </c>
      <c r="E38" s="133">
        <v>37817</v>
      </c>
      <c r="F38" s="133">
        <v>45.5</v>
      </c>
      <c r="G38" s="204">
        <v>23816</v>
      </c>
      <c r="H38" s="133">
        <v>21.2</v>
      </c>
      <c r="I38" s="204">
        <v>93504</v>
      </c>
      <c r="J38" s="77">
        <v>31.2</v>
      </c>
      <c r="L38" s="90"/>
      <c r="M38" s="90"/>
      <c r="N38" s="90"/>
      <c r="O38" s="90"/>
      <c r="P38" s="90"/>
      <c r="Q38" s="90"/>
      <c r="R38" s="90"/>
      <c r="S38" s="90"/>
    </row>
    <row r="39" spans="1:19" x14ac:dyDescent="0.3">
      <c r="A39" s="305"/>
      <c r="B39" s="95" t="s">
        <v>57</v>
      </c>
      <c r="C39" s="204">
        <v>22510</v>
      </c>
      <c r="D39" s="133">
        <v>21.6</v>
      </c>
      <c r="E39" s="133">
        <v>4980</v>
      </c>
      <c r="F39" s="133">
        <v>6</v>
      </c>
      <c r="G39" s="204">
        <v>24459</v>
      </c>
      <c r="H39" s="133">
        <v>21.7</v>
      </c>
      <c r="I39" s="204">
        <v>51949</v>
      </c>
      <c r="J39" s="77">
        <v>17.3</v>
      </c>
      <c r="L39" s="90"/>
      <c r="M39" s="90"/>
      <c r="N39" s="90"/>
      <c r="O39" s="90"/>
      <c r="P39" s="90"/>
      <c r="Q39" s="90"/>
      <c r="R39" s="90"/>
      <c r="S39" s="90"/>
    </row>
    <row r="40" spans="1:19" x14ac:dyDescent="0.3">
      <c r="A40" s="305"/>
      <c r="B40" s="95" t="s">
        <v>52</v>
      </c>
      <c r="C40" s="204">
        <v>6548</v>
      </c>
      <c r="D40" s="133">
        <v>6.3</v>
      </c>
      <c r="E40" s="133">
        <v>27582</v>
      </c>
      <c r="F40" s="133">
        <v>33.200000000000003</v>
      </c>
      <c r="G40" s="204">
        <v>11120</v>
      </c>
      <c r="H40" s="133">
        <v>9.9</v>
      </c>
      <c r="I40" s="204">
        <v>45250</v>
      </c>
      <c r="J40" s="77">
        <v>15.1</v>
      </c>
      <c r="L40" s="90"/>
      <c r="M40" s="90"/>
      <c r="N40" s="90"/>
      <c r="O40" s="90"/>
      <c r="P40" s="90"/>
      <c r="Q40" s="90"/>
      <c r="R40" s="90"/>
      <c r="S40" s="90"/>
    </row>
    <row r="41" spans="1:19" x14ac:dyDescent="0.3">
      <c r="A41" s="305"/>
      <c r="B41" s="95" t="s">
        <v>41</v>
      </c>
      <c r="C41" s="204">
        <v>10307</v>
      </c>
      <c r="D41" s="133">
        <v>9.9</v>
      </c>
      <c r="E41" s="133">
        <v>1661</v>
      </c>
      <c r="F41" s="133">
        <v>2</v>
      </c>
      <c r="G41" s="204">
        <v>16102</v>
      </c>
      <c r="H41" s="133">
        <v>14.3</v>
      </c>
      <c r="I41" s="204">
        <v>28070</v>
      </c>
      <c r="J41" s="77">
        <v>9.4</v>
      </c>
      <c r="L41" s="90"/>
      <c r="M41" s="90"/>
      <c r="N41" s="90"/>
      <c r="O41" s="90"/>
      <c r="P41" s="90"/>
      <c r="Q41" s="90"/>
      <c r="R41" s="90"/>
      <c r="S41" s="90"/>
    </row>
    <row r="42" spans="1:19" x14ac:dyDescent="0.3">
      <c r="A42" s="305"/>
      <c r="B42" s="95" t="s">
        <v>63</v>
      </c>
      <c r="C42" s="204">
        <v>8651</v>
      </c>
      <c r="D42" s="133">
        <v>8.3000000000000007</v>
      </c>
      <c r="E42" s="133">
        <v>1140</v>
      </c>
      <c r="F42" s="133">
        <v>1.4</v>
      </c>
      <c r="G42" s="204">
        <v>8262</v>
      </c>
      <c r="H42" s="133">
        <v>7.3</v>
      </c>
      <c r="I42" s="204">
        <v>18054</v>
      </c>
      <c r="J42" s="77">
        <v>6</v>
      </c>
      <c r="L42" s="90"/>
      <c r="M42" s="90"/>
      <c r="N42" s="90"/>
      <c r="O42" s="90"/>
      <c r="P42" s="90"/>
      <c r="Q42" s="90"/>
      <c r="R42" s="90"/>
      <c r="S42" s="90"/>
    </row>
    <row r="43" spans="1:19" x14ac:dyDescent="0.3">
      <c r="A43" s="305"/>
      <c r="B43" s="95" t="s">
        <v>48</v>
      </c>
      <c r="C43" s="204">
        <v>725</v>
      </c>
      <c r="D43" s="133">
        <v>0.7</v>
      </c>
      <c r="E43" s="133">
        <v>101</v>
      </c>
      <c r="F43" s="133">
        <v>0.1</v>
      </c>
      <c r="G43" s="204">
        <v>7856</v>
      </c>
      <c r="H43" s="133">
        <v>7</v>
      </c>
      <c r="I43" s="204">
        <v>8682</v>
      </c>
      <c r="J43" s="77">
        <v>2.9</v>
      </c>
      <c r="L43" s="90"/>
      <c r="M43" s="90"/>
      <c r="N43" s="90"/>
      <c r="O43" s="90"/>
      <c r="P43" s="90"/>
      <c r="Q43" s="90"/>
      <c r="R43" s="90"/>
      <c r="S43" s="90"/>
    </row>
    <row r="44" spans="1:19" x14ac:dyDescent="0.3">
      <c r="A44" s="305"/>
      <c r="B44" s="95" t="s">
        <v>253</v>
      </c>
      <c r="C44" s="204">
        <v>23413</v>
      </c>
      <c r="D44" s="133">
        <v>22.5</v>
      </c>
      <c r="E44" s="133">
        <v>9768</v>
      </c>
      <c r="F44" s="133">
        <v>11.8</v>
      </c>
      <c r="G44" s="204">
        <v>20873</v>
      </c>
      <c r="H44" s="133">
        <v>18.600000000000001</v>
      </c>
      <c r="I44" s="204">
        <v>54055</v>
      </c>
      <c r="J44" s="77">
        <v>18</v>
      </c>
      <c r="L44" s="90"/>
      <c r="M44" s="90"/>
      <c r="N44" s="90"/>
      <c r="O44" s="90"/>
      <c r="P44" s="90"/>
      <c r="Q44" s="90"/>
      <c r="R44" s="90"/>
      <c r="S44" s="90"/>
    </row>
    <row r="45" spans="1:19" x14ac:dyDescent="0.3">
      <c r="A45" s="306"/>
      <c r="B45" s="97" t="s">
        <v>86</v>
      </c>
      <c r="C45" s="207">
        <v>104025</v>
      </c>
      <c r="D45" s="134">
        <v>100</v>
      </c>
      <c r="E45" s="134">
        <v>83050</v>
      </c>
      <c r="F45" s="134">
        <v>100</v>
      </c>
      <c r="G45" s="207">
        <v>112490</v>
      </c>
      <c r="H45" s="134">
        <v>100</v>
      </c>
      <c r="I45" s="207">
        <v>299565</v>
      </c>
      <c r="J45" s="78">
        <v>100</v>
      </c>
      <c r="L45" s="90"/>
      <c r="M45" s="90"/>
      <c r="N45" s="90"/>
      <c r="O45" s="90"/>
      <c r="P45" s="90"/>
      <c r="Q45" s="90"/>
      <c r="R45" s="90"/>
      <c r="S45" s="90"/>
    </row>
    <row r="47" spans="1:19" x14ac:dyDescent="0.3">
      <c r="A47" t="s">
        <v>1361</v>
      </c>
    </row>
    <row r="50" spans="3:10" x14ac:dyDescent="0.3">
      <c r="C50" s="86"/>
      <c r="D50" s="86"/>
      <c r="E50" s="86"/>
      <c r="F50" s="86"/>
      <c r="G50" s="86"/>
      <c r="H50" s="86"/>
      <c r="I50" s="86"/>
      <c r="J50" s="86"/>
    </row>
    <row r="51" spans="3:10" x14ac:dyDescent="0.3">
      <c r="C51" s="86"/>
      <c r="D51" s="86"/>
      <c r="E51" s="86"/>
      <c r="F51" s="86"/>
      <c r="G51" s="86"/>
      <c r="H51" s="86"/>
      <c r="I51" s="86"/>
      <c r="J51" s="86"/>
    </row>
    <row r="52" spans="3:10" x14ac:dyDescent="0.3">
      <c r="C52" s="86"/>
      <c r="D52" s="86"/>
      <c r="E52" s="86"/>
      <c r="F52" s="86"/>
      <c r="G52" s="86"/>
      <c r="H52" s="86"/>
      <c r="I52" s="86"/>
      <c r="J52" s="86"/>
    </row>
    <row r="53" spans="3:10" x14ac:dyDescent="0.3">
      <c r="C53" s="86"/>
      <c r="D53" s="86"/>
      <c r="E53" s="86"/>
      <c r="F53" s="86"/>
      <c r="G53" s="86"/>
      <c r="H53" s="86"/>
      <c r="I53" s="86"/>
      <c r="J53" s="86"/>
    </row>
    <row r="54" spans="3:10" x14ac:dyDescent="0.3">
      <c r="C54" s="86"/>
      <c r="D54" s="86"/>
      <c r="E54" s="86"/>
      <c r="F54" s="86"/>
      <c r="G54" s="86"/>
      <c r="H54" s="86"/>
      <c r="I54" s="86"/>
      <c r="J54" s="86"/>
    </row>
    <row r="55" spans="3:10" x14ac:dyDescent="0.3">
      <c r="C55" s="86"/>
      <c r="D55" s="86"/>
      <c r="E55" s="86"/>
      <c r="F55" s="86"/>
      <c r="G55" s="86"/>
      <c r="H55" s="86"/>
      <c r="I55" s="86"/>
      <c r="J55" s="86"/>
    </row>
    <row r="56" spans="3:10" x14ac:dyDescent="0.3">
      <c r="C56" s="86"/>
      <c r="D56" s="86"/>
      <c r="E56" s="86"/>
      <c r="F56" s="86"/>
      <c r="G56" s="86"/>
      <c r="H56" s="86"/>
      <c r="I56" s="86"/>
      <c r="J56" s="86"/>
    </row>
    <row r="57" spans="3:10" x14ac:dyDescent="0.3">
      <c r="C57" s="86"/>
      <c r="D57" s="86"/>
      <c r="E57" s="86"/>
      <c r="F57" s="86"/>
      <c r="G57" s="86"/>
      <c r="H57" s="86"/>
      <c r="I57" s="86"/>
      <c r="J57" s="86"/>
    </row>
    <row r="58" spans="3:10" x14ac:dyDescent="0.3">
      <c r="C58" s="86"/>
      <c r="D58" s="86"/>
      <c r="E58" s="86"/>
      <c r="F58" s="86"/>
      <c r="G58" s="86"/>
      <c r="H58" s="86"/>
      <c r="I58" s="86"/>
      <c r="J58" s="86"/>
    </row>
    <row r="59" spans="3:10" x14ac:dyDescent="0.3">
      <c r="C59" s="86"/>
      <c r="D59" s="86"/>
      <c r="E59" s="86"/>
      <c r="F59" s="86"/>
      <c r="G59" s="86"/>
      <c r="H59" s="86"/>
      <c r="I59" s="86"/>
      <c r="J59" s="86"/>
    </row>
    <row r="60" spans="3:10" x14ac:dyDescent="0.3">
      <c r="C60" s="86"/>
      <c r="D60" s="86"/>
      <c r="E60" s="86"/>
      <c r="F60" s="86"/>
      <c r="G60" s="86"/>
      <c r="H60" s="86"/>
      <c r="I60" s="86"/>
      <c r="J60" s="86"/>
    </row>
    <row r="61" spans="3:10" x14ac:dyDescent="0.3">
      <c r="C61" s="86"/>
      <c r="D61" s="86"/>
      <c r="E61" s="86"/>
      <c r="F61" s="86"/>
      <c r="G61" s="86"/>
      <c r="H61" s="86"/>
      <c r="I61" s="86"/>
      <c r="J61" s="86"/>
    </row>
    <row r="62" spans="3:10" x14ac:dyDescent="0.3">
      <c r="C62" s="86"/>
      <c r="D62" s="86"/>
      <c r="E62" s="86"/>
      <c r="F62" s="86"/>
      <c r="G62" s="86"/>
      <c r="H62" s="86"/>
      <c r="I62" s="86"/>
      <c r="J62" s="86"/>
    </row>
    <row r="63" spans="3:10" x14ac:dyDescent="0.3">
      <c r="C63" s="86"/>
      <c r="D63" s="86"/>
      <c r="E63" s="86"/>
      <c r="F63" s="86"/>
      <c r="G63" s="86"/>
      <c r="H63" s="86"/>
      <c r="I63" s="86"/>
      <c r="J63" s="86"/>
    </row>
    <row r="64" spans="3:10" x14ac:dyDescent="0.3">
      <c r="C64" s="86"/>
      <c r="D64" s="86"/>
      <c r="E64" s="86"/>
      <c r="F64" s="86"/>
      <c r="G64" s="86"/>
      <c r="H64" s="86"/>
      <c r="I64" s="86"/>
      <c r="J64" s="86"/>
    </row>
    <row r="65" spans="3:10" x14ac:dyDescent="0.3">
      <c r="C65" s="86"/>
      <c r="D65" s="86"/>
      <c r="E65" s="86"/>
      <c r="F65" s="86"/>
      <c r="G65" s="86"/>
      <c r="H65" s="86"/>
      <c r="I65" s="86"/>
      <c r="J65" s="86"/>
    </row>
    <row r="66" spans="3:10" x14ac:dyDescent="0.3">
      <c r="C66" s="86"/>
      <c r="D66" s="86"/>
      <c r="E66" s="86"/>
      <c r="F66" s="86"/>
      <c r="G66" s="86"/>
      <c r="H66" s="86"/>
      <c r="I66" s="86"/>
      <c r="J66" s="86"/>
    </row>
    <row r="67" spans="3:10" x14ac:dyDescent="0.3">
      <c r="C67" s="86"/>
      <c r="D67" s="86"/>
      <c r="E67" s="86"/>
      <c r="F67" s="86"/>
      <c r="G67" s="86"/>
      <c r="H67" s="86"/>
      <c r="I67" s="86"/>
      <c r="J67" s="86"/>
    </row>
    <row r="68" spans="3:10" x14ac:dyDescent="0.3">
      <c r="C68" s="86"/>
      <c r="D68" s="86"/>
      <c r="E68" s="86"/>
      <c r="F68" s="86"/>
      <c r="G68" s="86"/>
      <c r="H68" s="86"/>
      <c r="I68" s="86"/>
      <c r="J68" s="86"/>
    </row>
    <row r="69" spans="3:10" x14ac:dyDescent="0.3">
      <c r="C69" s="86"/>
      <c r="D69" s="86"/>
      <c r="E69" s="86"/>
      <c r="F69" s="86"/>
      <c r="G69" s="86"/>
      <c r="H69" s="86"/>
      <c r="I69" s="86"/>
      <c r="J69" s="86"/>
    </row>
    <row r="70" spans="3:10" x14ac:dyDescent="0.3">
      <c r="C70" s="86"/>
      <c r="D70" s="86"/>
      <c r="E70" s="86"/>
      <c r="F70" s="86"/>
      <c r="G70" s="86"/>
      <c r="H70" s="86"/>
      <c r="I70" s="86"/>
      <c r="J70" s="86"/>
    </row>
    <row r="71" spans="3:10" x14ac:dyDescent="0.3">
      <c r="C71" s="86"/>
      <c r="D71" s="86"/>
      <c r="E71" s="86"/>
      <c r="F71" s="86"/>
      <c r="G71" s="86"/>
      <c r="H71" s="86"/>
      <c r="I71" s="86"/>
      <c r="J71" s="86"/>
    </row>
    <row r="72" spans="3:10" x14ac:dyDescent="0.3">
      <c r="C72" s="86"/>
      <c r="D72" s="86"/>
      <c r="E72" s="86"/>
      <c r="F72" s="86"/>
      <c r="G72" s="86"/>
      <c r="H72" s="86"/>
      <c r="I72" s="86"/>
      <c r="J72" s="86"/>
    </row>
    <row r="73" spans="3:10" x14ac:dyDescent="0.3">
      <c r="C73" s="86"/>
      <c r="D73" s="86"/>
      <c r="E73" s="86"/>
      <c r="F73" s="86"/>
      <c r="G73" s="86"/>
      <c r="H73" s="86"/>
      <c r="I73" s="86"/>
      <c r="J73" s="86"/>
    </row>
    <row r="74" spans="3:10" x14ac:dyDescent="0.3">
      <c r="C74" s="86"/>
      <c r="D74" s="86"/>
      <c r="E74" s="86"/>
      <c r="F74" s="86"/>
      <c r="G74" s="86"/>
      <c r="H74" s="86"/>
      <c r="I74" s="86"/>
      <c r="J74" s="86"/>
    </row>
    <row r="75" spans="3:10" x14ac:dyDescent="0.3">
      <c r="C75" s="86"/>
      <c r="D75" s="86"/>
      <c r="E75" s="86"/>
      <c r="F75" s="86"/>
      <c r="G75" s="86"/>
      <c r="H75" s="86"/>
      <c r="I75" s="86"/>
      <c r="J75" s="86"/>
    </row>
    <row r="76" spans="3:10" x14ac:dyDescent="0.3">
      <c r="C76" s="86"/>
      <c r="D76" s="86"/>
      <c r="E76" s="86"/>
      <c r="F76" s="86"/>
      <c r="G76" s="86"/>
      <c r="H76" s="86"/>
      <c r="I76" s="86"/>
      <c r="J76" s="86"/>
    </row>
    <row r="77" spans="3:10" x14ac:dyDescent="0.3">
      <c r="C77" s="86"/>
      <c r="D77" s="86"/>
      <c r="E77" s="86"/>
      <c r="F77" s="86"/>
      <c r="G77" s="86"/>
      <c r="H77" s="86"/>
      <c r="I77" s="86"/>
      <c r="J77" s="86"/>
    </row>
    <row r="78" spans="3:10" x14ac:dyDescent="0.3">
      <c r="C78" s="86"/>
      <c r="D78" s="86"/>
      <c r="E78" s="86"/>
      <c r="F78" s="86"/>
      <c r="G78" s="86"/>
      <c r="H78" s="86"/>
      <c r="I78" s="86"/>
      <c r="J78" s="86"/>
    </row>
    <row r="79" spans="3:10" x14ac:dyDescent="0.3">
      <c r="C79" s="86"/>
      <c r="D79" s="86"/>
      <c r="E79" s="86"/>
      <c r="F79" s="86"/>
      <c r="G79" s="86"/>
      <c r="H79" s="86"/>
      <c r="I79" s="86"/>
      <c r="J79" s="86"/>
    </row>
    <row r="80" spans="3:10" x14ac:dyDescent="0.3">
      <c r="C80" s="86"/>
      <c r="D80" s="86"/>
      <c r="E80" s="86"/>
      <c r="F80" s="86"/>
      <c r="G80" s="86"/>
      <c r="H80" s="86"/>
      <c r="I80" s="86"/>
      <c r="J80" s="86"/>
    </row>
    <row r="81" spans="3:10" x14ac:dyDescent="0.3">
      <c r="C81" s="86"/>
      <c r="D81" s="86"/>
      <c r="E81" s="86"/>
      <c r="F81" s="86"/>
      <c r="G81" s="86"/>
      <c r="H81" s="86"/>
      <c r="I81" s="86"/>
      <c r="J81" s="86"/>
    </row>
    <row r="82" spans="3:10" x14ac:dyDescent="0.3">
      <c r="C82" s="86"/>
      <c r="D82" s="86"/>
      <c r="E82" s="86"/>
      <c r="F82" s="86"/>
      <c r="G82" s="86"/>
      <c r="H82" s="86"/>
      <c r="I82" s="86"/>
      <c r="J82" s="86"/>
    </row>
    <row r="83" spans="3:10" x14ac:dyDescent="0.3">
      <c r="C83" s="86"/>
      <c r="D83" s="86"/>
      <c r="E83" s="86"/>
      <c r="F83" s="86"/>
      <c r="G83" s="86"/>
      <c r="H83" s="86"/>
      <c r="I83" s="86"/>
      <c r="J83" s="86"/>
    </row>
    <row r="84" spans="3:10" x14ac:dyDescent="0.3">
      <c r="C84" s="86"/>
      <c r="D84" s="86"/>
      <c r="E84" s="86"/>
      <c r="F84" s="86"/>
      <c r="G84" s="86"/>
      <c r="H84" s="86"/>
      <c r="I84" s="86"/>
      <c r="J84" s="86"/>
    </row>
    <row r="85" spans="3:10" x14ac:dyDescent="0.3">
      <c r="C85" s="86"/>
      <c r="D85" s="86"/>
      <c r="E85" s="86"/>
      <c r="F85" s="86"/>
      <c r="G85" s="86"/>
      <c r="H85" s="86"/>
      <c r="I85" s="86"/>
      <c r="J85" s="86"/>
    </row>
    <row r="86" spans="3:10" x14ac:dyDescent="0.3">
      <c r="C86" s="86"/>
      <c r="D86" s="86"/>
      <c r="E86" s="86"/>
      <c r="F86" s="86"/>
      <c r="G86" s="86"/>
      <c r="H86" s="86"/>
      <c r="I86" s="86"/>
      <c r="J86" s="86"/>
    </row>
    <row r="87" spans="3:10" x14ac:dyDescent="0.3">
      <c r="C87" s="86"/>
      <c r="D87" s="86"/>
      <c r="E87" s="86"/>
      <c r="F87" s="86"/>
      <c r="G87" s="86"/>
      <c r="H87" s="86"/>
      <c r="I87" s="86"/>
      <c r="J87" s="86"/>
    </row>
    <row r="88" spans="3:10" x14ac:dyDescent="0.3">
      <c r="C88" s="86"/>
      <c r="D88" s="86"/>
      <c r="E88" s="86"/>
      <c r="F88" s="86"/>
      <c r="G88" s="86"/>
      <c r="H88" s="86"/>
      <c r="I88" s="86"/>
      <c r="J88" s="86"/>
    </row>
    <row r="89" spans="3:10" x14ac:dyDescent="0.3">
      <c r="C89" s="86"/>
      <c r="D89" s="86"/>
      <c r="E89" s="86"/>
      <c r="F89" s="86"/>
      <c r="G89" s="86"/>
      <c r="H89" s="86"/>
      <c r="I89" s="86"/>
      <c r="J89" s="86"/>
    </row>
  </sheetData>
  <mergeCells count="11">
    <mergeCell ref="I4:J4"/>
    <mergeCell ref="A4:A5"/>
    <mergeCell ref="B4:B5"/>
    <mergeCell ref="C4:D4"/>
    <mergeCell ref="E4:F4"/>
    <mergeCell ref="G4:H4"/>
    <mergeCell ref="A6:A13"/>
    <mergeCell ref="A14:A21"/>
    <mergeCell ref="A22:A29"/>
    <mergeCell ref="A30:A37"/>
    <mergeCell ref="A38:A45"/>
  </mergeCells>
  <phoneticPr fontId="1" type="noConversion"/>
  <hyperlinks>
    <hyperlink ref="F1" location="목차!A1" display="목차" xr:uid="{BD222EF4-674F-446D-A18C-B49101436546}"/>
  </hyperlinks>
  <pageMargins left="0.7" right="0.7" top="0.75" bottom="0.75" header="0.3" footer="0.3"/>
  <pageSetup paperSize="9" orientation="portrait" copies="16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813E-38FE-446B-B7B6-175EFDD895DA}">
  <sheetPr>
    <tabColor theme="0" tint="-4.9989318521683403E-2"/>
  </sheetPr>
  <dimension ref="A1:S102"/>
  <sheetViews>
    <sheetView topLeftCell="A13" zoomScale="70" zoomScaleNormal="70" workbookViewId="0">
      <selection activeCell="C6" sqref="C6:J50"/>
    </sheetView>
  </sheetViews>
  <sheetFormatPr defaultRowHeight="16.5" x14ac:dyDescent="0.3"/>
  <cols>
    <col min="2" max="2" width="19.375" customWidth="1"/>
  </cols>
  <sheetData>
    <row r="1" spans="1:19" ht="17.25" x14ac:dyDescent="0.3">
      <c r="A1" s="7" t="s">
        <v>1275</v>
      </c>
      <c r="B1" s="4"/>
      <c r="C1" s="4"/>
      <c r="D1" s="4"/>
      <c r="E1" s="4"/>
      <c r="F1" s="4"/>
      <c r="H1" s="72" t="s">
        <v>367</v>
      </c>
    </row>
    <row r="3" spans="1:19" x14ac:dyDescent="0.3">
      <c r="J3" s="5" t="s">
        <v>87</v>
      </c>
    </row>
    <row r="4" spans="1:19" ht="17.25" thickBot="1" x14ac:dyDescent="0.35">
      <c r="A4" s="342" t="s">
        <v>245</v>
      </c>
      <c r="B4" s="341" t="s">
        <v>139</v>
      </c>
      <c r="C4" s="335" t="s">
        <v>115</v>
      </c>
      <c r="D4" s="345"/>
      <c r="E4" s="335" t="s">
        <v>833</v>
      </c>
      <c r="F4" s="345"/>
      <c r="G4" s="335" t="s">
        <v>1003</v>
      </c>
      <c r="H4" s="345"/>
      <c r="I4" s="335" t="s">
        <v>86</v>
      </c>
      <c r="J4" s="336"/>
    </row>
    <row r="5" spans="1:19" ht="17.25" thickTop="1" x14ac:dyDescent="0.3">
      <c r="A5" s="342"/>
      <c r="B5" s="341"/>
      <c r="C5" s="183" t="s">
        <v>77</v>
      </c>
      <c r="D5" s="183" t="s">
        <v>36</v>
      </c>
      <c r="E5" s="183" t="s">
        <v>77</v>
      </c>
      <c r="F5" s="183" t="s">
        <v>36</v>
      </c>
      <c r="G5" s="183" t="s">
        <v>77</v>
      </c>
      <c r="H5" s="183" t="s">
        <v>36</v>
      </c>
      <c r="I5" s="183" t="s">
        <v>77</v>
      </c>
      <c r="J5" s="182" t="s">
        <v>36</v>
      </c>
    </row>
    <row r="6" spans="1:19" x14ac:dyDescent="0.3">
      <c r="A6" s="304" t="s">
        <v>8</v>
      </c>
      <c r="B6" s="95" t="s">
        <v>78</v>
      </c>
      <c r="C6" s="96">
        <v>1949</v>
      </c>
      <c r="D6" s="95">
        <v>2.9</v>
      </c>
      <c r="E6" s="95">
        <v>355</v>
      </c>
      <c r="F6" s="95">
        <v>0.6</v>
      </c>
      <c r="G6" s="96">
        <v>8223</v>
      </c>
      <c r="H6" s="95">
        <v>10.4</v>
      </c>
      <c r="I6" s="96">
        <v>10527</v>
      </c>
      <c r="J6" s="194">
        <v>5.0999999999999996</v>
      </c>
      <c r="L6" s="90"/>
      <c r="M6" s="90"/>
      <c r="N6" s="90"/>
      <c r="O6" s="90"/>
      <c r="P6" s="90"/>
      <c r="Q6" s="90"/>
      <c r="R6" s="90"/>
      <c r="S6" s="90"/>
    </row>
    <row r="7" spans="1:19" x14ac:dyDescent="0.3">
      <c r="A7" s="305"/>
      <c r="B7" s="95" t="s">
        <v>79</v>
      </c>
      <c r="C7" s="96">
        <v>12759</v>
      </c>
      <c r="D7" s="95">
        <v>19.100000000000001</v>
      </c>
      <c r="E7" s="96">
        <v>50238</v>
      </c>
      <c r="F7" s="95">
        <v>86</v>
      </c>
      <c r="G7" s="96">
        <v>19595</v>
      </c>
      <c r="H7" s="95">
        <v>24.7</v>
      </c>
      <c r="I7" s="96">
        <v>82593</v>
      </c>
      <c r="J7" s="194">
        <v>40.4</v>
      </c>
      <c r="L7" s="90"/>
      <c r="M7" s="90"/>
      <c r="N7" s="90"/>
      <c r="O7" s="90"/>
      <c r="P7" s="90"/>
      <c r="Q7" s="90"/>
      <c r="R7" s="90"/>
      <c r="S7" s="90"/>
    </row>
    <row r="8" spans="1:19" x14ac:dyDescent="0.3">
      <c r="A8" s="305"/>
      <c r="B8" s="95" t="s">
        <v>80</v>
      </c>
      <c r="C8" s="96">
        <v>24047</v>
      </c>
      <c r="D8" s="95">
        <v>36</v>
      </c>
      <c r="E8" s="96">
        <v>4213</v>
      </c>
      <c r="F8" s="95">
        <v>7.2</v>
      </c>
      <c r="G8" s="96">
        <v>21903</v>
      </c>
      <c r="H8" s="95">
        <v>27.6</v>
      </c>
      <c r="I8" s="96">
        <v>50163</v>
      </c>
      <c r="J8" s="194">
        <v>24.5</v>
      </c>
      <c r="L8" s="90"/>
      <c r="M8" s="90"/>
      <c r="N8" s="90"/>
      <c r="O8" s="90"/>
      <c r="P8" s="90"/>
      <c r="Q8" s="90"/>
      <c r="R8" s="90"/>
      <c r="S8" s="90"/>
    </row>
    <row r="9" spans="1:19" x14ac:dyDescent="0.3">
      <c r="A9" s="305"/>
      <c r="B9" s="95" t="s">
        <v>81</v>
      </c>
      <c r="C9" s="96">
        <v>1921</v>
      </c>
      <c r="D9" s="95">
        <v>2.9</v>
      </c>
      <c r="E9" s="95">
        <v>484</v>
      </c>
      <c r="F9" s="95">
        <v>0.8</v>
      </c>
      <c r="G9" s="96">
        <v>1295</v>
      </c>
      <c r="H9" s="95">
        <v>1.6</v>
      </c>
      <c r="I9" s="96">
        <v>3700</v>
      </c>
      <c r="J9" s="194">
        <v>1.8</v>
      </c>
      <c r="L9" s="90"/>
      <c r="M9" s="90"/>
      <c r="N9" s="90"/>
      <c r="O9" s="90"/>
      <c r="P9" s="90"/>
      <c r="Q9" s="90"/>
      <c r="R9" s="90"/>
      <c r="S9" s="90"/>
    </row>
    <row r="10" spans="1:19" x14ac:dyDescent="0.3">
      <c r="A10" s="305"/>
      <c r="B10" s="95" t="s">
        <v>82</v>
      </c>
      <c r="C10" s="96">
        <v>2951</v>
      </c>
      <c r="D10" s="95">
        <v>4.4000000000000004</v>
      </c>
      <c r="E10" s="95">
        <v>131</v>
      </c>
      <c r="F10" s="95">
        <v>0.2</v>
      </c>
      <c r="G10" s="96">
        <v>10880</v>
      </c>
      <c r="H10" s="95">
        <v>13.7</v>
      </c>
      <c r="I10" s="96">
        <v>13962</v>
      </c>
      <c r="J10" s="194">
        <v>6.8</v>
      </c>
      <c r="L10" s="90"/>
      <c r="M10" s="90"/>
      <c r="N10" s="90"/>
      <c r="O10" s="90"/>
      <c r="P10" s="90"/>
      <c r="Q10" s="90"/>
      <c r="R10" s="90"/>
      <c r="S10" s="90"/>
    </row>
    <row r="11" spans="1:19" x14ac:dyDescent="0.3">
      <c r="A11" s="305"/>
      <c r="B11" s="95" t="s">
        <v>83</v>
      </c>
      <c r="C11" s="96">
        <v>16011</v>
      </c>
      <c r="D11" s="95">
        <v>24</v>
      </c>
      <c r="E11" s="96">
        <v>2399</v>
      </c>
      <c r="F11" s="95">
        <v>4.0999999999999996</v>
      </c>
      <c r="G11" s="96">
        <v>11284</v>
      </c>
      <c r="H11" s="95">
        <v>14.2</v>
      </c>
      <c r="I11" s="96">
        <v>29694</v>
      </c>
      <c r="J11" s="194">
        <v>14.5</v>
      </c>
      <c r="L11" s="90"/>
      <c r="M11" s="90"/>
      <c r="N11" s="90"/>
      <c r="O11" s="90"/>
      <c r="P11" s="90"/>
      <c r="Q11" s="90"/>
      <c r="R11" s="90"/>
      <c r="S11" s="90"/>
    </row>
    <row r="12" spans="1:19" x14ac:dyDescent="0.3">
      <c r="A12" s="305"/>
      <c r="B12" s="95" t="s">
        <v>84</v>
      </c>
      <c r="C12" s="96">
        <v>1405</v>
      </c>
      <c r="D12" s="95">
        <v>2.1</v>
      </c>
      <c r="E12" s="95">
        <v>26</v>
      </c>
      <c r="F12" s="95">
        <v>0</v>
      </c>
      <c r="G12" s="95">
        <v>398</v>
      </c>
      <c r="H12" s="95">
        <v>0.5</v>
      </c>
      <c r="I12" s="96">
        <v>1829</v>
      </c>
      <c r="J12" s="194">
        <v>0.9</v>
      </c>
      <c r="L12" s="90"/>
      <c r="M12" s="90"/>
      <c r="N12" s="90"/>
      <c r="O12" s="90"/>
      <c r="P12" s="90"/>
      <c r="Q12" s="90"/>
      <c r="R12" s="90"/>
      <c r="S12" s="90"/>
    </row>
    <row r="13" spans="1:19" x14ac:dyDescent="0.3">
      <c r="A13" s="305"/>
      <c r="B13" s="95" t="s">
        <v>85</v>
      </c>
      <c r="C13" s="96">
        <v>5684</v>
      </c>
      <c r="D13" s="95">
        <v>8.5</v>
      </c>
      <c r="E13" s="95">
        <v>592</v>
      </c>
      <c r="F13" s="95">
        <v>1</v>
      </c>
      <c r="G13" s="96">
        <v>5855</v>
      </c>
      <c r="H13" s="95">
        <v>7.4</v>
      </c>
      <c r="I13" s="96">
        <v>12131</v>
      </c>
      <c r="J13" s="194">
        <v>5.9</v>
      </c>
      <c r="L13" s="90"/>
      <c r="M13" s="90"/>
      <c r="N13" s="90"/>
      <c r="O13" s="90"/>
      <c r="P13" s="90"/>
      <c r="Q13" s="90"/>
      <c r="R13" s="90"/>
      <c r="S13" s="90"/>
    </row>
    <row r="14" spans="1:19" x14ac:dyDescent="0.3">
      <c r="A14" s="306"/>
      <c r="B14" s="97" t="s">
        <v>86</v>
      </c>
      <c r="C14" s="98">
        <v>66726</v>
      </c>
      <c r="D14" s="97">
        <v>100</v>
      </c>
      <c r="E14" s="98">
        <v>58439</v>
      </c>
      <c r="F14" s="97">
        <v>100</v>
      </c>
      <c r="G14" s="98">
        <v>79432</v>
      </c>
      <c r="H14" s="97">
        <v>100</v>
      </c>
      <c r="I14" s="98">
        <v>204597</v>
      </c>
      <c r="J14" s="192">
        <v>100</v>
      </c>
      <c r="L14" s="90"/>
      <c r="M14" s="90"/>
      <c r="N14" s="90"/>
      <c r="O14" s="90"/>
      <c r="P14" s="90"/>
      <c r="Q14" s="90"/>
      <c r="R14" s="90"/>
      <c r="S14" s="90"/>
    </row>
    <row r="15" spans="1:19" x14ac:dyDescent="0.3">
      <c r="A15" s="304" t="s">
        <v>9</v>
      </c>
      <c r="B15" s="95" t="s">
        <v>78</v>
      </c>
      <c r="C15" s="96">
        <v>2050</v>
      </c>
      <c r="D15" s="95">
        <v>2.8</v>
      </c>
      <c r="E15" s="95">
        <v>406</v>
      </c>
      <c r="F15" s="95">
        <v>0.6</v>
      </c>
      <c r="G15" s="96">
        <v>8811</v>
      </c>
      <c r="H15" s="95">
        <v>9.8000000000000007</v>
      </c>
      <c r="I15" s="96">
        <v>11267</v>
      </c>
      <c r="J15" s="194">
        <v>5</v>
      </c>
      <c r="L15" s="90"/>
      <c r="M15" s="90"/>
      <c r="N15" s="90"/>
      <c r="O15" s="90"/>
      <c r="P15" s="90"/>
      <c r="Q15" s="90"/>
      <c r="R15" s="90"/>
      <c r="S15" s="90"/>
    </row>
    <row r="16" spans="1:19" x14ac:dyDescent="0.3">
      <c r="A16" s="305"/>
      <c r="B16" s="95" t="s">
        <v>79</v>
      </c>
      <c r="C16" s="96">
        <v>12635</v>
      </c>
      <c r="D16" s="95">
        <v>17.5</v>
      </c>
      <c r="E16" s="96">
        <v>56241</v>
      </c>
      <c r="F16" s="95">
        <v>86.3</v>
      </c>
      <c r="G16" s="96">
        <v>20510</v>
      </c>
      <c r="H16" s="95">
        <v>22.8</v>
      </c>
      <c r="I16" s="96">
        <v>89386</v>
      </c>
      <c r="J16" s="194">
        <v>39.299999999999997</v>
      </c>
      <c r="L16" s="90"/>
      <c r="M16" s="90"/>
      <c r="N16" s="90"/>
      <c r="O16" s="90"/>
      <c r="P16" s="90"/>
      <c r="Q16" s="90"/>
      <c r="R16" s="90"/>
      <c r="S16" s="90"/>
    </row>
    <row r="17" spans="1:19" x14ac:dyDescent="0.3">
      <c r="A17" s="305"/>
      <c r="B17" s="95" t="s">
        <v>80</v>
      </c>
      <c r="C17" s="96">
        <v>27330</v>
      </c>
      <c r="D17" s="95">
        <v>37.9</v>
      </c>
      <c r="E17" s="96">
        <v>4552</v>
      </c>
      <c r="F17" s="95">
        <v>7</v>
      </c>
      <c r="G17" s="96">
        <v>25155</v>
      </c>
      <c r="H17" s="95">
        <v>28</v>
      </c>
      <c r="I17" s="96">
        <v>57038</v>
      </c>
      <c r="J17" s="194">
        <v>25.1</v>
      </c>
      <c r="L17" s="90"/>
      <c r="M17" s="90"/>
      <c r="N17" s="90"/>
      <c r="O17" s="90"/>
      <c r="P17" s="90"/>
      <c r="Q17" s="90"/>
      <c r="R17" s="90"/>
      <c r="S17" s="90"/>
    </row>
    <row r="18" spans="1:19" x14ac:dyDescent="0.3">
      <c r="A18" s="305"/>
      <c r="B18" s="95" t="s">
        <v>81</v>
      </c>
      <c r="C18" s="96">
        <v>1628</v>
      </c>
      <c r="D18" s="95">
        <v>2.2999999999999998</v>
      </c>
      <c r="E18" s="95">
        <v>290</v>
      </c>
      <c r="F18" s="95">
        <v>0.4</v>
      </c>
      <c r="G18" s="96">
        <v>1240</v>
      </c>
      <c r="H18" s="95">
        <v>1.4</v>
      </c>
      <c r="I18" s="96">
        <v>3158</v>
      </c>
      <c r="J18" s="194">
        <v>1.4</v>
      </c>
      <c r="L18" s="90"/>
      <c r="M18" s="90"/>
      <c r="N18" s="90"/>
      <c r="O18" s="90"/>
      <c r="P18" s="90"/>
      <c r="Q18" s="90"/>
      <c r="R18" s="90"/>
      <c r="S18" s="90"/>
    </row>
    <row r="19" spans="1:19" x14ac:dyDescent="0.3">
      <c r="A19" s="305"/>
      <c r="B19" s="95" t="s">
        <v>82</v>
      </c>
      <c r="C19" s="96">
        <v>2385</v>
      </c>
      <c r="D19" s="95">
        <v>3.3</v>
      </c>
      <c r="E19" s="95">
        <v>73</v>
      </c>
      <c r="F19" s="95">
        <v>0.1</v>
      </c>
      <c r="G19" s="96">
        <v>13374</v>
      </c>
      <c r="H19" s="95">
        <v>14.9</v>
      </c>
      <c r="I19" s="96">
        <v>15832</v>
      </c>
      <c r="J19" s="194">
        <v>7</v>
      </c>
      <c r="L19" s="90"/>
      <c r="M19" s="90"/>
      <c r="N19" s="90"/>
      <c r="O19" s="90"/>
      <c r="P19" s="90"/>
      <c r="Q19" s="90"/>
      <c r="R19" s="90"/>
      <c r="S19" s="90"/>
    </row>
    <row r="20" spans="1:19" x14ac:dyDescent="0.3">
      <c r="A20" s="305"/>
      <c r="B20" s="95" t="s">
        <v>83</v>
      </c>
      <c r="C20" s="96">
        <v>17856</v>
      </c>
      <c r="D20" s="95">
        <v>24.8</v>
      </c>
      <c r="E20" s="96">
        <v>2827</v>
      </c>
      <c r="F20" s="95">
        <v>4.3</v>
      </c>
      <c r="G20" s="96">
        <v>12629</v>
      </c>
      <c r="H20" s="95">
        <v>14</v>
      </c>
      <c r="I20" s="96">
        <v>33311</v>
      </c>
      <c r="J20" s="194">
        <v>14.7</v>
      </c>
      <c r="L20" s="90"/>
      <c r="M20" s="90"/>
      <c r="N20" s="90"/>
      <c r="O20" s="90"/>
      <c r="P20" s="90"/>
      <c r="Q20" s="90"/>
      <c r="R20" s="90"/>
      <c r="S20" s="90"/>
    </row>
    <row r="21" spans="1:19" x14ac:dyDescent="0.3">
      <c r="A21" s="305"/>
      <c r="B21" s="95" t="s">
        <v>84</v>
      </c>
      <c r="C21" s="96">
        <v>1712</v>
      </c>
      <c r="D21" s="95">
        <v>2.4</v>
      </c>
      <c r="E21" s="95">
        <v>1</v>
      </c>
      <c r="F21" s="95">
        <v>0</v>
      </c>
      <c r="G21" s="95">
        <v>201</v>
      </c>
      <c r="H21" s="95">
        <v>0.2</v>
      </c>
      <c r="I21" s="96">
        <v>1914</v>
      </c>
      <c r="J21" s="194">
        <v>0.8</v>
      </c>
      <c r="L21" s="90"/>
      <c r="M21" s="90"/>
      <c r="N21" s="90"/>
      <c r="O21" s="90"/>
      <c r="P21" s="90"/>
      <c r="Q21" s="90"/>
      <c r="R21" s="90"/>
      <c r="S21" s="90"/>
    </row>
    <row r="22" spans="1:19" x14ac:dyDescent="0.3">
      <c r="A22" s="305"/>
      <c r="B22" s="95" t="s">
        <v>85</v>
      </c>
      <c r="C22" s="96">
        <v>6516</v>
      </c>
      <c r="D22" s="95">
        <v>9</v>
      </c>
      <c r="E22" s="95">
        <v>743</v>
      </c>
      <c r="F22" s="95">
        <v>1.1000000000000001</v>
      </c>
      <c r="G22" s="96">
        <v>8076</v>
      </c>
      <c r="H22" s="95">
        <v>9</v>
      </c>
      <c r="I22" s="96">
        <v>15336</v>
      </c>
      <c r="J22" s="194">
        <v>6.7</v>
      </c>
      <c r="L22" s="90"/>
      <c r="M22" s="90"/>
      <c r="N22" s="90"/>
      <c r="O22" s="90"/>
      <c r="P22" s="90"/>
      <c r="Q22" s="90"/>
      <c r="R22" s="90"/>
      <c r="S22" s="90"/>
    </row>
    <row r="23" spans="1:19" x14ac:dyDescent="0.3">
      <c r="A23" s="306"/>
      <c r="B23" s="97" t="s">
        <v>86</v>
      </c>
      <c r="C23" s="97">
        <v>72113</v>
      </c>
      <c r="D23" s="97">
        <v>100</v>
      </c>
      <c r="E23" s="97">
        <v>65132</v>
      </c>
      <c r="F23" s="97">
        <v>100</v>
      </c>
      <c r="G23" s="97">
        <v>89996</v>
      </c>
      <c r="H23" s="97">
        <v>100</v>
      </c>
      <c r="I23" s="97">
        <v>227242</v>
      </c>
      <c r="J23" s="97">
        <v>100</v>
      </c>
      <c r="L23" s="90"/>
      <c r="M23" s="90"/>
      <c r="N23" s="90"/>
      <c r="O23" s="90"/>
      <c r="P23" s="90"/>
      <c r="Q23" s="90"/>
      <c r="R23" s="90"/>
      <c r="S23" s="90"/>
    </row>
    <row r="24" spans="1:19" x14ac:dyDescent="0.3">
      <c r="A24" s="304" t="s">
        <v>10</v>
      </c>
      <c r="B24" s="95" t="s">
        <v>78</v>
      </c>
      <c r="C24" s="96">
        <v>2167</v>
      </c>
      <c r="D24" s="95">
        <v>2.6</v>
      </c>
      <c r="E24" s="95">
        <v>311</v>
      </c>
      <c r="F24" s="95">
        <v>0.5</v>
      </c>
      <c r="G24" s="96">
        <v>9721</v>
      </c>
      <c r="H24" s="95">
        <v>10.6</v>
      </c>
      <c r="I24" s="96">
        <v>12199</v>
      </c>
      <c r="J24" s="194">
        <v>5</v>
      </c>
      <c r="L24" s="90"/>
      <c r="M24" s="90"/>
      <c r="N24" s="90"/>
      <c r="O24" s="90"/>
      <c r="P24" s="90"/>
      <c r="Q24" s="90"/>
      <c r="R24" s="90"/>
      <c r="S24" s="90"/>
    </row>
    <row r="25" spans="1:19" x14ac:dyDescent="0.3">
      <c r="A25" s="305"/>
      <c r="B25" s="95" t="s">
        <v>79</v>
      </c>
      <c r="C25" s="96">
        <v>14637</v>
      </c>
      <c r="D25" s="95">
        <v>17.8</v>
      </c>
      <c r="E25" s="96">
        <v>58420</v>
      </c>
      <c r="F25" s="95">
        <v>85.6</v>
      </c>
      <c r="G25" s="96">
        <v>21362</v>
      </c>
      <c r="H25" s="95">
        <v>23.3</v>
      </c>
      <c r="I25" s="96">
        <v>94418</v>
      </c>
      <c r="J25" s="194">
        <v>39</v>
      </c>
      <c r="L25" s="90"/>
      <c r="M25" s="90"/>
      <c r="N25" s="90"/>
      <c r="O25" s="90"/>
      <c r="P25" s="90"/>
      <c r="Q25" s="90"/>
      <c r="R25" s="90"/>
      <c r="S25" s="90"/>
    </row>
    <row r="26" spans="1:19" x14ac:dyDescent="0.3">
      <c r="A26" s="305"/>
      <c r="B26" s="95" t="s">
        <v>80</v>
      </c>
      <c r="C26" s="96">
        <v>30986</v>
      </c>
      <c r="D26" s="95">
        <v>37.700000000000003</v>
      </c>
      <c r="E26" s="96">
        <v>4970</v>
      </c>
      <c r="F26" s="95">
        <v>7.3</v>
      </c>
      <c r="G26" s="96">
        <v>26124</v>
      </c>
      <c r="H26" s="95">
        <v>28.4</v>
      </c>
      <c r="I26" s="96">
        <v>62079</v>
      </c>
      <c r="J26" s="194">
        <v>25.6</v>
      </c>
      <c r="L26" s="90"/>
      <c r="M26" s="90"/>
      <c r="N26" s="90"/>
      <c r="O26" s="90"/>
      <c r="P26" s="90"/>
      <c r="Q26" s="90"/>
      <c r="R26" s="90"/>
      <c r="S26" s="90"/>
    </row>
    <row r="27" spans="1:19" x14ac:dyDescent="0.3">
      <c r="A27" s="305"/>
      <c r="B27" s="95" t="s">
        <v>81</v>
      </c>
      <c r="C27" s="96">
        <v>1638</v>
      </c>
      <c r="D27" s="95">
        <v>2</v>
      </c>
      <c r="E27" s="95">
        <v>200</v>
      </c>
      <c r="F27" s="95">
        <v>0.3</v>
      </c>
      <c r="G27" s="96">
        <v>1654</v>
      </c>
      <c r="H27" s="95">
        <v>1.8</v>
      </c>
      <c r="I27" s="96">
        <v>3492</v>
      </c>
      <c r="J27" s="194">
        <v>1.4</v>
      </c>
      <c r="L27" s="90"/>
      <c r="M27" s="90"/>
      <c r="N27" s="90"/>
      <c r="O27" s="90"/>
      <c r="P27" s="90"/>
      <c r="Q27" s="90"/>
      <c r="R27" s="90"/>
      <c r="S27" s="90"/>
    </row>
    <row r="28" spans="1:19" x14ac:dyDescent="0.3">
      <c r="A28" s="305"/>
      <c r="B28" s="95" t="s">
        <v>82</v>
      </c>
      <c r="C28" s="96">
        <v>2017</v>
      </c>
      <c r="D28" s="95">
        <v>2.5</v>
      </c>
      <c r="E28" s="95">
        <v>34</v>
      </c>
      <c r="F28" s="95">
        <v>0.1</v>
      </c>
      <c r="G28" s="96">
        <v>10148</v>
      </c>
      <c r="H28" s="95">
        <v>11.1</v>
      </c>
      <c r="I28" s="96">
        <v>12199</v>
      </c>
      <c r="J28" s="194">
        <v>5</v>
      </c>
      <c r="L28" s="90"/>
      <c r="M28" s="90"/>
      <c r="N28" s="90"/>
      <c r="O28" s="90"/>
      <c r="P28" s="90"/>
      <c r="Q28" s="90"/>
      <c r="R28" s="90"/>
      <c r="S28" s="90"/>
    </row>
    <row r="29" spans="1:19" x14ac:dyDescent="0.3">
      <c r="A29" s="305"/>
      <c r="B29" s="95" t="s">
        <v>83</v>
      </c>
      <c r="C29" s="96">
        <v>19305</v>
      </c>
      <c r="D29" s="95">
        <v>23.5</v>
      </c>
      <c r="E29" s="96">
        <v>3240</v>
      </c>
      <c r="F29" s="95">
        <v>4.7</v>
      </c>
      <c r="G29" s="96">
        <v>13527</v>
      </c>
      <c r="H29" s="95">
        <v>14.7</v>
      </c>
      <c r="I29" s="96">
        <v>36071</v>
      </c>
      <c r="J29" s="194">
        <v>14.9</v>
      </c>
      <c r="L29" s="90"/>
      <c r="M29" s="90"/>
      <c r="N29" s="90"/>
      <c r="O29" s="90"/>
      <c r="P29" s="90"/>
      <c r="Q29" s="90"/>
      <c r="R29" s="90"/>
      <c r="S29" s="90"/>
    </row>
    <row r="30" spans="1:19" x14ac:dyDescent="0.3">
      <c r="A30" s="305"/>
      <c r="B30" s="95" t="s">
        <v>84</v>
      </c>
      <c r="C30" s="96">
        <v>2244</v>
      </c>
      <c r="D30" s="95">
        <v>2.7</v>
      </c>
      <c r="E30" s="95">
        <v>0</v>
      </c>
      <c r="F30" s="95">
        <v>0</v>
      </c>
      <c r="G30" s="95">
        <v>390</v>
      </c>
      <c r="H30" s="95">
        <v>0.4</v>
      </c>
      <c r="I30" s="96">
        <v>2634</v>
      </c>
      <c r="J30" s="194">
        <v>1.1000000000000001</v>
      </c>
      <c r="L30" s="90"/>
      <c r="M30" s="90"/>
      <c r="N30" s="90"/>
      <c r="O30" s="90"/>
      <c r="P30" s="90"/>
      <c r="Q30" s="90"/>
      <c r="R30" s="90"/>
      <c r="S30" s="90"/>
    </row>
    <row r="31" spans="1:19" x14ac:dyDescent="0.3">
      <c r="A31" s="305"/>
      <c r="B31" s="95" t="s">
        <v>85</v>
      </c>
      <c r="C31" s="96">
        <v>9099</v>
      </c>
      <c r="D31" s="95">
        <v>11.1</v>
      </c>
      <c r="E31" s="95">
        <v>1034</v>
      </c>
      <c r="F31" s="95">
        <v>1.5</v>
      </c>
      <c r="G31" s="96">
        <v>8899</v>
      </c>
      <c r="H31" s="95">
        <v>9.6999999999999993</v>
      </c>
      <c r="I31" s="96">
        <v>19032</v>
      </c>
      <c r="J31" s="194">
        <v>7.9</v>
      </c>
      <c r="L31" s="90"/>
      <c r="M31" s="90"/>
      <c r="N31" s="90"/>
      <c r="O31" s="90"/>
      <c r="P31" s="90"/>
      <c r="Q31" s="90"/>
      <c r="R31" s="90"/>
      <c r="S31" s="90"/>
    </row>
    <row r="32" spans="1:19" x14ac:dyDescent="0.3">
      <c r="A32" s="306"/>
      <c r="B32" s="97" t="s">
        <v>86</v>
      </c>
      <c r="C32" s="98">
        <v>82092</v>
      </c>
      <c r="D32" s="97">
        <v>100</v>
      </c>
      <c r="E32" s="98">
        <v>68208</v>
      </c>
      <c r="F32" s="97">
        <v>100</v>
      </c>
      <c r="G32" s="98">
        <v>91825</v>
      </c>
      <c r="H32" s="97">
        <v>100</v>
      </c>
      <c r="I32" s="98">
        <v>242125</v>
      </c>
      <c r="J32" s="192">
        <v>100</v>
      </c>
      <c r="L32" s="90"/>
      <c r="M32" s="90"/>
      <c r="N32" s="90"/>
      <c r="O32" s="90"/>
      <c r="P32" s="90"/>
      <c r="Q32" s="90"/>
      <c r="R32" s="90"/>
      <c r="S32" s="90"/>
    </row>
    <row r="33" spans="1:19" x14ac:dyDescent="0.3">
      <c r="A33" s="304" t="s">
        <v>369</v>
      </c>
      <c r="B33" s="95" t="s">
        <v>78</v>
      </c>
      <c r="C33" s="96">
        <v>2153</v>
      </c>
      <c r="D33" s="95">
        <v>2.5</v>
      </c>
      <c r="E33" s="95">
        <v>596</v>
      </c>
      <c r="F33" s="95">
        <v>0.8</v>
      </c>
      <c r="G33" s="96">
        <v>10184</v>
      </c>
      <c r="H33" s="95">
        <v>10.4</v>
      </c>
      <c r="I33" s="96">
        <v>12932</v>
      </c>
      <c r="J33" s="194">
        <v>5</v>
      </c>
      <c r="L33" s="90"/>
      <c r="M33" s="90"/>
      <c r="N33" s="90"/>
      <c r="O33" s="90"/>
      <c r="P33" s="90"/>
      <c r="Q33" s="90"/>
      <c r="R33" s="90"/>
      <c r="S33" s="90"/>
    </row>
    <row r="34" spans="1:19" x14ac:dyDescent="0.3">
      <c r="A34" s="305"/>
      <c r="B34" s="95" t="s">
        <v>79</v>
      </c>
      <c r="C34" s="96">
        <v>14568</v>
      </c>
      <c r="D34" s="95">
        <v>16.8</v>
      </c>
      <c r="E34" s="96">
        <v>63378</v>
      </c>
      <c r="F34" s="95">
        <v>84.8</v>
      </c>
      <c r="G34" s="96">
        <v>23542</v>
      </c>
      <c r="H34" s="95">
        <v>23.9</v>
      </c>
      <c r="I34" s="96">
        <v>101488</v>
      </c>
      <c r="J34" s="194">
        <v>39.1</v>
      </c>
      <c r="L34" s="90"/>
      <c r="M34" s="90"/>
      <c r="N34" s="90"/>
      <c r="O34" s="90"/>
      <c r="P34" s="90"/>
      <c r="Q34" s="90"/>
      <c r="R34" s="90"/>
      <c r="S34" s="90"/>
    </row>
    <row r="35" spans="1:19" x14ac:dyDescent="0.3">
      <c r="A35" s="305"/>
      <c r="B35" s="95" t="s">
        <v>80</v>
      </c>
      <c r="C35" s="96">
        <v>32201</v>
      </c>
      <c r="D35" s="95">
        <v>37.200000000000003</v>
      </c>
      <c r="E35" s="96">
        <v>5698</v>
      </c>
      <c r="F35" s="95">
        <v>7.6</v>
      </c>
      <c r="G35" s="96">
        <v>30262</v>
      </c>
      <c r="H35" s="95">
        <v>30.8</v>
      </c>
      <c r="I35" s="96">
        <v>68161</v>
      </c>
      <c r="J35" s="194">
        <v>26.2</v>
      </c>
      <c r="L35" s="90"/>
      <c r="M35" s="90"/>
      <c r="N35" s="90"/>
      <c r="O35" s="90"/>
      <c r="P35" s="90"/>
      <c r="Q35" s="90"/>
      <c r="R35" s="90"/>
      <c r="S35" s="90"/>
    </row>
    <row r="36" spans="1:19" x14ac:dyDescent="0.3">
      <c r="A36" s="305"/>
      <c r="B36" s="95" t="s">
        <v>81</v>
      </c>
      <c r="C36" s="96">
        <v>2046</v>
      </c>
      <c r="D36" s="95">
        <v>2.4</v>
      </c>
      <c r="E36" s="95">
        <v>527</v>
      </c>
      <c r="F36" s="95">
        <v>0.7</v>
      </c>
      <c r="G36" s="96">
        <v>1941</v>
      </c>
      <c r="H36" s="95">
        <v>2</v>
      </c>
      <c r="I36" s="96">
        <v>4514</v>
      </c>
      <c r="J36" s="194">
        <v>1.7</v>
      </c>
      <c r="L36" s="90"/>
      <c r="M36" s="90"/>
      <c r="N36" s="90"/>
      <c r="O36" s="90"/>
      <c r="P36" s="90"/>
      <c r="Q36" s="90"/>
      <c r="R36" s="90"/>
      <c r="S36" s="90"/>
    </row>
    <row r="37" spans="1:19" x14ac:dyDescent="0.3">
      <c r="A37" s="305"/>
      <c r="B37" s="95" t="s">
        <v>82</v>
      </c>
      <c r="C37" s="96">
        <v>3341</v>
      </c>
      <c r="D37" s="95">
        <v>3.9</v>
      </c>
      <c r="E37" s="95">
        <v>10</v>
      </c>
      <c r="F37" s="95">
        <v>0</v>
      </c>
      <c r="G37" s="96">
        <v>9893</v>
      </c>
      <c r="H37" s="95">
        <v>10.1</v>
      </c>
      <c r="I37" s="96">
        <v>13243</v>
      </c>
      <c r="J37" s="194">
        <v>5.0999999999999996</v>
      </c>
      <c r="L37" s="90"/>
      <c r="M37" s="90"/>
      <c r="N37" s="90"/>
      <c r="O37" s="90"/>
      <c r="P37" s="90"/>
      <c r="Q37" s="90"/>
      <c r="R37" s="90"/>
      <c r="S37" s="90"/>
    </row>
    <row r="38" spans="1:19" x14ac:dyDescent="0.3">
      <c r="A38" s="305"/>
      <c r="B38" s="95" t="s">
        <v>83</v>
      </c>
      <c r="C38" s="96">
        <v>22281</v>
      </c>
      <c r="D38" s="95">
        <v>25.7</v>
      </c>
      <c r="E38" s="96">
        <v>3768</v>
      </c>
      <c r="F38" s="95">
        <v>5</v>
      </c>
      <c r="G38" s="96">
        <v>14725</v>
      </c>
      <c r="H38" s="95">
        <v>15</v>
      </c>
      <c r="I38" s="96">
        <v>40774</v>
      </c>
      <c r="J38" s="194">
        <v>15.7</v>
      </c>
      <c r="L38" s="90"/>
      <c r="M38" s="90"/>
      <c r="N38" s="90"/>
      <c r="O38" s="90"/>
      <c r="P38" s="90"/>
      <c r="Q38" s="90"/>
      <c r="R38" s="90"/>
      <c r="S38" s="90"/>
    </row>
    <row r="39" spans="1:19" x14ac:dyDescent="0.3">
      <c r="A39" s="305"/>
      <c r="B39" s="95" t="s">
        <v>84</v>
      </c>
      <c r="C39" s="96">
        <v>52</v>
      </c>
      <c r="D39" s="95">
        <v>0.1</v>
      </c>
      <c r="E39" s="95">
        <v>51</v>
      </c>
      <c r="F39" s="95">
        <v>0.1</v>
      </c>
      <c r="G39" s="95">
        <v>518</v>
      </c>
      <c r="H39" s="95">
        <v>0.5</v>
      </c>
      <c r="I39" s="96">
        <v>621</v>
      </c>
      <c r="J39" s="194">
        <v>0.2</v>
      </c>
      <c r="L39" s="90"/>
      <c r="M39" s="90"/>
      <c r="N39" s="90"/>
      <c r="O39" s="90"/>
      <c r="P39" s="90"/>
      <c r="Q39" s="90"/>
      <c r="R39" s="90"/>
      <c r="S39" s="90"/>
    </row>
    <row r="40" spans="1:19" x14ac:dyDescent="0.3">
      <c r="A40" s="305"/>
      <c r="B40" s="95" t="s">
        <v>85</v>
      </c>
      <c r="C40" s="96">
        <v>10028</v>
      </c>
      <c r="D40" s="95">
        <v>11.6</v>
      </c>
      <c r="E40" s="96">
        <v>670</v>
      </c>
      <c r="F40" s="95">
        <v>0.9</v>
      </c>
      <c r="G40" s="96">
        <v>7285</v>
      </c>
      <c r="H40" s="95">
        <v>7.4</v>
      </c>
      <c r="I40" s="96">
        <v>17983</v>
      </c>
      <c r="J40" s="194">
        <v>6.9</v>
      </c>
      <c r="L40" s="90"/>
      <c r="M40" s="90"/>
      <c r="N40" s="90"/>
      <c r="O40" s="90"/>
      <c r="P40" s="90"/>
      <c r="Q40" s="90"/>
      <c r="R40" s="90"/>
      <c r="S40" s="90"/>
    </row>
    <row r="41" spans="1:19" x14ac:dyDescent="0.3">
      <c r="A41" s="306"/>
      <c r="B41" s="97" t="s">
        <v>86</v>
      </c>
      <c r="C41" s="98">
        <v>86671</v>
      </c>
      <c r="D41" s="97">
        <v>100</v>
      </c>
      <c r="E41" s="98">
        <v>74698</v>
      </c>
      <c r="F41" s="97">
        <v>100</v>
      </c>
      <c r="G41" s="98">
        <v>98349</v>
      </c>
      <c r="H41" s="97">
        <v>100</v>
      </c>
      <c r="I41" s="98">
        <v>259717</v>
      </c>
      <c r="J41" s="192">
        <v>100</v>
      </c>
      <c r="L41" s="90"/>
      <c r="M41" s="90"/>
      <c r="N41" s="90"/>
      <c r="O41" s="90"/>
      <c r="P41" s="90"/>
      <c r="Q41" s="90"/>
      <c r="R41" s="90"/>
      <c r="S41" s="90"/>
    </row>
    <row r="42" spans="1:19" x14ac:dyDescent="0.3">
      <c r="A42" s="304" t="s">
        <v>402</v>
      </c>
      <c r="B42" s="95" t="s">
        <v>78</v>
      </c>
      <c r="C42" s="212">
        <v>2273</v>
      </c>
      <c r="D42" s="133">
        <v>2.2000000000000002</v>
      </c>
      <c r="E42" s="212">
        <v>587</v>
      </c>
      <c r="F42" s="133">
        <v>0.7</v>
      </c>
      <c r="G42" s="212">
        <v>11516</v>
      </c>
      <c r="H42" s="133">
        <v>10.199999999999999</v>
      </c>
      <c r="I42" s="212">
        <v>14376</v>
      </c>
      <c r="J42" s="77">
        <v>4.8</v>
      </c>
      <c r="L42" s="90"/>
      <c r="M42" s="90"/>
      <c r="N42" s="90"/>
      <c r="O42" s="90"/>
      <c r="P42" s="90"/>
      <c r="Q42" s="90"/>
      <c r="R42" s="90"/>
      <c r="S42" s="90"/>
    </row>
    <row r="43" spans="1:19" x14ac:dyDescent="0.3">
      <c r="A43" s="305"/>
      <c r="B43" s="95" t="s">
        <v>79</v>
      </c>
      <c r="C43" s="212">
        <v>15407</v>
      </c>
      <c r="D43" s="133">
        <v>14.8</v>
      </c>
      <c r="E43" s="212">
        <v>69772</v>
      </c>
      <c r="F43" s="133">
        <v>84</v>
      </c>
      <c r="G43" s="212">
        <v>24613</v>
      </c>
      <c r="H43" s="133">
        <v>21.9</v>
      </c>
      <c r="I43" s="212">
        <v>109792</v>
      </c>
      <c r="J43" s="77">
        <v>36.700000000000003</v>
      </c>
      <c r="L43" s="90"/>
      <c r="M43" s="90"/>
      <c r="N43" s="90"/>
      <c r="O43" s="90"/>
      <c r="P43" s="90"/>
      <c r="Q43" s="90"/>
      <c r="R43" s="90"/>
      <c r="S43" s="90"/>
    </row>
    <row r="44" spans="1:19" x14ac:dyDescent="0.3">
      <c r="A44" s="305"/>
      <c r="B44" s="95" t="s">
        <v>80</v>
      </c>
      <c r="C44" s="212">
        <v>34939</v>
      </c>
      <c r="D44" s="133">
        <v>33.6</v>
      </c>
      <c r="E44" s="212">
        <v>5896</v>
      </c>
      <c r="F44" s="133">
        <v>7.1</v>
      </c>
      <c r="G44" s="212">
        <v>32615</v>
      </c>
      <c r="H44" s="133">
        <v>29</v>
      </c>
      <c r="I44" s="212">
        <v>73449</v>
      </c>
      <c r="J44" s="77">
        <v>24.5</v>
      </c>
      <c r="L44" s="90"/>
      <c r="M44" s="90"/>
      <c r="N44" s="90"/>
      <c r="O44" s="90"/>
      <c r="P44" s="90"/>
      <c r="Q44" s="90"/>
      <c r="R44" s="90"/>
      <c r="S44" s="90"/>
    </row>
    <row r="45" spans="1:19" x14ac:dyDescent="0.3">
      <c r="A45" s="305"/>
      <c r="B45" s="95" t="s">
        <v>81</v>
      </c>
      <c r="C45" s="212">
        <v>3392</v>
      </c>
      <c r="D45" s="133">
        <v>3.3</v>
      </c>
      <c r="E45" s="212">
        <v>804</v>
      </c>
      <c r="F45" s="133">
        <v>1</v>
      </c>
      <c r="G45" s="212">
        <v>3712</v>
      </c>
      <c r="H45" s="133">
        <v>3.3</v>
      </c>
      <c r="I45" s="212">
        <v>7909</v>
      </c>
      <c r="J45" s="77">
        <v>2.6</v>
      </c>
      <c r="L45" s="90"/>
      <c r="M45" s="90"/>
      <c r="N45" s="90"/>
      <c r="O45" s="90"/>
      <c r="P45" s="90"/>
      <c r="Q45" s="90"/>
      <c r="R45" s="90"/>
      <c r="S45" s="90"/>
    </row>
    <row r="46" spans="1:19" x14ac:dyDescent="0.3">
      <c r="A46" s="305"/>
      <c r="B46" s="95" t="s">
        <v>82</v>
      </c>
      <c r="C46" s="212">
        <v>7718</v>
      </c>
      <c r="D46" s="133">
        <v>7.4</v>
      </c>
      <c r="E46" s="212">
        <v>98</v>
      </c>
      <c r="F46" s="133">
        <v>0.1</v>
      </c>
      <c r="G46" s="212">
        <v>9693</v>
      </c>
      <c r="H46" s="133">
        <v>8.6</v>
      </c>
      <c r="I46" s="212">
        <v>17509</v>
      </c>
      <c r="J46" s="77">
        <v>5.8</v>
      </c>
      <c r="L46" s="90"/>
      <c r="M46" s="90"/>
      <c r="N46" s="90"/>
      <c r="O46" s="90"/>
      <c r="P46" s="90"/>
      <c r="Q46" s="90"/>
      <c r="R46" s="90"/>
      <c r="S46" s="90"/>
    </row>
    <row r="47" spans="1:19" x14ac:dyDescent="0.3">
      <c r="A47" s="305"/>
      <c r="B47" s="95" t="s">
        <v>83</v>
      </c>
      <c r="C47" s="212">
        <v>30424</v>
      </c>
      <c r="D47" s="133">
        <v>29.2</v>
      </c>
      <c r="E47" s="212">
        <v>4928</v>
      </c>
      <c r="F47" s="133">
        <v>5.9</v>
      </c>
      <c r="G47" s="212">
        <v>20566</v>
      </c>
      <c r="H47" s="133">
        <v>18.3</v>
      </c>
      <c r="I47" s="212">
        <v>55918</v>
      </c>
      <c r="J47" s="77">
        <v>18.7</v>
      </c>
      <c r="L47" s="90"/>
      <c r="M47" s="90"/>
      <c r="N47" s="90"/>
      <c r="O47" s="90"/>
      <c r="P47" s="90"/>
      <c r="Q47" s="90"/>
      <c r="R47" s="90"/>
      <c r="S47" s="90"/>
    </row>
    <row r="48" spans="1:19" x14ac:dyDescent="0.3">
      <c r="A48" s="305"/>
      <c r="B48" s="95" t="s">
        <v>84</v>
      </c>
      <c r="C48" s="212">
        <v>49</v>
      </c>
      <c r="D48" s="133">
        <v>0</v>
      </c>
      <c r="E48" s="212">
        <v>58</v>
      </c>
      <c r="F48" s="133">
        <v>0.1</v>
      </c>
      <c r="G48" s="212">
        <v>555</v>
      </c>
      <c r="H48" s="133">
        <v>0.5</v>
      </c>
      <c r="I48" s="212">
        <v>663</v>
      </c>
      <c r="J48" s="77">
        <v>0.2</v>
      </c>
      <c r="L48" s="90"/>
      <c r="M48" s="90"/>
      <c r="N48" s="90"/>
      <c r="O48" s="90"/>
      <c r="P48" s="90"/>
      <c r="Q48" s="90"/>
      <c r="R48" s="90"/>
      <c r="S48" s="90"/>
    </row>
    <row r="49" spans="1:19" x14ac:dyDescent="0.3">
      <c r="A49" s="305"/>
      <c r="B49" s="95" t="s">
        <v>85</v>
      </c>
      <c r="C49" s="212">
        <v>9821</v>
      </c>
      <c r="D49" s="133">
        <v>9.4</v>
      </c>
      <c r="E49" s="212">
        <v>907</v>
      </c>
      <c r="F49" s="133">
        <v>1.1000000000000001</v>
      </c>
      <c r="G49" s="212">
        <v>9221</v>
      </c>
      <c r="H49" s="133">
        <v>8.1999999999999993</v>
      </c>
      <c r="I49" s="212">
        <v>19949</v>
      </c>
      <c r="J49" s="77">
        <v>6.7</v>
      </c>
      <c r="L49" s="90"/>
      <c r="M49" s="90"/>
      <c r="N49" s="90"/>
      <c r="O49" s="90"/>
      <c r="P49" s="90"/>
      <c r="Q49" s="90"/>
      <c r="R49" s="90"/>
      <c r="S49" s="90"/>
    </row>
    <row r="50" spans="1:19" x14ac:dyDescent="0.3">
      <c r="A50" s="306"/>
      <c r="B50" s="97" t="s">
        <v>86</v>
      </c>
      <c r="C50" s="214">
        <v>104025</v>
      </c>
      <c r="D50" s="134">
        <v>100</v>
      </c>
      <c r="E50" s="214">
        <v>83050</v>
      </c>
      <c r="F50" s="134">
        <v>100</v>
      </c>
      <c r="G50" s="214">
        <v>112490</v>
      </c>
      <c r="H50" s="134">
        <v>100</v>
      </c>
      <c r="I50" s="214">
        <v>299565</v>
      </c>
      <c r="J50" s="78">
        <v>100</v>
      </c>
      <c r="L50" s="90"/>
      <c r="M50" s="90"/>
      <c r="N50" s="90"/>
      <c r="O50" s="90"/>
      <c r="P50" s="90"/>
      <c r="Q50" s="90"/>
      <c r="R50" s="90"/>
      <c r="S50" s="90"/>
    </row>
    <row r="52" spans="1:19" x14ac:dyDescent="0.3">
      <c r="A52" t="s">
        <v>94</v>
      </c>
    </row>
    <row r="53" spans="1:19" x14ac:dyDescent="0.3">
      <c r="A53" t="s">
        <v>1004</v>
      </c>
    </row>
    <row r="54" spans="1:19" x14ac:dyDescent="0.3">
      <c r="A54" t="s">
        <v>96</v>
      </c>
    </row>
    <row r="55" spans="1:19" x14ac:dyDescent="0.3">
      <c r="A55" t="s">
        <v>97</v>
      </c>
    </row>
    <row r="56" spans="1:19" x14ac:dyDescent="0.3">
      <c r="A56" t="s">
        <v>138</v>
      </c>
    </row>
    <row r="58" spans="1:19" x14ac:dyDescent="0.3">
      <c r="C58" s="86"/>
      <c r="D58" s="86"/>
      <c r="E58" s="86"/>
      <c r="F58" s="86"/>
      <c r="G58" s="86"/>
      <c r="H58" s="86"/>
      <c r="I58" s="86"/>
      <c r="J58" s="86"/>
    </row>
    <row r="59" spans="1:19" x14ac:dyDescent="0.3">
      <c r="C59" s="86"/>
      <c r="D59" s="86"/>
      <c r="E59" s="86"/>
      <c r="F59" s="86"/>
      <c r="G59" s="86"/>
      <c r="H59" s="86"/>
      <c r="I59" s="86"/>
      <c r="J59" s="86"/>
    </row>
    <row r="60" spans="1:19" x14ac:dyDescent="0.3">
      <c r="C60" s="86"/>
      <c r="D60" s="86"/>
      <c r="E60" s="86"/>
      <c r="F60" s="86"/>
      <c r="G60" s="86"/>
      <c r="H60" s="86"/>
      <c r="I60" s="86"/>
      <c r="J60" s="86"/>
    </row>
    <row r="61" spans="1:19" x14ac:dyDescent="0.3">
      <c r="C61" s="86"/>
      <c r="D61" s="86"/>
      <c r="E61" s="86"/>
      <c r="F61" s="86"/>
      <c r="G61" s="86"/>
      <c r="H61" s="86"/>
      <c r="I61" s="86"/>
      <c r="J61" s="86"/>
    </row>
    <row r="62" spans="1:19" x14ac:dyDescent="0.3">
      <c r="C62" s="86"/>
      <c r="D62" s="86"/>
      <c r="E62" s="86"/>
      <c r="F62" s="86"/>
      <c r="G62" s="86"/>
      <c r="H62" s="86"/>
      <c r="I62" s="86"/>
      <c r="J62" s="86"/>
    </row>
    <row r="63" spans="1:19" x14ac:dyDescent="0.3">
      <c r="C63" s="86"/>
      <c r="D63" s="86"/>
      <c r="E63" s="86"/>
      <c r="F63" s="86"/>
      <c r="G63" s="86"/>
      <c r="H63" s="86"/>
      <c r="I63" s="86"/>
      <c r="J63" s="86"/>
    </row>
    <row r="64" spans="1:19" x14ac:dyDescent="0.3">
      <c r="C64" s="86"/>
      <c r="D64" s="86"/>
      <c r="E64" s="86"/>
      <c r="F64" s="86"/>
      <c r="G64" s="86"/>
      <c r="H64" s="86"/>
      <c r="I64" s="86"/>
      <c r="J64" s="86"/>
    </row>
    <row r="65" spans="3:10" x14ac:dyDescent="0.3">
      <c r="C65" s="86"/>
      <c r="D65" s="86"/>
      <c r="E65" s="86"/>
      <c r="F65" s="86"/>
      <c r="G65" s="86"/>
      <c r="H65" s="86"/>
      <c r="I65" s="86"/>
      <c r="J65" s="86"/>
    </row>
    <row r="66" spans="3:10" x14ac:dyDescent="0.3">
      <c r="C66" s="86"/>
      <c r="D66" s="86"/>
      <c r="E66" s="86"/>
      <c r="F66" s="86"/>
      <c r="G66" s="86"/>
      <c r="H66" s="86"/>
      <c r="I66" s="86"/>
      <c r="J66" s="86"/>
    </row>
    <row r="67" spans="3:10" x14ac:dyDescent="0.3">
      <c r="C67" s="86"/>
      <c r="D67" s="86"/>
      <c r="E67" s="86"/>
      <c r="F67" s="86"/>
      <c r="G67" s="86"/>
      <c r="H67" s="86"/>
      <c r="I67" s="86"/>
      <c r="J67" s="86"/>
    </row>
    <row r="68" spans="3:10" x14ac:dyDescent="0.3">
      <c r="C68" s="86"/>
      <c r="D68" s="86"/>
      <c r="E68" s="86"/>
      <c r="F68" s="86"/>
      <c r="G68" s="86"/>
      <c r="H68" s="86"/>
      <c r="I68" s="86"/>
      <c r="J68" s="86"/>
    </row>
    <row r="69" spans="3:10" x14ac:dyDescent="0.3">
      <c r="C69" s="86"/>
      <c r="D69" s="86"/>
      <c r="E69" s="86"/>
      <c r="F69" s="86"/>
      <c r="G69" s="86"/>
      <c r="H69" s="86"/>
      <c r="I69" s="86"/>
      <c r="J69" s="86"/>
    </row>
    <row r="70" spans="3:10" x14ac:dyDescent="0.3">
      <c r="C70" s="86"/>
      <c r="D70" s="86"/>
      <c r="E70" s="86"/>
      <c r="F70" s="86"/>
      <c r="G70" s="86"/>
      <c r="H70" s="86"/>
      <c r="I70" s="86"/>
      <c r="J70" s="86"/>
    </row>
    <row r="71" spans="3:10" x14ac:dyDescent="0.3">
      <c r="C71" s="86"/>
      <c r="D71" s="86"/>
      <c r="E71" s="86"/>
      <c r="F71" s="86"/>
      <c r="G71" s="86"/>
      <c r="H71" s="86"/>
      <c r="I71" s="86"/>
      <c r="J71" s="86"/>
    </row>
    <row r="72" spans="3:10" x14ac:dyDescent="0.3">
      <c r="C72" s="86"/>
      <c r="D72" s="86"/>
      <c r="E72" s="86"/>
      <c r="F72" s="86"/>
      <c r="G72" s="86"/>
      <c r="H72" s="86"/>
      <c r="I72" s="86"/>
      <c r="J72" s="86"/>
    </row>
    <row r="73" spans="3:10" x14ac:dyDescent="0.3">
      <c r="C73" s="86"/>
      <c r="D73" s="86"/>
      <c r="E73" s="86"/>
      <c r="F73" s="86"/>
      <c r="G73" s="86"/>
      <c r="H73" s="86"/>
      <c r="I73" s="86"/>
      <c r="J73" s="86"/>
    </row>
    <row r="74" spans="3:10" x14ac:dyDescent="0.3">
      <c r="C74" s="86"/>
      <c r="D74" s="86"/>
      <c r="E74" s="86"/>
      <c r="F74" s="86"/>
      <c r="G74" s="86"/>
      <c r="H74" s="86"/>
      <c r="I74" s="86"/>
      <c r="J74" s="86"/>
    </row>
    <row r="75" spans="3:10" x14ac:dyDescent="0.3">
      <c r="C75" s="86"/>
      <c r="D75" s="86"/>
      <c r="E75" s="86"/>
      <c r="F75" s="86"/>
      <c r="G75" s="86"/>
      <c r="H75" s="86"/>
      <c r="I75" s="86"/>
      <c r="J75" s="86"/>
    </row>
    <row r="76" spans="3:10" x14ac:dyDescent="0.3">
      <c r="C76" s="86"/>
      <c r="D76" s="86"/>
      <c r="E76" s="86"/>
      <c r="F76" s="86"/>
      <c r="G76" s="86"/>
      <c r="H76" s="86"/>
      <c r="I76" s="86"/>
      <c r="J76" s="86"/>
    </row>
    <row r="77" spans="3:10" x14ac:dyDescent="0.3">
      <c r="C77" s="86"/>
      <c r="D77" s="86"/>
      <c r="E77" s="86"/>
      <c r="F77" s="86"/>
      <c r="G77" s="86"/>
      <c r="H77" s="86"/>
      <c r="I77" s="86"/>
      <c r="J77" s="86"/>
    </row>
    <row r="78" spans="3:10" x14ac:dyDescent="0.3">
      <c r="C78" s="86"/>
      <c r="D78" s="86"/>
      <c r="E78" s="86"/>
      <c r="F78" s="86"/>
      <c r="G78" s="86"/>
      <c r="H78" s="86"/>
      <c r="I78" s="86"/>
      <c r="J78" s="86"/>
    </row>
    <row r="79" spans="3:10" x14ac:dyDescent="0.3">
      <c r="C79" s="86"/>
      <c r="D79" s="86"/>
      <c r="E79" s="86"/>
      <c r="F79" s="86"/>
      <c r="G79" s="86"/>
      <c r="H79" s="86"/>
      <c r="I79" s="86"/>
      <c r="J79" s="86"/>
    </row>
    <row r="80" spans="3:10" x14ac:dyDescent="0.3">
      <c r="C80" s="86"/>
      <c r="D80" s="86"/>
      <c r="E80" s="86"/>
      <c r="F80" s="86"/>
      <c r="G80" s="86"/>
      <c r="H80" s="86"/>
      <c r="I80" s="86"/>
      <c r="J80" s="86"/>
    </row>
    <row r="81" spans="3:10" x14ac:dyDescent="0.3">
      <c r="C81" s="86"/>
      <c r="D81" s="86"/>
      <c r="E81" s="86"/>
      <c r="F81" s="86"/>
      <c r="G81" s="86"/>
      <c r="H81" s="86"/>
      <c r="I81" s="86"/>
      <c r="J81" s="86"/>
    </row>
    <row r="82" spans="3:10" x14ac:dyDescent="0.3">
      <c r="C82" s="86"/>
      <c r="D82" s="86"/>
      <c r="E82" s="86"/>
      <c r="F82" s="86"/>
      <c r="G82" s="86"/>
      <c r="H82" s="86"/>
      <c r="I82" s="86"/>
      <c r="J82" s="86"/>
    </row>
    <row r="83" spans="3:10" x14ac:dyDescent="0.3">
      <c r="C83" s="86"/>
      <c r="D83" s="86"/>
      <c r="E83" s="86"/>
      <c r="F83" s="86"/>
      <c r="G83" s="86"/>
      <c r="H83" s="86"/>
      <c r="I83" s="86"/>
      <c r="J83" s="86"/>
    </row>
    <row r="84" spans="3:10" x14ac:dyDescent="0.3">
      <c r="C84" s="86"/>
      <c r="D84" s="86"/>
      <c r="E84" s="86"/>
      <c r="F84" s="86"/>
      <c r="G84" s="86"/>
      <c r="H84" s="86"/>
      <c r="I84" s="86"/>
      <c r="J84" s="86"/>
    </row>
    <row r="85" spans="3:10" x14ac:dyDescent="0.3">
      <c r="C85" s="86"/>
      <c r="D85" s="86"/>
      <c r="E85" s="86"/>
      <c r="F85" s="86"/>
      <c r="G85" s="86"/>
      <c r="H85" s="86"/>
      <c r="I85" s="86"/>
      <c r="J85" s="86"/>
    </row>
    <row r="86" spans="3:10" x14ac:dyDescent="0.3">
      <c r="C86" s="86"/>
      <c r="D86" s="86"/>
      <c r="E86" s="86"/>
      <c r="F86" s="86"/>
      <c r="G86" s="86"/>
      <c r="H86" s="86"/>
      <c r="I86" s="86"/>
      <c r="J86" s="86"/>
    </row>
    <row r="87" spans="3:10" x14ac:dyDescent="0.3">
      <c r="C87" s="86"/>
      <c r="D87" s="86"/>
      <c r="E87" s="86"/>
      <c r="F87" s="86"/>
      <c r="G87" s="86"/>
      <c r="H87" s="86"/>
      <c r="I87" s="86"/>
      <c r="J87" s="86"/>
    </row>
    <row r="88" spans="3:10" x14ac:dyDescent="0.3">
      <c r="C88" s="86"/>
      <c r="D88" s="86"/>
      <c r="E88" s="86"/>
      <c r="F88" s="86"/>
      <c r="G88" s="86"/>
      <c r="H88" s="86"/>
      <c r="I88" s="86"/>
      <c r="J88" s="86"/>
    </row>
    <row r="89" spans="3:10" x14ac:dyDescent="0.3">
      <c r="C89" s="86"/>
      <c r="D89" s="86"/>
      <c r="E89" s="86"/>
      <c r="F89" s="86"/>
      <c r="G89" s="86"/>
      <c r="H89" s="86"/>
      <c r="I89" s="86"/>
      <c r="J89" s="86"/>
    </row>
    <row r="90" spans="3:10" x14ac:dyDescent="0.3">
      <c r="C90" s="86"/>
      <c r="D90" s="86"/>
      <c r="E90" s="86"/>
      <c r="F90" s="86"/>
      <c r="G90" s="86"/>
      <c r="H90" s="86"/>
      <c r="I90" s="86"/>
      <c r="J90" s="86"/>
    </row>
    <row r="91" spans="3:10" x14ac:dyDescent="0.3">
      <c r="C91" s="86"/>
      <c r="D91" s="86"/>
      <c r="E91" s="86"/>
      <c r="F91" s="86"/>
      <c r="G91" s="86"/>
      <c r="H91" s="86"/>
      <c r="I91" s="86"/>
      <c r="J91" s="86"/>
    </row>
    <row r="92" spans="3:10" x14ac:dyDescent="0.3">
      <c r="C92" s="86"/>
      <c r="D92" s="86"/>
      <c r="E92" s="86"/>
      <c r="F92" s="86"/>
      <c r="G92" s="86"/>
      <c r="H92" s="86"/>
      <c r="I92" s="86"/>
      <c r="J92" s="86"/>
    </row>
    <row r="93" spans="3:10" x14ac:dyDescent="0.3">
      <c r="C93" s="86"/>
      <c r="D93" s="86"/>
      <c r="E93" s="86"/>
      <c r="F93" s="86"/>
      <c r="G93" s="86"/>
      <c r="H93" s="86"/>
      <c r="I93" s="86"/>
      <c r="J93" s="86"/>
    </row>
    <row r="94" spans="3:10" x14ac:dyDescent="0.3">
      <c r="C94" s="86"/>
      <c r="D94" s="86"/>
      <c r="E94" s="86"/>
      <c r="F94" s="86"/>
      <c r="G94" s="86"/>
      <c r="H94" s="86"/>
      <c r="I94" s="86"/>
      <c r="J94" s="86"/>
    </row>
    <row r="95" spans="3:10" x14ac:dyDescent="0.3">
      <c r="C95" s="86"/>
      <c r="D95" s="86"/>
      <c r="E95" s="86"/>
      <c r="F95" s="86"/>
      <c r="G95" s="86"/>
      <c r="H95" s="86"/>
      <c r="I95" s="86"/>
      <c r="J95" s="86"/>
    </row>
    <row r="96" spans="3:10" x14ac:dyDescent="0.3">
      <c r="C96" s="86"/>
      <c r="D96" s="86"/>
      <c r="E96" s="86"/>
      <c r="F96" s="86"/>
      <c r="G96" s="86"/>
      <c r="H96" s="86"/>
      <c r="I96" s="86"/>
      <c r="J96" s="86"/>
    </row>
    <row r="97" spans="3:10" x14ac:dyDescent="0.3">
      <c r="C97" s="86"/>
      <c r="D97" s="86"/>
      <c r="E97" s="86"/>
      <c r="F97" s="86"/>
      <c r="G97" s="86"/>
      <c r="H97" s="86"/>
      <c r="I97" s="86"/>
      <c r="J97" s="86"/>
    </row>
    <row r="98" spans="3:10" x14ac:dyDescent="0.3">
      <c r="C98" s="86"/>
      <c r="D98" s="86"/>
      <c r="E98" s="86"/>
      <c r="F98" s="86"/>
      <c r="G98" s="86"/>
      <c r="H98" s="86"/>
      <c r="I98" s="86"/>
      <c r="J98" s="86"/>
    </row>
    <row r="99" spans="3:10" x14ac:dyDescent="0.3">
      <c r="C99" s="86"/>
      <c r="D99" s="86"/>
      <c r="E99" s="86"/>
      <c r="F99" s="86"/>
      <c r="G99" s="86"/>
      <c r="H99" s="86"/>
      <c r="I99" s="86"/>
      <c r="J99" s="86"/>
    </row>
    <row r="100" spans="3:10" x14ac:dyDescent="0.3">
      <c r="C100" s="86"/>
      <c r="D100" s="86"/>
      <c r="E100" s="86"/>
      <c r="F100" s="86"/>
      <c r="G100" s="86"/>
      <c r="H100" s="86"/>
      <c r="I100" s="86"/>
      <c r="J100" s="86"/>
    </row>
    <row r="101" spans="3:10" x14ac:dyDescent="0.3">
      <c r="C101" s="86"/>
      <c r="D101" s="86"/>
      <c r="E101" s="86"/>
      <c r="F101" s="86"/>
      <c r="G101" s="86"/>
      <c r="H101" s="86"/>
      <c r="I101" s="86"/>
      <c r="J101" s="86"/>
    </row>
    <row r="102" spans="3:10" x14ac:dyDescent="0.3">
      <c r="C102" s="86"/>
      <c r="D102" s="86"/>
      <c r="E102" s="86"/>
      <c r="F102" s="86"/>
      <c r="G102" s="86"/>
      <c r="H102" s="86"/>
      <c r="I102" s="86"/>
      <c r="J102" s="86"/>
    </row>
  </sheetData>
  <mergeCells count="11">
    <mergeCell ref="I4:J4"/>
    <mergeCell ref="A4:A5"/>
    <mergeCell ref="B4:B5"/>
    <mergeCell ref="C4:D4"/>
    <mergeCell ref="E4:F4"/>
    <mergeCell ref="G4:H4"/>
    <mergeCell ref="A6:A14"/>
    <mergeCell ref="A15:A23"/>
    <mergeCell ref="A24:A32"/>
    <mergeCell ref="A33:A41"/>
    <mergeCell ref="A42:A50"/>
  </mergeCells>
  <phoneticPr fontId="1" type="noConversion"/>
  <hyperlinks>
    <hyperlink ref="H1" location="목차!A1" display="목차" xr:uid="{2DA3E767-6E73-4464-A2FF-5B9944BE3C43}"/>
  </hyperlinks>
  <pageMargins left="0.7" right="0.7" top="0.75" bottom="0.75" header="0.3" footer="0.3"/>
  <pageSetup paperSize="9" orientation="portrait" copies="16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BB32-7B7F-4270-82C8-BAE9CB4A01AE}">
  <sheetPr>
    <tabColor theme="0" tint="-4.9989318521683403E-2"/>
  </sheetPr>
  <dimension ref="A1:BJ111"/>
  <sheetViews>
    <sheetView topLeftCell="A64" zoomScale="70" zoomScaleNormal="70" workbookViewId="0">
      <selection activeCell="D87" sqref="D87:AF106"/>
    </sheetView>
  </sheetViews>
  <sheetFormatPr defaultRowHeight="16.5" x14ac:dyDescent="0.3"/>
  <cols>
    <col min="3" max="3" width="16.375" customWidth="1"/>
  </cols>
  <sheetData>
    <row r="1" spans="1:62" ht="17.25" x14ac:dyDescent="0.3">
      <c r="A1" s="7" t="s">
        <v>1276</v>
      </c>
      <c r="B1" s="4"/>
      <c r="C1" s="4"/>
      <c r="D1" s="4"/>
      <c r="E1" s="4"/>
      <c r="F1" s="4"/>
      <c r="H1" s="72" t="s">
        <v>367</v>
      </c>
    </row>
    <row r="3" spans="1:62" x14ac:dyDescent="0.3">
      <c r="AF3" s="5" t="s">
        <v>1005</v>
      </c>
    </row>
    <row r="4" spans="1:62" s="200" customFormat="1" ht="17.25" thickBot="1" x14ac:dyDescent="0.35">
      <c r="A4" s="342" t="s">
        <v>245</v>
      </c>
      <c r="B4" s="340" t="s">
        <v>139</v>
      </c>
      <c r="C4" s="342"/>
      <c r="D4" s="335" t="s">
        <v>1006</v>
      </c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45"/>
      <c r="AB4" s="340" t="s">
        <v>86</v>
      </c>
      <c r="AC4" s="346"/>
      <c r="AD4" s="346"/>
      <c r="AE4" s="342"/>
      <c r="AF4" s="340" t="s">
        <v>72</v>
      </c>
    </row>
    <row r="5" spans="1:62" s="200" customFormat="1" ht="18" thickTop="1" thickBot="1" x14ac:dyDescent="0.35">
      <c r="A5" s="342"/>
      <c r="B5" s="340"/>
      <c r="C5" s="342"/>
      <c r="D5" s="350" t="s">
        <v>1007</v>
      </c>
      <c r="E5" s="351"/>
      <c r="F5" s="351"/>
      <c r="G5" s="352"/>
      <c r="H5" s="350" t="s">
        <v>80</v>
      </c>
      <c r="I5" s="351"/>
      <c r="J5" s="351"/>
      <c r="K5" s="352"/>
      <c r="L5" s="350" t="s">
        <v>1008</v>
      </c>
      <c r="M5" s="351"/>
      <c r="N5" s="351"/>
      <c r="O5" s="352"/>
      <c r="P5" s="350" t="s">
        <v>1009</v>
      </c>
      <c r="Q5" s="351"/>
      <c r="R5" s="351"/>
      <c r="S5" s="352"/>
      <c r="T5" s="350" t="s">
        <v>83</v>
      </c>
      <c r="U5" s="351"/>
      <c r="V5" s="351"/>
      <c r="W5" s="352"/>
      <c r="X5" s="350" t="s">
        <v>85</v>
      </c>
      <c r="Y5" s="351"/>
      <c r="Z5" s="351"/>
      <c r="AA5" s="352"/>
      <c r="AB5" s="335"/>
      <c r="AC5" s="336"/>
      <c r="AD5" s="336"/>
      <c r="AE5" s="345"/>
      <c r="AF5" s="340"/>
    </row>
    <row r="6" spans="1:62" s="200" customFormat="1" ht="17.25" thickTop="1" x14ac:dyDescent="0.3">
      <c r="A6" s="342"/>
      <c r="B6" s="340"/>
      <c r="C6" s="342"/>
      <c r="D6" s="183" t="s">
        <v>1010</v>
      </c>
      <c r="E6" s="183" t="s">
        <v>36</v>
      </c>
      <c r="F6" s="183" t="s">
        <v>1011</v>
      </c>
      <c r="G6" s="183" t="s">
        <v>36</v>
      </c>
      <c r="H6" s="183" t="s">
        <v>1010</v>
      </c>
      <c r="I6" s="183" t="s">
        <v>36</v>
      </c>
      <c r="J6" s="183" t="s">
        <v>1011</v>
      </c>
      <c r="K6" s="183" t="s">
        <v>36</v>
      </c>
      <c r="L6" s="183" t="s">
        <v>1010</v>
      </c>
      <c r="M6" s="183" t="s">
        <v>36</v>
      </c>
      <c r="N6" s="183" t="s">
        <v>1011</v>
      </c>
      <c r="O6" s="183" t="s">
        <v>36</v>
      </c>
      <c r="P6" s="183" t="s">
        <v>1010</v>
      </c>
      <c r="Q6" s="183" t="s">
        <v>36</v>
      </c>
      <c r="R6" s="183" t="s">
        <v>1011</v>
      </c>
      <c r="S6" s="183" t="s">
        <v>36</v>
      </c>
      <c r="T6" s="183" t="s">
        <v>1010</v>
      </c>
      <c r="U6" s="183" t="s">
        <v>36</v>
      </c>
      <c r="V6" s="183" t="s">
        <v>1011</v>
      </c>
      <c r="W6" s="183" t="s">
        <v>36</v>
      </c>
      <c r="X6" s="183" t="s">
        <v>1010</v>
      </c>
      <c r="Y6" s="183" t="s">
        <v>36</v>
      </c>
      <c r="Z6" s="183" t="s">
        <v>1011</v>
      </c>
      <c r="AA6" s="183" t="s">
        <v>36</v>
      </c>
      <c r="AB6" s="183" t="s">
        <v>1010</v>
      </c>
      <c r="AC6" s="183" t="s">
        <v>36</v>
      </c>
      <c r="AD6" s="183" t="s">
        <v>1011</v>
      </c>
      <c r="AE6" s="183" t="s">
        <v>36</v>
      </c>
      <c r="AF6" s="340"/>
    </row>
    <row r="7" spans="1:62" s="200" customFormat="1" x14ac:dyDescent="0.3">
      <c r="A7" s="304" t="s">
        <v>8</v>
      </c>
      <c r="B7" s="307" t="s">
        <v>115</v>
      </c>
      <c r="C7" s="95" t="s">
        <v>116</v>
      </c>
      <c r="D7" s="95">
        <v>126</v>
      </c>
      <c r="E7" s="95">
        <v>4.9000000000000004</v>
      </c>
      <c r="F7" s="95">
        <v>2</v>
      </c>
      <c r="G7" s="95">
        <v>0.1</v>
      </c>
      <c r="H7" s="95">
        <v>210</v>
      </c>
      <c r="I7" s="95">
        <v>8.1999999999999993</v>
      </c>
      <c r="J7" s="95">
        <v>329</v>
      </c>
      <c r="K7" s="95">
        <v>9.9</v>
      </c>
      <c r="L7" s="95">
        <v>232</v>
      </c>
      <c r="M7" s="95">
        <v>9.1</v>
      </c>
      <c r="N7" s="95">
        <v>219</v>
      </c>
      <c r="O7" s="95">
        <v>6.6</v>
      </c>
      <c r="P7" s="95">
        <v>232</v>
      </c>
      <c r="Q7" s="95">
        <v>9.1</v>
      </c>
      <c r="R7" s="95">
        <v>245</v>
      </c>
      <c r="S7" s="95">
        <v>7.4</v>
      </c>
      <c r="T7" s="96">
        <v>1500</v>
      </c>
      <c r="U7" s="95">
        <v>58.7</v>
      </c>
      <c r="V7" s="96">
        <v>2234</v>
      </c>
      <c r="W7" s="95">
        <v>67.5</v>
      </c>
      <c r="X7" s="95">
        <v>253</v>
      </c>
      <c r="Y7" s="95">
        <v>9.9</v>
      </c>
      <c r="Z7" s="95">
        <v>283</v>
      </c>
      <c r="AA7" s="95">
        <v>8.6</v>
      </c>
      <c r="AB7" s="96">
        <v>2553</v>
      </c>
      <c r="AC7" s="95" t="s">
        <v>788</v>
      </c>
      <c r="AD7" s="96">
        <v>3311</v>
      </c>
      <c r="AE7" s="95" t="s">
        <v>788</v>
      </c>
      <c r="AF7" s="30">
        <v>5864</v>
      </c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</row>
    <row r="8" spans="1:62" s="200" customFormat="1" x14ac:dyDescent="0.3">
      <c r="A8" s="305"/>
      <c r="B8" s="323"/>
      <c r="C8" s="95" t="s">
        <v>117</v>
      </c>
      <c r="D8" s="95">
        <v>94</v>
      </c>
      <c r="E8" s="95">
        <v>24.7</v>
      </c>
      <c r="F8" s="95">
        <v>0</v>
      </c>
      <c r="G8" s="95">
        <v>0</v>
      </c>
      <c r="H8" s="95">
        <v>7</v>
      </c>
      <c r="I8" s="95">
        <v>1.7</v>
      </c>
      <c r="J8" s="95">
        <v>26</v>
      </c>
      <c r="K8" s="95">
        <v>6.9</v>
      </c>
      <c r="L8" s="95">
        <v>26</v>
      </c>
      <c r="M8" s="95">
        <v>6.8</v>
      </c>
      <c r="N8" s="95">
        <v>13</v>
      </c>
      <c r="O8" s="95">
        <v>3.5</v>
      </c>
      <c r="P8" s="95">
        <v>47</v>
      </c>
      <c r="Q8" s="95">
        <v>12.3</v>
      </c>
      <c r="R8" s="95">
        <v>56</v>
      </c>
      <c r="S8" s="95">
        <v>15.1</v>
      </c>
      <c r="T8" s="95">
        <v>177</v>
      </c>
      <c r="U8" s="95">
        <v>46.6</v>
      </c>
      <c r="V8" s="95">
        <v>259</v>
      </c>
      <c r="W8" s="95">
        <v>70.400000000000006</v>
      </c>
      <c r="X8" s="95">
        <v>30</v>
      </c>
      <c r="Y8" s="95">
        <v>7.9</v>
      </c>
      <c r="Z8" s="95">
        <v>15</v>
      </c>
      <c r="AA8" s="95">
        <v>4.2</v>
      </c>
      <c r="AB8" s="95">
        <v>381</v>
      </c>
      <c r="AC8" s="95" t="s">
        <v>788</v>
      </c>
      <c r="AD8" s="95">
        <v>369</v>
      </c>
      <c r="AE8" s="95" t="s">
        <v>788</v>
      </c>
      <c r="AF8" s="220">
        <v>749</v>
      </c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</row>
    <row r="9" spans="1:62" s="200" customFormat="1" x14ac:dyDescent="0.3">
      <c r="A9" s="305"/>
      <c r="B9" s="323"/>
      <c r="C9" s="95" t="s">
        <v>118</v>
      </c>
      <c r="D9" s="95">
        <v>126</v>
      </c>
      <c r="E9" s="95">
        <v>4.4000000000000004</v>
      </c>
      <c r="F9" s="95">
        <v>69</v>
      </c>
      <c r="G9" s="95">
        <v>1.6</v>
      </c>
      <c r="H9" s="95">
        <v>107</v>
      </c>
      <c r="I9" s="95">
        <v>3.8</v>
      </c>
      <c r="J9" s="95">
        <v>259</v>
      </c>
      <c r="K9" s="95">
        <v>6</v>
      </c>
      <c r="L9" s="95">
        <v>199</v>
      </c>
      <c r="M9" s="95">
        <v>7</v>
      </c>
      <c r="N9" s="95">
        <v>293</v>
      </c>
      <c r="O9" s="95">
        <v>6.8</v>
      </c>
      <c r="P9" s="95">
        <v>308</v>
      </c>
      <c r="Q9" s="95">
        <v>10.8</v>
      </c>
      <c r="R9" s="95">
        <v>406</v>
      </c>
      <c r="S9" s="95">
        <v>9.4</v>
      </c>
      <c r="T9" s="96">
        <v>1965</v>
      </c>
      <c r="U9" s="95">
        <v>69</v>
      </c>
      <c r="V9" s="96">
        <v>3051</v>
      </c>
      <c r="W9" s="95">
        <v>70.8</v>
      </c>
      <c r="X9" s="95">
        <v>144</v>
      </c>
      <c r="Y9" s="95">
        <v>5.0999999999999996</v>
      </c>
      <c r="Z9" s="95">
        <v>232</v>
      </c>
      <c r="AA9" s="95">
        <v>5.4</v>
      </c>
      <c r="AB9" s="96">
        <v>2849</v>
      </c>
      <c r="AC9" s="95" t="s">
        <v>788</v>
      </c>
      <c r="AD9" s="96">
        <v>4310</v>
      </c>
      <c r="AE9" s="95" t="s">
        <v>788</v>
      </c>
      <c r="AF9" s="30">
        <v>7159</v>
      </c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</row>
    <row r="10" spans="1:62" s="200" customFormat="1" x14ac:dyDescent="0.3">
      <c r="A10" s="305"/>
      <c r="B10" s="308"/>
      <c r="C10" s="97" t="s">
        <v>110</v>
      </c>
      <c r="D10" s="97">
        <v>346</v>
      </c>
      <c r="E10" s="97">
        <v>6</v>
      </c>
      <c r="F10" s="97">
        <v>71</v>
      </c>
      <c r="G10" s="97">
        <v>0.9</v>
      </c>
      <c r="H10" s="97">
        <v>323</v>
      </c>
      <c r="I10" s="97">
        <v>5.6</v>
      </c>
      <c r="J10" s="97">
        <v>613</v>
      </c>
      <c r="K10" s="97">
        <v>7.7</v>
      </c>
      <c r="L10" s="97">
        <v>457</v>
      </c>
      <c r="M10" s="97">
        <v>7.9</v>
      </c>
      <c r="N10" s="97">
        <v>524</v>
      </c>
      <c r="O10" s="97">
        <v>6.6</v>
      </c>
      <c r="P10" s="97">
        <v>586</v>
      </c>
      <c r="Q10" s="97">
        <v>10.1</v>
      </c>
      <c r="R10" s="97">
        <v>706</v>
      </c>
      <c r="S10" s="97">
        <v>8.8000000000000007</v>
      </c>
      <c r="T10" s="98">
        <v>3643</v>
      </c>
      <c r="U10" s="97">
        <v>63</v>
      </c>
      <c r="V10" s="98">
        <v>5544</v>
      </c>
      <c r="W10" s="97">
        <v>69.400000000000006</v>
      </c>
      <c r="X10" s="97">
        <v>428</v>
      </c>
      <c r="Y10" s="97">
        <v>7.4</v>
      </c>
      <c r="Z10" s="97">
        <v>530</v>
      </c>
      <c r="AA10" s="97">
        <v>6.6</v>
      </c>
      <c r="AB10" s="98">
        <v>5782</v>
      </c>
      <c r="AC10" s="97" t="s">
        <v>788</v>
      </c>
      <c r="AD10" s="98">
        <v>7989</v>
      </c>
      <c r="AE10" s="97" t="s">
        <v>788</v>
      </c>
      <c r="AF10" s="32">
        <v>13771</v>
      </c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</row>
    <row r="11" spans="1:62" s="200" customFormat="1" x14ac:dyDescent="0.3">
      <c r="A11" s="305"/>
      <c r="B11" s="95" t="s">
        <v>833</v>
      </c>
      <c r="C11" s="97" t="s">
        <v>120</v>
      </c>
      <c r="D11" s="97">
        <v>209</v>
      </c>
      <c r="E11" s="97">
        <v>16.7</v>
      </c>
      <c r="F11" s="97">
        <v>25</v>
      </c>
      <c r="G11" s="97">
        <v>1.4</v>
      </c>
      <c r="H11" s="97">
        <v>85</v>
      </c>
      <c r="I11" s="97">
        <v>6.8</v>
      </c>
      <c r="J11" s="97">
        <v>120</v>
      </c>
      <c r="K11" s="97">
        <v>7.1</v>
      </c>
      <c r="L11" s="97">
        <v>68</v>
      </c>
      <c r="M11" s="97">
        <v>5.5</v>
      </c>
      <c r="N11" s="97">
        <v>104</v>
      </c>
      <c r="O11" s="97">
        <v>6.2</v>
      </c>
      <c r="P11" s="97">
        <v>38</v>
      </c>
      <c r="Q11" s="97">
        <v>3</v>
      </c>
      <c r="R11" s="97">
        <v>87</v>
      </c>
      <c r="S11" s="97">
        <v>5.0999999999999996</v>
      </c>
      <c r="T11" s="97">
        <v>526</v>
      </c>
      <c r="U11" s="97">
        <v>42</v>
      </c>
      <c r="V11" s="98">
        <v>1208</v>
      </c>
      <c r="W11" s="97">
        <v>71.5</v>
      </c>
      <c r="X11" s="97">
        <v>326</v>
      </c>
      <c r="Y11" s="97">
        <v>26</v>
      </c>
      <c r="Z11" s="97">
        <v>145</v>
      </c>
      <c r="AA11" s="97">
        <v>8.6</v>
      </c>
      <c r="AB11" s="97">
        <v>1252</v>
      </c>
      <c r="AC11" s="97" t="s">
        <v>788</v>
      </c>
      <c r="AD11" s="98">
        <v>1690</v>
      </c>
      <c r="AE11" s="97" t="s">
        <v>788</v>
      </c>
      <c r="AF11" s="32">
        <v>2942</v>
      </c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</row>
    <row r="12" spans="1:62" s="200" customFormat="1" ht="16.5" customHeight="1" x14ac:dyDescent="0.3">
      <c r="A12" s="305"/>
      <c r="B12" s="307" t="s">
        <v>1012</v>
      </c>
      <c r="C12" s="95" t="s">
        <v>121</v>
      </c>
      <c r="D12" s="95">
        <v>264</v>
      </c>
      <c r="E12" s="95">
        <v>34.200000000000003</v>
      </c>
      <c r="F12" s="95">
        <v>53</v>
      </c>
      <c r="G12" s="95">
        <v>5.8</v>
      </c>
      <c r="H12" s="95">
        <v>43</v>
      </c>
      <c r="I12" s="95">
        <v>5.5</v>
      </c>
      <c r="J12" s="95">
        <v>98</v>
      </c>
      <c r="K12" s="95">
        <v>10.7</v>
      </c>
      <c r="L12" s="95">
        <v>54</v>
      </c>
      <c r="M12" s="95">
        <v>7</v>
      </c>
      <c r="N12" s="95">
        <v>46</v>
      </c>
      <c r="O12" s="95">
        <v>5</v>
      </c>
      <c r="P12" s="95">
        <v>46</v>
      </c>
      <c r="Q12" s="95">
        <v>5.9</v>
      </c>
      <c r="R12" s="95">
        <v>63</v>
      </c>
      <c r="S12" s="95">
        <v>6.9</v>
      </c>
      <c r="T12" s="95">
        <v>340</v>
      </c>
      <c r="U12" s="95">
        <v>44</v>
      </c>
      <c r="V12" s="95">
        <v>576</v>
      </c>
      <c r="W12" s="95">
        <v>63.3</v>
      </c>
      <c r="X12" s="95">
        <v>26</v>
      </c>
      <c r="Y12" s="95">
        <v>3.4</v>
      </c>
      <c r="Z12" s="95">
        <v>75</v>
      </c>
      <c r="AA12" s="95">
        <v>8.1999999999999993</v>
      </c>
      <c r="AB12" s="95">
        <v>772</v>
      </c>
      <c r="AC12" s="95" t="s">
        <v>788</v>
      </c>
      <c r="AD12" s="95">
        <v>910</v>
      </c>
      <c r="AE12" s="95" t="s">
        <v>788</v>
      </c>
      <c r="AF12" s="30">
        <v>1682</v>
      </c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</row>
    <row r="13" spans="1:62" s="200" customFormat="1" x14ac:dyDescent="0.3">
      <c r="A13" s="305"/>
      <c r="B13" s="323"/>
      <c r="C13" s="95" t="s">
        <v>122</v>
      </c>
      <c r="D13" s="95">
        <v>197</v>
      </c>
      <c r="E13" s="95">
        <v>31.4</v>
      </c>
      <c r="F13" s="95">
        <v>0</v>
      </c>
      <c r="G13" s="95">
        <v>0</v>
      </c>
      <c r="H13" s="95">
        <v>12</v>
      </c>
      <c r="I13" s="95">
        <v>2</v>
      </c>
      <c r="J13" s="95">
        <v>75</v>
      </c>
      <c r="K13" s="95">
        <v>10.6</v>
      </c>
      <c r="L13" s="95">
        <v>24</v>
      </c>
      <c r="M13" s="95">
        <v>3.8</v>
      </c>
      <c r="N13" s="95">
        <v>16</v>
      </c>
      <c r="O13" s="95">
        <v>2.2000000000000002</v>
      </c>
      <c r="P13" s="95">
        <v>85</v>
      </c>
      <c r="Q13" s="95">
        <v>13.6</v>
      </c>
      <c r="R13" s="95">
        <v>103</v>
      </c>
      <c r="S13" s="95">
        <v>14.7</v>
      </c>
      <c r="T13" s="95">
        <v>282</v>
      </c>
      <c r="U13" s="95">
        <v>45</v>
      </c>
      <c r="V13" s="95">
        <v>437</v>
      </c>
      <c r="W13" s="95">
        <v>62.1</v>
      </c>
      <c r="X13" s="95">
        <v>27</v>
      </c>
      <c r="Y13" s="95">
        <v>4.3</v>
      </c>
      <c r="Z13" s="95">
        <v>73</v>
      </c>
      <c r="AA13" s="95">
        <v>10.4</v>
      </c>
      <c r="AB13" s="95">
        <v>626</v>
      </c>
      <c r="AC13" s="95" t="s">
        <v>788</v>
      </c>
      <c r="AD13" s="95">
        <v>703</v>
      </c>
      <c r="AE13" s="95" t="s">
        <v>788</v>
      </c>
      <c r="AF13" s="30">
        <v>1330</v>
      </c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</row>
    <row r="14" spans="1:62" s="200" customFormat="1" x14ac:dyDescent="0.3">
      <c r="A14" s="305"/>
      <c r="B14" s="323"/>
      <c r="C14" s="95" t="s">
        <v>123</v>
      </c>
      <c r="D14" s="95">
        <v>309</v>
      </c>
      <c r="E14" s="95">
        <v>57</v>
      </c>
      <c r="F14" s="95">
        <v>72</v>
      </c>
      <c r="G14" s="95">
        <v>15.3</v>
      </c>
      <c r="H14" s="95">
        <v>43</v>
      </c>
      <c r="I14" s="95">
        <v>8</v>
      </c>
      <c r="J14" s="95">
        <v>62</v>
      </c>
      <c r="K14" s="95">
        <v>13.2</v>
      </c>
      <c r="L14" s="95">
        <v>11</v>
      </c>
      <c r="M14" s="95">
        <v>2</v>
      </c>
      <c r="N14" s="95">
        <v>9</v>
      </c>
      <c r="O14" s="95">
        <v>1.9</v>
      </c>
      <c r="P14" s="95">
        <v>10</v>
      </c>
      <c r="Q14" s="95">
        <v>1.9</v>
      </c>
      <c r="R14" s="95">
        <v>11</v>
      </c>
      <c r="S14" s="95">
        <v>2.2999999999999998</v>
      </c>
      <c r="T14" s="95">
        <v>155</v>
      </c>
      <c r="U14" s="95">
        <v>28.6</v>
      </c>
      <c r="V14" s="95">
        <v>257</v>
      </c>
      <c r="W14" s="95">
        <v>54.4</v>
      </c>
      <c r="X14" s="95">
        <v>13</v>
      </c>
      <c r="Y14" s="95">
        <v>2.5</v>
      </c>
      <c r="Z14" s="95">
        <v>62</v>
      </c>
      <c r="AA14" s="95">
        <v>13</v>
      </c>
      <c r="AB14" s="95">
        <v>543</v>
      </c>
      <c r="AC14" s="95" t="s">
        <v>788</v>
      </c>
      <c r="AD14" s="95">
        <v>472</v>
      </c>
      <c r="AE14" s="95" t="s">
        <v>788</v>
      </c>
      <c r="AF14" s="220">
        <v>1015</v>
      </c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</row>
    <row r="15" spans="1:62" s="200" customFormat="1" x14ac:dyDescent="0.3">
      <c r="A15" s="305"/>
      <c r="B15" s="323"/>
      <c r="C15" s="95" t="s">
        <v>124</v>
      </c>
      <c r="D15" s="95">
        <v>154</v>
      </c>
      <c r="E15" s="95">
        <v>38.6</v>
      </c>
      <c r="F15" s="95">
        <v>29</v>
      </c>
      <c r="G15" s="95">
        <v>10.4</v>
      </c>
      <c r="H15" s="95">
        <v>18</v>
      </c>
      <c r="I15" s="95">
        <v>4.5</v>
      </c>
      <c r="J15" s="95">
        <v>38</v>
      </c>
      <c r="K15" s="95">
        <v>13.6</v>
      </c>
      <c r="L15" s="95">
        <v>13</v>
      </c>
      <c r="M15" s="95">
        <v>3.1</v>
      </c>
      <c r="N15" s="95">
        <v>7</v>
      </c>
      <c r="O15" s="95">
        <v>2.7</v>
      </c>
      <c r="P15" s="95">
        <v>31</v>
      </c>
      <c r="Q15" s="95">
        <v>7.7</v>
      </c>
      <c r="R15" s="95">
        <v>33</v>
      </c>
      <c r="S15" s="95">
        <v>12.1</v>
      </c>
      <c r="T15" s="95">
        <v>103</v>
      </c>
      <c r="U15" s="95">
        <v>25.7</v>
      </c>
      <c r="V15" s="95">
        <v>154</v>
      </c>
      <c r="W15" s="95">
        <v>55.7</v>
      </c>
      <c r="X15" s="95">
        <v>82</v>
      </c>
      <c r="Y15" s="95">
        <v>20.399999999999999</v>
      </c>
      <c r="Z15" s="95">
        <v>15</v>
      </c>
      <c r="AA15" s="95">
        <v>5.5</v>
      </c>
      <c r="AB15" s="95">
        <v>400</v>
      </c>
      <c r="AC15" s="95" t="s">
        <v>788</v>
      </c>
      <c r="AD15" s="95">
        <v>276</v>
      </c>
      <c r="AE15" s="95" t="s">
        <v>788</v>
      </c>
      <c r="AF15" s="220">
        <v>676</v>
      </c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</row>
    <row r="16" spans="1:62" s="200" customFormat="1" x14ac:dyDescent="0.3">
      <c r="A16" s="305"/>
      <c r="B16" s="323"/>
      <c r="C16" s="95" t="s">
        <v>125</v>
      </c>
      <c r="D16" s="95">
        <v>122</v>
      </c>
      <c r="E16" s="95">
        <v>41.7</v>
      </c>
      <c r="F16" s="95">
        <v>0</v>
      </c>
      <c r="G16" s="95">
        <v>0</v>
      </c>
      <c r="H16" s="95">
        <v>30</v>
      </c>
      <c r="I16" s="95">
        <v>10.199999999999999</v>
      </c>
      <c r="J16" s="95">
        <v>31</v>
      </c>
      <c r="K16" s="95">
        <v>11.6</v>
      </c>
      <c r="L16" s="95">
        <v>2</v>
      </c>
      <c r="M16" s="95">
        <v>0.8</v>
      </c>
      <c r="N16" s="95">
        <v>1</v>
      </c>
      <c r="O16" s="95">
        <v>0.4</v>
      </c>
      <c r="P16" s="95">
        <v>14</v>
      </c>
      <c r="Q16" s="95">
        <v>4.7</v>
      </c>
      <c r="R16" s="95">
        <v>18</v>
      </c>
      <c r="S16" s="95">
        <v>6.6</v>
      </c>
      <c r="T16" s="95">
        <v>99</v>
      </c>
      <c r="U16" s="95">
        <v>34</v>
      </c>
      <c r="V16" s="95">
        <v>183</v>
      </c>
      <c r="W16" s="95">
        <v>68.3</v>
      </c>
      <c r="X16" s="95">
        <v>25</v>
      </c>
      <c r="Y16" s="95">
        <v>8.6999999999999993</v>
      </c>
      <c r="Z16" s="95">
        <v>35</v>
      </c>
      <c r="AA16" s="95">
        <v>13.2</v>
      </c>
      <c r="AB16" s="95">
        <v>292</v>
      </c>
      <c r="AC16" s="95" t="s">
        <v>788</v>
      </c>
      <c r="AD16" s="95">
        <v>268</v>
      </c>
      <c r="AE16" s="95" t="s">
        <v>788</v>
      </c>
      <c r="AF16" s="220">
        <v>560</v>
      </c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</row>
    <row r="17" spans="1:62" s="200" customFormat="1" x14ac:dyDescent="0.3">
      <c r="A17" s="305"/>
      <c r="B17" s="323"/>
      <c r="C17" s="95" t="s">
        <v>126</v>
      </c>
      <c r="D17" s="95">
        <v>206</v>
      </c>
      <c r="E17" s="95">
        <v>39.6</v>
      </c>
      <c r="F17" s="95">
        <v>4</v>
      </c>
      <c r="G17" s="95">
        <v>0.8</v>
      </c>
      <c r="H17" s="95">
        <v>9</v>
      </c>
      <c r="I17" s="95">
        <v>1.8</v>
      </c>
      <c r="J17" s="95">
        <v>68</v>
      </c>
      <c r="K17" s="95">
        <v>12.5</v>
      </c>
      <c r="L17" s="95">
        <v>4</v>
      </c>
      <c r="M17" s="95">
        <v>0.8</v>
      </c>
      <c r="N17" s="95">
        <v>6</v>
      </c>
      <c r="O17" s="95">
        <v>1.1000000000000001</v>
      </c>
      <c r="P17" s="95">
        <v>52</v>
      </c>
      <c r="Q17" s="95">
        <v>10.1</v>
      </c>
      <c r="R17" s="95">
        <v>71</v>
      </c>
      <c r="S17" s="95">
        <v>13.1</v>
      </c>
      <c r="T17" s="95">
        <v>213</v>
      </c>
      <c r="U17" s="95">
        <v>40.9</v>
      </c>
      <c r="V17" s="95">
        <v>342</v>
      </c>
      <c r="W17" s="95">
        <v>63</v>
      </c>
      <c r="X17" s="95">
        <v>35</v>
      </c>
      <c r="Y17" s="95">
        <v>6.8</v>
      </c>
      <c r="Z17" s="95">
        <v>52</v>
      </c>
      <c r="AA17" s="95">
        <v>9.5</v>
      </c>
      <c r="AB17" s="95">
        <v>520</v>
      </c>
      <c r="AC17" s="95" t="s">
        <v>788</v>
      </c>
      <c r="AD17" s="95">
        <v>543</v>
      </c>
      <c r="AE17" s="95" t="s">
        <v>788</v>
      </c>
      <c r="AF17" s="220">
        <v>1063</v>
      </c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</row>
    <row r="18" spans="1:62" s="200" customFormat="1" x14ac:dyDescent="0.3">
      <c r="A18" s="305"/>
      <c r="B18" s="323"/>
      <c r="C18" s="95" t="s">
        <v>127</v>
      </c>
      <c r="D18" s="95">
        <v>257</v>
      </c>
      <c r="E18" s="95">
        <v>36.4</v>
      </c>
      <c r="F18" s="95">
        <v>0</v>
      </c>
      <c r="G18" s="95">
        <v>0</v>
      </c>
      <c r="H18" s="95">
        <v>26</v>
      </c>
      <c r="I18" s="95">
        <v>3.6</v>
      </c>
      <c r="J18" s="95">
        <v>65</v>
      </c>
      <c r="K18" s="95">
        <v>9.5</v>
      </c>
      <c r="L18" s="95">
        <v>31</v>
      </c>
      <c r="M18" s="95">
        <v>4.3</v>
      </c>
      <c r="N18" s="95">
        <v>12</v>
      </c>
      <c r="O18" s="95">
        <v>1.7</v>
      </c>
      <c r="P18" s="95">
        <v>79</v>
      </c>
      <c r="Q18" s="95">
        <v>11.2</v>
      </c>
      <c r="R18" s="95">
        <v>103</v>
      </c>
      <c r="S18" s="95">
        <v>14.9</v>
      </c>
      <c r="T18" s="95">
        <v>274</v>
      </c>
      <c r="U18" s="95">
        <v>38.9</v>
      </c>
      <c r="V18" s="95">
        <v>424</v>
      </c>
      <c r="W18" s="95">
        <v>61.5</v>
      </c>
      <c r="X18" s="95">
        <v>40</v>
      </c>
      <c r="Y18" s="95">
        <v>5.6</v>
      </c>
      <c r="Z18" s="95">
        <v>85</v>
      </c>
      <c r="AA18" s="95">
        <v>12.3</v>
      </c>
      <c r="AB18" s="95">
        <v>706</v>
      </c>
      <c r="AC18" s="95" t="s">
        <v>788</v>
      </c>
      <c r="AD18" s="95">
        <v>689</v>
      </c>
      <c r="AE18" s="95" t="s">
        <v>788</v>
      </c>
      <c r="AF18" s="30">
        <v>1395</v>
      </c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</row>
    <row r="19" spans="1:62" s="200" customFormat="1" x14ac:dyDescent="0.3">
      <c r="A19" s="305"/>
      <c r="B19" s="323"/>
      <c r="C19" s="95" t="s">
        <v>128</v>
      </c>
      <c r="D19" s="95">
        <v>248</v>
      </c>
      <c r="E19" s="95">
        <v>54.7</v>
      </c>
      <c r="F19" s="95">
        <v>3</v>
      </c>
      <c r="G19" s="95">
        <v>0.7</v>
      </c>
      <c r="H19" s="95">
        <v>19</v>
      </c>
      <c r="I19" s="95">
        <v>4.0999999999999996</v>
      </c>
      <c r="J19" s="95">
        <v>30</v>
      </c>
      <c r="K19" s="95">
        <v>8.1</v>
      </c>
      <c r="L19" s="95">
        <v>8</v>
      </c>
      <c r="M19" s="95">
        <v>1.8</v>
      </c>
      <c r="N19" s="95">
        <v>13</v>
      </c>
      <c r="O19" s="95">
        <v>3.5</v>
      </c>
      <c r="P19" s="95">
        <v>15</v>
      </c>
      <c r="Q19" s="95">
        <v>3.3</v>
      </c>
      <c r="R19" s="95">
        <v>22</v>
      </c>
      <c r="S19" s="95">
        <v>5.9</v>
      </c>
      <c r="T19" s="95">
        <v>136</v>
      </c>
      <c r="U19" s="95">
        <v>30.1</v>
      </c>
      <c r="V19" s="95">
        <v>265</v>
      </c>
      <c r="W19" s="95">
        <v>72.5</v>
      </c>
      <c r="X19" s="95">
        <v>27</v>
      </c>
      <c r="Y19" s="95">
        <v>6</v>
      </c>
      <c r="Z19" s="95">
        <v>34</v>
      </c>
      <c r="AA19" s="95">
        <v>9.3000000000000007</v>
      </c>
      <c r="AB19" s="95">
        <v>452</v>
      </c>
      <c r="AC19" s="95" t="s">
        <v>788</v>
      </c>
      <c r="AD19" s="95">
        <v>365</v>
      </c>
      <c r="AE19" s="95" t="s">
        <v>788</v>
      </c>
      <c r="AF19" s="220">
        <v>818</v>
      </c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</row>
    <row r="20" spans="1:62" s="200" customFormat="1" x14ac:dyDescent="0.3">
      <c r="A20" s="305"/>
      <c r="B20" s="323"/>
      <c r="C20" s="95" t="s">
        <v>129</v>
      </c>
      <c r="D20" s="95">
        <v>254</v>
      </c>
      <c r="E20" s="95">
        <v>45.7</v>
      </c>
      <c r="F20" s="95">
        <v>7</v>
      </c>
      <c r="G20" s="95">
        <v>1.5</v>
      </c>
      <c r="H20" s="95">
        <v>11</v>
      </c>
      <c r="I20" s="95">
        <v>2</v>
      </c>
      <c r="J20" s="95">
        <v>72</v>
      </c>
      <c r="K20" s="95">
        <v>16.5</v>
      </c>
      <c r="L20" s="95">
        <v>91</v>
      </c>
      <c r="M20" s="95">
        <v>16.399999999999999</v>
      </c>
      <c r="N20" s="95">
        <v>43</v>
      </c>
      <c r="O20" s="95">
        <v>10</v>
      </c>
      <c r="P20" s="95">
        <v>14</v>
      </c>
      <c r="Q20" s="95">
        <v>2.6</v>
      </c>
      <c r="R20" s="95">
        <v>21</v>
      </c>
      <c r="S20" s="95">
        <v>4.9000000000000004</v>
      </c>
      <c r="T20" s="95">
        <v>122</v>
      </c>
      <c r="U20" s="95">
        <v>21.9</v>
      </c>
      <c r="V20" s="95">
        <v>218</v>
      </c>
      <c r="W20" s="95">
        <v>49.8</v>
      </c>
      <c r="X20" s="95">
        <v>63</v>
      </c>
      <c r="Y20" s="95">
        <v>11.4</v>
      </c>
      <c r="Z20" s="95">
        <v>75</v>
      </c>
      <c r="AA20" s="95">
        <v>17.3</v>
      </c>
      <c r="AB20" s="95">
        <v>555</v>
      </c>
      <c r="AC20" s="95" t="s">
        <v>788</v>
      </c>
      <c r="AD20" s="95">
        <v>437</v>
      </c>
      <c r="AE20" s="95" t="s">
        <v>788</v>
      </c>
      <c r="AF20" s="30">
        <v>991</v>
      </c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</row>
    <row r="21" spans="1:62" s="200" customFormat="1" x14ac:dyDescent="0.3">
      <c r="A21" s="305"/>
      <c r="B21" s="323"/>
      <c r="C21" s="95" t="s">
        <v>130</v>
      </c>
      <c r="D21" s="95">
        <v>589</v>
      </c>
      <c r="E21" s="95">
        <v>52.8</v>
      </c>
      <c r="F21" s="95">
        <v>10</v>
      </c>
      <c r="G21" s="95">
        <v>1.3</v>
      </c>
      <c r="H21" s="95">
        <v>45</v>
      </c>
      <c r="I21" s="95">
        <v>4</v>
      </c>
      <c r="J21" s="95">
        <v>174</v>
      </c>
      <c r="K21" s="95">
        <v>21</v>
      </c>
      <c r="L21" s="95">
        <v>131</v>
      </c>
      <c r="M21" s="95">
        <v>11.8</v>
      </c>
      <c r="N21" s="95">
        <v>147</v>
      </c>
      <c r="O21" s="95">
        <v>17.8</v>
      </c>
      <c r="P21" s="95">
        <v>52</v>
      </c>
      <c r="Q21" s="95">
        <v>4.7</v>
      </c>
      <c r="R21" s="95">
        <v>69</v>
      </c>
      <c r="S21" s="95">
        <v>8.3000000000000007</v>
      </c>
      <c r="T21" s="95">
        <v>240</v>
      </c>
      <c r="U21" s="95">
        <v>21.5</v>
      </c>
      <c r="V21" s="95">
        <v>396</v>
      </c>
      <c r="W21" s="95">
        <v>48</v>
      </c>
      <c r="X21" s="95">
        <v>59</v>
      </c>
      <c r="Y21" s="95">
        <v>5.3</v>
      </c>
      <c r="Z21" s="96">
        <v>30</v>
      </c>
      <c r="AA21" s="95">
        <v>3.6</v>
      </c>
      <c r="AB21" s="96">
        <v>1115</v>
      </c>
      <c r="AC21" s="95" t="s">
        <v>788</v>
      </c>
      <c r="AD21" s="96">
        <v>825</v>
      </c>
      <c r="AE21" s="95" t="s">
        <v>788</v>
      </c>
      <c r="AF21" s="30">
        <v>1940</v>
      </c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</row>
    <row r="22" spans="1:62" s="200" customFormat="1" x14ac:dyDescent="0.3">
      <c r="A22" s="305"/>
      <c r="B22" s="323"/>
      <c r="C22" s="95" t="s">
        <v>131</v>
      </c>
      <c r="D22" s="95">
        <v>408</v>
      </c>
      <c r="E22" s="95">
        <v>38.700000000000003</v>
      </c>
      <c r="F22" s="95">
        <v>42</v>
      </c>
      <c r="G22" s="95">
        <v>3.6</v>
      </c>
      <c r="H22" s="95">
        <v>3</v>
      </c>
      <c r="I22" s="95">
        <v>0.3</v>
      </c>
      <c r="J22" s="95">
        <v>50</v>
      </c>
      <c r="K22" s="95">
        <v>4.3</v>
      </c>
      <c r="L22" s="95">
        <v>116</v>
      </c>
      <c r="M22" s="95">
        <v>11</v>
      </c>
      <c r="N22" s="95">
        <v>110</v>
      </c>
      <c r="O22" s="95">
        <v>9.5</v>
      </c>
      <c r="P22" s="95">
        <v>117</v>
      </c>
      <c r="Q22" s="95">
        <v>11.1</v>
      </c>
      <c r="R22" s="95">
        <v>322</v>
      </c>
      <c r="S22" s="95">
        <v>27.9</v>
      </c>
      <c r="T22" s="95">
        <v>334</v>
      </c>
      <c r="U22" s="95">
        <v>31.7</v>
      </c>
      <c r="V22" s="95">
        <v>552</v>
      </c>
      <c r="W22" s="95">
        <v>47.8</v>
      </c>
      <c r="X22" s="95">
        <v>76</v>
      </c>
      <c r="Y22" s="95">
        <v>7.2</v>
      </c>
      <c r="Z22" s="95">
        <v>80</v>
      </c>
      <c r="AA22" s="95">
        <v>6.9</v>
      </c>
      <c r="AB22" s="95">
        <v>1055</v>
      </c>
      <c r="AC22" s="95" t="s">
        <v>788</v>
      </c>
      <c r="AD22" s="96">
        <v>1155</v>
      </c>
      <c r="AE22" s="95" t="s">
        <v>788</v>
      </c>
      <c r="AF22" s="30">
        <v>2210</v>
      </c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</row>
    <row r="23" spans="1:62" s="200" customFormat="1" x14ac:dyDescent="0.3">
      <c r="A23" s="305"/>
      <c r="B23" s="323"/>
      <c r="C23" s="218" t="s">
        <v>1013</v>
      </c>
      <c r="D23" s="218">
        <v>102</v>
      </c>
      <c r="E23" s="218">
        <v>59.5</v>
      </c>
      <c r="F23" s="218">
        <v>0</v>
      </c>
      <c r="G23" s="218">
        <v>0</v>
      </c>
      <c r="H23" s="218">
        <v>17</v>
      </c>
      <c r="I23" s="218">
        <v>10.199999999999999</v>
      </c>
      <c r="J23" s="218">
        <v>18</v>
      </c>
      <c r="K23" s="218">
        <v>15.9</v>
      </c>
      <c r="L23" s="218">
        <v>7</v>
      </c>
      <c r="M23" s="218">
        <v>4.3</v>
      </c>
      <c r="N23" s="218">
        <v>8</v>
      </c>
      <c r="O23" s="218">
        <v>7.2</v>
      </c>
      <c r="P23" s="218">
        <v>2</v>
      </c>
      <c r="Q23" s="218">
        <v>1.1000000000000001</v>
      </c>
      <c r="R23" s="218">
        <v>2</v>
      </c>
      <c r="S23" s="218">
        <v>2</v>
      </c>
      <c r="T23" s="218">
        <v>41</v>
      </c>
      <c r="U23" s="218">
        <v>24</v>
      </c>
      <c r="V23" s="218">
        <v>75</v>
      </c>
      <c r="W23" s="218">
        <v>67.8</v>
      </c>
      <c r="X23" s="218">
        <v>2</v>
      </c>
      <c r="Y23" s="218">
        <v>1</v>
      </c>
      <c r="Z23" s="218">
        <v>8</v>
      </c>
      <c r="AA23" s="218">
        <v>7.1</v>
      </c>
      <c r="AB23" s="218">
        <v>171</v>
      </c>
      <c r="AC23" s="218" t="s">
        <v>788</v>
      </c>
      <c r="AD23" s="218">
        <v>110</v>
      </c>
      <c r="AE23" s="218" t="s">
        <v>788</v>
      </c>
      <c r="AF23" s="222">
        <v>282</v>
      </c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</row>
    <row r="24" spans="1:62" s="200" customFormat="1" x14ac:dyDescent="0.3">
      <c r="A24" s="305"/>
      <c r="B24" s="323"/>
      <c r="C24" s="218" t="s">
        <v>1014</v>
      </c>
      <c r="D24" s="218">
        <v>27</v>
      </c>
      <c r="E24" s="218">
        <v>30</v>
      </c>
      <c r="F24" s="218">
        <v>0</v>
      </c>
      <c r="G24" s="218">
        <v>0</v>
      </c>
      <c r="H24" s="218">
        <v>2</v>
      </c>
      <c r="I24" s="218">
        <v>1.9</v>
      </c>
      <c r="J24" s="218">
        <v>11</v>
      </c>
      <c r="K24" s="218">
        <v>8.9</v>
      </c>
      <c r="L24" s="218">
        <v>11</v>
      </c>
      <c r="M24" s="218">
        <v>11.9</v>
      </c>
      <c r="N24" s="218">
        <v>19</v>
      </c>
      <c r="O24" s="218">
        <v>15.3</v>
      </c>
      <c r="P24" s="218">
        <v>13</v>
      </c>
      <c r="Q24" s="218">
        <v>14.4</v>
      </c>
      <c r="R24" s="218">
        <v>14</v>
      </c>
      <c r="S24" s="218">
        <v>11.6</v>
      </c>
      <c r="T24" s="218">
        <v>30</v>
      </c>
      <c r="U24" s="218">
        <v>32.9</v>
      </c>
      <c r="V24" s="218">
        <v>71</v>
      </c>
      <c r="W24" s="218">
        <v>57.5</v>
      </c>
      <c r="X24" s="218">
        <v>8</v>
      </c>
      <c r="Y24" s="218">
        <v>9</v>
      </c>
      <c r="Z24" s="218">
        <v>8</v>
      </c>
      <c r="AA24" s="218">
        <v>6.7</v>
      </c>
      <c r="AB24" s="218">
        <v>91</v>
      </c>
      <c r="AC24" s="218" t="s">
        <v>788</v>
      </c>
      <c r="AD24" s="218">
        <v>124</v>
      </c>
      <c r="AE24" s="218" t="s">
        <v>788</v>
      </c>
      <c r="AF24" s="222">
        <v>215</v>
      </c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</row>
    <row r="25" spans="1:62" s="200" customFormat="1" x14ac:dyDescent="0.3">
      <c r="A25" s="305"/>
      <c r="B25" s="308"/>
      <c r="C25" s="97" t="s">
        <v>110</v>
      </c>
      <c r="D25" s="98">
        <v>3136</v>
      </c>
      <c r="E25" s="97">
        <v>43</v>
      </c>
      <c r="F25" s="97">
        <v>219</v>
      </c>
      <c r="G25" s="97">
        <v>3.2</v>
      </c>
      <c r="H25" s="97">
        <v>278</v>
      </c>
      <c r="I25" s="97">
        <v>3.8</v>
      </c>
      <c r="J25" s="97">
        <v>790</v>
      </c>
      <c r="K25" s="97">
        <v>11.5</v>
      </c>
      <c r="L25" s="97">
        <v>503</v>
      </c>
      <c r="M25" s="97">
        <v>6.9</v>
      </c>
      <c r="N25" s="97">
        <v>436</v>
      </c>
      <c r="O25" s="97">
        <v>6.3</v>
      </c>
      <c r="P25" s="97">
        <v>530</v>
      </c>
      <c r="Q25" s="97">
        <v>7.3</v>
      </c>
      <c r="R25" s="97">
        <v>852</v>
      </c>
      <c r="S25" s="97">
        <v>12.4</v>
      </c>
      <c r="T25" s="98">
        <v>2369</v>
      </c>
      <c r="U25" s="97">
        <v>32.5</v>
      </c>
      <c r="V25" s="98">
        <v>3948</v>
      </c>
      <c r="W25" s="97">
        <v>57.4</v>
      </c>
      <c r="X25" s="97">
        <v>482</v>
      </c>
      <c r="Y25" s="97">
        <v>6.6</v>
      </c>
      <c r="Z25" s="98">
        <v>633</v>
      </c>
      <c r="AA25" s="97">
        <v>9.1999999999999993</v>
      </c>
      <c r="AB25" s="98">
        <v>7298</v>
      </c>
      <c r="AC25" s="97" t="s">
        <v>788</v>
      </c>
      <c r="AD25" s="98">
        <v>6878</v>
      </c>
      <c r="AE25" s="97" t="s">
        <v>788</v>
      </c>
      <c r="AF25" s="32">
        <v>14176</v>
      </c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</row>
    <row r="26" spans="1:62" s="200" customFormat="1" x14ac:dyDescent="0.3">
      <c r="A26" s="306"/>
      <c r="B26" s="221" t="s">
        <v>86</v>
      </c>
      <c r="C26" s="219"/>
      <c r="D26" s="98">
        <v>3690</v>
      </c>
      <c r="E26" s="97">
        <v>25.7</v>
      </c>
      <c r="F26" s="97">
        <v>315</v>
      </c>
      <c r="G26" s="97">
        <v>1.9</v>
      </c>
      <c r="H26" s="97">
        <v>685</v>
      </c>
      <c r="I26" s="97">
        <v>4.8</v>
      </c>
      <c r="J26" s="98">
        <v>1523</v>
      </c>
      <c r="K26" s="97">
        <v>9.1999999999999993</v>
      </c>
      <c r="L26" s="98">
        <v>1028</v>
      </c>
      <c r="M26" s="97">
        <v>7.2</v>
      </c>
      <c r="N26" s="98">
        <v>1065</v>
      </c>
      <c r="O26" s="97">
        <v>6.4</v>
      </c>
      <c r="P26" s="98">
        <v>1155</v>
      </c>
      <c r="Q26" s="97">
        <v>8.1</v>
      </c>
      <c r="R26" s="98">
        <v>1646</v>
      </c>
      <c r="S26" s="97">
        <v>9.9</v>
      </c>
      <c r="T26" s="98">
        <v>6537</v>
      </c>
      <c r="U26" s="97">
        <v>45.6</v>
      </c>
      <c r="V26" s="98">
        <v>10701</v>
      </c>
      <c r="W26" s="97">
        <v>64.599999999999994</v>
      </c>
      <c r="X26" s="97">
        <v>1236</v>
      </c>
      <c r="Y26" s="97">
        <v>8.6</v>
      </c>
      <c r="Z26" s="98">
        <v>1308</v>
      </c>
      <c r="AA26" s="97">
        <v>7.9</v>
      </c>
      <c r="AB26" s="98">
        <v>14332</v>
      </c>
      <c r="AC26" s="97" t="s">
        <v>788</v>
      </c>
      <c r="AD26" s="98">
        <v>16557</v>
      </c>
      <c r="AE26" s="97" t="s">
        <v>788</v>
      </c>
      <c r="AF26" s="32">
        <v>30889</v>
      </c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</row>
    <row r="27" spans="1:62" s="200" customFormat="1" x14ac:dyDescent="0.3">
      <c r="A27" s="304" t="s">
        <v>9</v>
      </c>
      <c r="B27" s="307" t="s">
        <v>115</v>
      </c>
      <c r="C27" s="95" t="s">
        <v>116</v>
      </c>
      <c r="D27" s="95">
        <v>147</v>
      </c>
      <c r="E27" s="95">
        <v>7.1</v>
      </c>
      <c r="F27" s="95">
        <v>2</v>
      </c>
      <c r="G27" s="95">
        <v>0.1</v>
      </c>
      <c r="H27" s="95">
        <v>162</v>
      </c>
      <c r="I27" s="95">
        <v>7.8</v>
      </c>
      <c r="J27" s="95">
        <v>339</v>
      </c>
      <c r="K27" s="95">
        <v>10.9</v>
      </c>
      <c r="L27" s="95">
        <v>497</v>
      </c>
      <c r="M27" s="95">
        <v>24</v>
      </c>
      <c r="N27" s="95">
        <v>243</v>
      </c>
      <c r="O27" s="95">
        <v>7.8</v>
      </c>
      <c r="P27" s="95">
        <v>83</v>
      </c>
      <c r="Q27" s="95">
        <v>4</v>
      </c>
      <c r="R27" s="95">
        <v>189</v>
      </c>
      <c r="S27" s="95">
        <v>6.1</v>
      </c>
      <c r="T27" s="96">
        <v>934</v>
      </c>
      <c r="U27" s="95">
        <v>45.2</v>
      </c>
      <c r="V27" s="96">
        <v>2089</v>
      </c>
      <c r="W27" s="95">
        <v>66.900000000000006</v>
      </c>
      <c r="X27" s="95">
        <v>245</v>
      </c>
      <c r="Y27" s="95">
        <v>11.8</v>
      </c>
      <c r="Z27" s="95">
        <v>259</v>
      </c>
      <c r="AA27" s="95">
        <v>8.3000000000000007</v>
      </c>
      <c r="AB27" s="96">
        <v>2067</v>
      </c>
      <c r="AC27" s="95" t="s">
        <v>788</v>
      </c>
      <c r="AD27" s="96">
        <v>3121</v>
      </c>
      <c r="AE27" s="95" t="s">
        <v>788</v>
      </c>
      <c r="AF27" s="30">
        <v>5187</v>
      </c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</row>
    <row r="28" spans="1:62" s="200" customFormat="1" x14ac:dyDescent="0.3">
      <c r="A28" s="305"/>
      <c r="B28" s="323"/>
      <c r="C28" s="95" t="s">
        <v>117</v>
      </c>
      <c r="D28" s="95">
        <v>33</v>
      </c>
      <c r="E28" s="95">
        <v>9.6</v>
      </c>
      <c r="F28" s="95">
        <v>3</v>
      </c>
      <c r="G28" s="95">
        <v>0.8</v>
      </c>
      <c r="H28" s="95">
        <v>17</v>
      </c>
      <c r="I28" s="95">
        <v>5.0999999999999996</v>
      </c>
      <c r="J28" s="95">
        <v>27</v>
      </c>
      <c r="K28" s="95">
        <v>7.3</v>
      </c>
      <c r="L28" s="95">
        <v>18</v>
      </c>
      <c r="M28" s="95">
        <v>5.2</v>
      </c>
      <c r="N28" s="95">
        <v>10</v>
      </c>
      <c r="O28" s="95">
        <v>2.8</v>
      </c>
      <c r="P28" s="95">
        <v>147</v>
      </c>
      <c r="Q28" s="95">
        <v>43.3</v>
      </c>
      <c r="R28" s="95">
        <v>72</v>
      </c>
      <c r="S28" s="95">
        <v>19.399999999999999</v>
      </c>
      <c r="T28" s="95">
        <v>110</v>
      </c>
      <c r="U28" s="95">
        <v>32.4</v>
      </c>
      <c r="V28" s="95">
        <v>247</v>
      </c>
      <c r="W28" s="95">
        <v>66.099999999999994</v>
      </c>
      <c r="X28" s="95">
        <v>15</v>
      </c>
      <c r="Y28" s="95">
        <v>4.4000000000000004</v>
      </c>
      <c r="Z28" s="95">
        <v>13</v>
      </c>
      <c r="AA28" s="95">
        <v>3.6</v>
      </c>
      <c r="AB28" s="95">
        <v>340</v>
      </c>
      <c r="AC28" s="95" t="s">
        <v>788</v>
      </c>
      <c r="AD28" s="95">
        <v>373</v>
      </c>
      <c r="AE28" s="95" t="s">
        <v>788</v>
      </c>
      <c r="AF28" s="220">
        <v>713</v>
      </c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</row>
    <row r="29" spans="1:62" s="200" customFormat="1" x14ac:dyDescent="0.3">
      <c r="A29" s="305"/>
      <c r="B29" s="323"/>
      <c r="C29" s="95" t="s">
        <v>118</v>
      </c>
      <c r="D29" s="95">
        <v>73</v>
      </c>
      <c r="E29" s="95">
        <v>4.2</v>
      </c>
      <c r="F29" s="95">
        <v>21</v>
      </c>
      <c r="G29" s="95">
        <v>0.6</v>
      </c>
      <c r="H29" s="95">
        <v>97</v>
      </c>
      <c r="I29" s="95">
        <v>5.6</v>
      </c>
      <c r="J29" s="95">
        <v>239</v>
      </c>
      <c r="K29" s="95">
        <v>6.4</v>
      </c>
      <c r="L29" s="95">
        <v>181</v>
      </c>
      <c r="M29" s="95">
        <v>10.5</v>
      </c>
      <c r="N29" s="95">
        <v>277</v>
      </c>
      <c r="O29" s="95">
        <v>7.4</v>
      </c>
      <c r="P29" s="95">
        <v>212</v>
      </c>
      <c r="Q29" s="95">
        <v>12.3</v>
      </c>
      <c r="R29" s="95">
        <v>340</v>
      </c>
      <c r="S29" s="95">
        <v>9</v>
      </c>
      <c r="T29" s="96">
        <v>907</v>
      </c>
      <c r="U29" s="95">
        <v>52.4</v>
      </c>
      <c r="V29" s="96">
        <v>2648</v>
      </c>
      <c r="W29" s="95">
        <v>70.3</v>
      </c>
      <c r="X29" s="95">
        <v>260</v>
      </c>
      <c r="Y29" s="95">
        <v>15</v>
      </c>
      <c r="Z29" s="95">
        <v>239</v>
      </c>
      <c r="AA29" s="95">
        <v>6.4</v>
      </c>
      <c r="AB29" s="96">
        <v>1731</v>
      </c>
      <c r="AC29" s="95" t="s">
        <v>788</v>
      </c>
      <c r="AD29" s="96">
        <v>3765</v>
      </c>
      <c r="AE29" s="95" t="s">
        <v>788</v>
      </c>
      <c r="AF29" s="30">
        <v>5496</v>
      </c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</row>
    <row r="30" spans="1:62" s="200" customFormat="1" x14ac:dyDescent="0.3">
      <c r="A30" s="305"/>
      <c r="B30" s="308"/>
      <c r="C30" s="97" t="s">
        <v>110</v>
      </c>
      <c r="D30" s="97">
        <v>253</v>
      </c>
      <c r="E30" s="97">
        <v>6.1</v>
      </c>
      <c r="F30" s="97">
        <v>26</v>
      </c>
      <c r="G30" s="97">
        <v>0.4</v>
      </c>
      <c r="H30" s="97">
        <v>276</v>
      </c>
      <c r="I30" s="97">
        <v>6.7</v>
      </c>
      <c r="J30" s="97">
        <v>605</v>
      </c>
      <c r="K30" s="97">
        <v>8.3000000000000007</v>
      </c>
      <c r="L30" s="97">
        <v>696</v>
      </c>
      <c r="M30" s="97">
        <v>16.8</v>
      </c>
      <c r="N30" s="97">
        <v>531</v>
      </c>
      <c r="O30" s="97">
        <v>7.3</v>
      </c>
      <c r="P30" s="97">
        <v>442</v>
      </c>
      <c r="Q30" s="97">
        <v>10.7</v>
      </c>
      <c r="R30" s="97">
        <v>602</v>
      </c>
      <c r="S30" s="97">
        <v>8.3000000000000007</v>
      </c>
      <c r="T30" s="98">
        <v>1951</v>
      </c>
      <c r="U30" s="97">
        <v>47.1</v>
      </c>
      <c r="V30" s="98">
        <v>4984</v>
      </c>
      <c r="W30" s="97">
        <v>68.7</v>
      </c>
      <c r="X30" s="97">
        <v>520</v>
      </c>
      <c r="Y30" s="97">
        <v>12.6</v>
      </c>
      <c r="Z30" s="97">
        <v>511</v>
      </c>
      <c r="AA30" s="97">
        <v>7</v>
      </c>
      <c r="AB30" s="98">
        <v>4138</v>
      </c>
      <c r="AC30" s="97" t="s">
        <v>788</v>
      </c>
      <c r="AD30" s="98">
        <v>7258</v>
      </c>
      <c r="AE30" s="97" t="s">
        <v>788</v>
      </c>
      <c r="AF30" s="32">
        <v>11396</v>
      </c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</row>
    <row r="31" spans="1:62" s="200" customFormat="1" x14ac:dyDescent="0.3">
      <c r="A31" s="305"/>
      <c r="B31" s="95" t="s">
        <v>833</v>
      </c>
      <c r="C31" s="97" t="s">
        <v>120</v>
      </c>
      <c r="D31" s="97">
        <v>256</v>
      </c>
      <c r="E31" s="97">
        <v>23.5</v>
      </c>
      <c r="F31" s="97">
        <v>26</v>
      </c>
      <c r="G31" s="97">
        <v>1.4</v>
      </c>
      <c r="H31" s="97">
        <v>10</v>
      </c>
      <c r="I31" s="97">
        <v>0.9</v>
      </c>
      <c r="J31" s="97">
        <v>111</v>
      </c>
      <c r="K31" s="97">
        <v>6.1</v>
      </c>
      <c r="L31" s="97">
        <v>75</v>
      </c>
      <c r="M31" s="97">
        <v>6.8</v>
      </c>
      <c r="N31" s="97">
        <v>112</v>
      </c>
      <c r="O31" s="97">
        <v>6.2</v>
      </c>
      <c r="P31" s="97">
        <v>22</v>
      </c>
      <c r="Q31" s="97">
        <v>2</v>
      </c>
      <c r="R31" s="97">
        <v>78</v>
      </c>
      <c r="S31" s="97">
        <v>4.3</v>
      </c>
      <c r="T31" s="97">
        <v>291</v>
      </c>
      <c r="U31" s="97">
        <v>26.7</v>
      </c>
      <c r="V31" s="98">
        <v>1368</v>
      </c>
      <c r="W31" s="97">
        <v>75.2</v>
      </c>
      <c r="X31" s="97">
        <v>437</v>
      </c>
      <c r="Y31" s="97">
        <v>40</v>
      </c>
      <c r="Z31" s="97">
        <v>124</v>
      </c>
      <c r="AA31" s="97">
        <v>6.8</v>
      </c>
      <c r="AB31" s="98">
        <v>1091</v>
      </c>
      <c r="AC31" s="97" t="s">
        <v>788</v>
      </c>
      <c r="AD31" s="98">
        <v>1820</v>
      </c>
      <c r="AE31" s="97" t="s">
        <v>788</v>
      </c>
      <c r="AF31" s="32">
        <v>2910</v>
      </c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</row>
    <row r="32" spans="1:62" s="200" customFormat="1" ht="16.5" customHeight="1" x14ac:dyDescent="0.3">
      <c r="A32" s="305"/>
      <c r="B32" s="307" t="s">
        <v>1012</v>
      </c>
      <c r="C32" s="95" t="s">
        <v>121</v>
      </c>
      <c r="D32" s="95">
        <v>290</v>
      </c>
      <c r="E32" s="95">
        <v>47.9</v>
      </c>
      <c r="F32" s="95">
        <v>130</v>
      </c>
      <c r="G32" s="95">
        <v>15.6</v>
      </c>
      <c r="H32" s="95">
        <v>29</v>
      </c>
      <c r="I32" s="95">
        <v>4.7</v>
      </c>
      <c r="J32" s="95">
        <v>80</v>
      </c>
      <c r="K32" s="95">
        <v>9.6</v>
      </c>
      <c r="L32" s="95">
        <v>32</v>
      </c>
      <c r="M32" s="95">
        <v>5.2</v>
      </c>
      <c r="N32" s="95">
        <v>21</v>
      </c>
      <c r="O32" s="95">
        <v>2.6</v>
      </c>
      <c r="P32" s="95">
        <v>27</v>
      </c>
      <c r="Q32" s="95">
        <v>4.5</v>
      </c>
      <c r="R32" s="95">
        <v>42</v>
      </c>
      <c r="S32" s="95">
        <v>5</v>
      </c>
      <c r="T32" s="95">
        <v>167</v>
      </c>
      <c r="U32" s="95">
        <v>27.5</v>
      </c>
      <c r="V32" s="95">
        <v>501</v>
      </c>
      <c r="W32" s="95">
        <v>60.3</v>
      </c>
      <c r="X32" s="95">
        <v>61</v>
      </c>
      <c r="Y32" s="95">
        <v>10.1</v>
      </c>
      <c r="Z32" s="95">
        <v>57</v>
      </c>
      <c r="AA32" s="95">
        <v>6.9</v>
      </c>
      <c r="AB32" s="95">
        <v>606</v>
      </c>
      <c r="AC32" s="95" t="s">
        <v>788</v>
      </c>
      <c r="AD32" s="95">
        <v>831</v>
      </c>
      <c r="AE32" s="95" t="s">
        <v>788</v>
      </c>
      <c r="AF32" s="30">
        <v>1437</v>
      </c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</row>
    <row r="33" spans="1:62" s="200" customFormat="1" x14ac:dyDescent="0.3">
      <c r="A33" s="305"/>
      <c r="B33" s="323"/>
      <c r="C33" s="95" t="s">
        <v>122</v>
      </c>
      <c r="D33" s="95">
        <v>288</v>
      </c>
      <c r="E33" s="95">
        <v>57.9</v>
      </c>
      <c r="F33" s="95">
        <v>0</v>
      </c>
      <c r="G33" s="95">
        <v>0</v>
      </c>
      <c r="H33" s="95">
        <v>19</v>
      </c>
      <c r="I33" s="95">
        <v>3.7</v>
      </c>
      <c r="J33" s="95">
        <v>70</v>
      </c>
      <c r="K33" s="95">
        <v>11.1</v>
      </c>
      <c r="L33" s="95">
        <v>11</v>
      </c>
      <c r="M33" s="95">
        <v>2.2000000000000002</v>
      </c>
      <c r="N33" s="95">
        <v>18</v>
      </c>
      <c r="O33" s="95">
        <v>2.9</v>
      </c>
      <c r="P33" s="95">
        <v>42</v>
      </c>
      <c r="Q33" s="95">
        <v>8.5</v>
      </c>
      <c r="R33" s="95">
        <v>85</v>
      </c>
      <c r="S33" s="95">
        <v>13.6</v>
      </c>
      <c r="T33" s="95">
        <v>125</v>
      </c>
      <c r="U33" s="95">
        <v>25.2</v>
      </c>
      <c r="V33" s="95">
        <v>374</v>
      </c>
      <c r="W33" s="95">
        <v>59.8</v>
      </c>
      <c r="X33" s="95">
        <v>12</v>
      </c>
      <c r="Y33" s="95">
        <v>2.5</v>
      </c>
      <c r="Z33" s="95">
        <v>79</v>
      </c>
      <c r="AA33" s="95">
        <v>12.6</v>
      </c>
      <c r="AB33" s="95">
        <v>497</v>
      </c>
      <c r="AC33" s="95" t="s">
        <v>788</v>
      </c>
      <c r="AD33" s="95">
        <v>626</v>
      </c>
      <c r="AE33" s="95" t="s">
        <v>788</v>
      </c>
      <c r="AF33" s="30">
        <v>1123</v>
      </c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</row>
    <row r="34" spans="1:62" s="200" customFormat="1" x14ac:dyDescent="0.3">
      <c r="A34" s="305"/>
      <c r="B34" s="323"/>
      <c r="C34" s="95" t="s">
        <v>123</v>
      </c>
      <c r="D34" s="95">
        <v>523</v>
      </c>
      <c r="E34" s="95">
        <v>80.8</v>
      </c>
      <c r="F34" s="95">
        <v>4</v>
      </c>
      <c r="G34" s="95">
        <v>0.9</v>
      </c>
      <c r="H34" s="95">
        <v>12</v>
      </c>
      <c r="I34" s="95">
        <v>1.8</v>
      </c>
      <c r="J34" s="95">
        <v>68</v>
      </c>
      <c r="K34" s="95">
        <v>15.6</v>
      </c>
      <c r="L34" s="95">
        <v>4</v>
      </c>
      <c r="M34" s="95">
        <v>0.7</v>
      </c>
      <c r="N34" s="95">
        <v>10</v>
      </c>
      <c r="O34" s="95">
        <v>2.2000000000000002</v>
      </c>
      <c r="P34" s="95">
        <v>5</v>
      </c>
      <c r="Q34" s="95">
        <v>0.8</v>
      </c>
      <c r="R34" s="95">
        <v>15</v>
      </c>
      <c r="S34" s="95">
        <v>3.6</v>
      </c>
      <c r="T34" s="95">
        <v>87</v>
      </c>
      <c r="U34" s="95">
        <v>13.4</v>
      </c>
      <c r="V34" s="95">
        <v>261</v>
      </c>
      <c r="W34" s="95">
        <v>60.2</v>
      </c>
      <c r="X34" s="95">
        <v>17</v>
      </c>
      <c r="Y34" s="95">
        <v>2.6</v>
      </c>
      <c r="Z34" s="95">
        <v>76</v>
      </c>
      <c r="AA34" s="95">
        <v>17.600000000000001</v>
      </c>
      <c r="AB34" s="95">
        <v>647</v>
      </c>
      <c r="AC34" s="95" t="s">
        <v>788</v>
      </c>
      <c r="AD34" s="95">
        <v>434</v>
      </c>
      <c r="AE34" s="95" t="s">
        <v>788</v>
      </c>
      <c r="AF34" s="30">
        <v>1082</v>
      </c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</row>
    <row r="35" spans="1:62" s="200" customFormat="1" x14ac:dyDescent="0.3">
      <c r="A35" s="305"/>
      <c r="B35" s="323"/>
      <c r="C35" s="95" t="s">
        <v>124</v>
      </c>
      <c r="D35" s="95">
        <v>166</v>
      </c>
      <c r="E35" s="95">
        <v>61.9</v>
      </c>
      <c r="F35" s="95">
        <v>1</v>
      </c>
      <c r="G35" s="95">
        <v>0.3</v>
      </c>
      <c r="H35" s="95">
        <v>14</v>
      </c>
      <c r="I35" s="95">
        <v>5.0999999999999996</v>
      </c>
      <c r="J35" s="95">
        <v>28</v>
      </c>
      <c r="K35" s="95">
        <v>14.3</v>
      </c>
      <c r="L35" s="95">
        <v>8</v>
      </c>
      <c r="M35" s="95">
        <v>2.9</v>
      </c>
      <c r="N35" s="95">
        <v>7</v>
      </c>
      <c r="O35" s="95">
        <v>3.3</v>
      </c>
      <c r="P35" s="95">
        <v>17</v>
      </c>
      <c r="Q35" s="95">
        <v>6.3</v>
      </c>
      <c r="R35" s="95">
        <v>25</v>
      </c>
      <c r="S35" s="95">
        <v>12.4</v>
      </c>
      <c r="T35" s="95">
        <v>55</v>
      </c>
      <c r="U35" s="95">
        <v>20.5</v>
      </c>
      <c r="V35" s="95">
        <v>123</v>
      </c>
      <c r="W35" s="95">
        <v>62.1</v>
      </c>
      <c r="X35" s="95">
        <v>9</v>
      </c>
      <c r="Y35" s="95">
        <v>3.3</v>
      </c>
      <c r="Z35" s="95">
        <v>15</v>
      </c>
      <c r="AA35" s="95">
        <v>7.6</v>
      </c>
      <c r="AB35" s="95">
        <v>268</v>
      </c>
      <c r="AC35" s="95" t="s">
        <v>788</v>
      </c>
      <c r="AD35" s="95">
        <v>198</v>
      </c>
      <c r="AE35" s="95" t="s">
        <v>788</v>
      </c>
      <c r="AF35" s="220">
        <v>466</v>
      </c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</row>
    <row r="36" spans="1:62" s="200" customFormat="1" x14ac:dyDescent="0.3">
      <c r="A36" s="305"/>
      <c r="B36" s="323"/>
      <c r="C36" s="95" t="s">
        <v>125</v>
      </c>
      <c r="D36" s="95">
        <v>226</v>
      </c>
      <c r="E36" s="95">
        <v>76</v>
      </c>
      <c r="F36" s="95">
        <v>1</v>
      </c>
      <c r="G36" s="95">
        <v>0.4</v>
      </c>
      <c r="H36" s="95">
        <v>4</v>
      </c>
      <c r="I36" s="95">
        <v>1.5</v>
      </c>
      <c r="J36" s="95">
        <v>36</v>
      </c>
      <c r="K36" s="95">
        <v>15.3</v>
      </c>
      <c r="L36" s="95">
        <v>4</v>
      </c>
      <c r="M36" s="95">
        <v>1.2</v>
      </c>
      <c r="N36" s="95">
        <v>2</v>
      </c>
      <c r="O36" s="95">
        <v>0.9</v>
      </c>
      <c r="P36" s="95">
        <v>9</v>
      </c>
      <c r="Q36" s="95">
        <v>3</v>
      </c>
      <c r="R36" s="95">
        <v>12</v>
      </c>
      <c r="S36" s="95">
        <v>5.0999999999999996</v>
      </c>
      <c r="T36" s="95">
        <v>53</v>
      </c>
      <c r="U36" s="95">
        <v>17.899999999999999</v>
      </c>
      <c r="V36" s="95">
        <v>170</v>
      </c>
      <c r="W36" s="95">
        <v>73.099999999999994</v>
      </c>
      <c r="X36" s="95">
        <v>1</v>
      </c>
      <c r="Y36" s="95">
        <v>0.5</v>
      </c>
      <c r="Z36" s="95">
        <v>12</v>
      </c>
      <c r="AA36" s="95">
        <v>5.0999999999999996</v>
      </c>
      <c r="AB36" s="95">
        <v>298</v>
      </c>
      <c r="AC36" s="95" t="s">
        <v>788</v>
      </c>
      <c r="AD36" s="95">
        <v>232</v>
      </c>
      <c r="AE36" s="95" t="s">
        <v>788</v>
      </c>
      <c r="AF36" s="220">
        <v>530</v>
      </c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</row>
    <row r="37" spans="1:62" s="200" customFormat="1" x14ac:dyDescent="0.3">
      <c r="A37" s="305"/>
      <c r="B37" s="323"/>
      <c r="C37" s="95" t="s">
        <v>126</v>
      </c>
      <c r="D37" s="95">
        <v>271</v>
      </c>
      <c r="E37" s="95">
        <v>64.400000000000006</v>
      </c>
      <c r="F37" s="95">
        <v>9</v>
      </c>
      <c r="G37" s="95">
        <v>2.1</v>
      </c>
      <c r="H37" s="95">
        <v>10</v>
      </c>
      <c r="I37" s="95">
        <v>2.2999999999999998</v>
      </c>
      <c r="J37" s="95">
        <v>58</v>
      </c>
      <c r="K37" s="95">
        <v>12.7</v>
      </c>
      <c r="L37" s="95">
        <v>4</v>
      </c>
      <c r="M37" s="95">
        <v>1.1000000000000001</v>
      </c>
      <c r="N37" s="95">
        <v>5</v>
      </c>
      <c r="O37" s="95">
        <v>1.1000000000000001</v>
      </c>
      <c r="P37" s="95">
        <v>21</v>
      </c>
      <c r="Q37" s="95">
        <v>4.9000000000000004</v>
      </c>
      <c r="R37" s="95">
        <v>62</v>
      </c>
      <c r="S37" s="95">
        <v>13.7</v>
      </c>
      <c r="T37" s="95">
        <v>101</v>
      </c>
      <c r="U37" s="95">
        <v>24.1</v>
      </c>
      <c r="V37" s="95">
        <v>285</v>
      </c>
      <c r="W37" s="95">
        <v>62.7</v>
      </c>
      <c r="X37" s="95">
        <v>13</v>
      </c>
      <c r="Y37" s="95">
        <v>3.2</v>
      </c>
      <c r="Z37" s="95">
        <v>35</v>
      </c>
      <c r="AA37" s="95">
        <v>7.8</v>
      </c>
      <c r="AB37" s="95">
        <v>421</v>
      </c>
      <c r="AC37" s="95" t="s">
        <v>788</v>
      </c>
      <c r="AD37" s="95">
        <v>455</v>
      </c>
      <c r="AE37" s="95" t="s">
        <v>788</v>
      </c>
      <c r="AF37" s="30">
        <v>875</v>
      </c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</row>
    <row r="38" spans="1:62" s="200" customFormat="1" x14ac:dyDescent="0.3">
      <c r="A38" s="305"/>
      <c r="B38" s="323"/>
      <c r="C38" s="95" t="s">
        <v>127</v>
      </c>
      <c r="D38" s="95">
        <v>418</v>
      </c>
      <c r="E38" s="95">
        <v>63</v>
      </c>
      <c r="F38" s="95">
        <v>28</v>
      </c>
      <c r="G38" s="95">
        <v>4.4000000000000004</v>
      </c>
      <c r="H38" s="95">
        <v>27</v>
      </c>
      <c r="I38" s="95">
        <v>4.0999999999999996</v>
      </c>
      <c r="J38" s="95">
        <v>79</v>
      </c>
      <c r="K38" s="95">
        <v>12.5</v>
      </c>
      <c r="L38" s="95">
        <v>13</v>
      </c>
      <c r="M38" s="95">
        <v>1.9</v>
      </c>
      <c r="N38" s="95">
        <v>6</v>
      </c>
      <c r="O38" s="95">
        <v>0.9</v>
      </c>
      <c r="P38" s="95">
        <v>49</v>
      </c>
      <c r="Q38" s="95">
        <v>7.3</v>
      </c>
      <c r="R38" s="95">
        <v>68</v>
      </c>
      <c r="S38" s="95">
        <v>10.8</v>
      </c>
      <c r="T38" s="95">
        <v>126</v>
      </c>
      <c r="U38" s="95">
        <v>19</v>
      </c>
      <c r="V38" s="95">
        <v>338</v>
      </c>
      <c r="W38" s="95">
        <v>53.4</v>
      </c>
      <c r="X38" s="95">
        <v>31</v>
      </c>
      <c r="Y38" s="95">
        <v>4.5999999999999996</v>
      </c>
      <c r="Z38" s="95">
        <v>114</v>
      </c>
      <c r="AA38" s="95">
        <v>18.100000000000001</v>
      </c>
      <c r="AB38" s="95">
        <v>663</v>
      </c>
      <c r="AC38" s="95" t="s">
        <v>788</v>
      </c>
      <c r="AD38" s="95">
        <v>633</v>
      </c>
      <c r="AE38" s="95" t="s">
        <v>788</v>
      </c>
      <c r="AF38" s="30">
        <v>1295</v>
      </c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</row>
    <row r="39" spans="1:62" s="200" customFormat="1" x14ac:dyDescent="0.3">
      <c r="A39" s="305"/>
      <c r="B39" s="323"/>
      <c r="C39" s="95" t="s">
        <v>128</v>
      </c>
      <c r="D39" s="95">
        <v>804</v>
      </c>
      <c r="E39" s="95">
        <v>84.9</v>
      </c>
      <c r="F39" s="95">
        <v>4</v>
      </c>
      <c r="G39" s="95">
        <v>1.2</v>
      </c>
      <c r="H39" s="95">
        <v>13</v>
      </c>
      <c r="I39" s="95">
        <v>1.4</v>
      </c>
      <c r="J39" s="95">
        <v>29</v>
      </c>
      <c r="K39" s="95">
        <v>9.1</v>
      </c>
      <c r="L39" s="95">
        <v>3</v>
      </c>
      <c r="M39" s="95">
        <v>0.4</v>
      </c>
      <c r="N39" s="95">
        <v>6</v>
      </c>
      <c r="O39" s="95">
        <v>2</v>
      </c>
      <c r="P39" s="95">
        <v>17</v>
      </c>
      <c r="Q39" s="95">
        <v>1.8</v>
      </c>
      <c r="R39" s="95">
        <v>24</v>
      </c>
      <c r="S39" s="95">
        <v>7.4</v>
      </c>
      <c r="T39" s="95">
        <v>67</v>
      </c>
      <c r="U39" s="95">
        <v>7.1</v>
      </c>
      <c r="V39" s="95">
        <v>243</v>
      </c>
      <c r="W39" s="95">
        <v>75.099999999999994</v>
      </c>
      <c r="X39" s="95">
        <v>42</v>
      </c>
      <c r="Y39" s="95">
        <v>4.4000000000000004</v>
      </c>
      <c r="Z39" s="95">
        <v>17</v>
      </c>
      <c r="AA39" s="95">
        <v>5.3</v>
      </c>
      <c r="AB39" s="95">
        <v>947</v>
      </c>
      <c r="AC39" s="95" t="s">
        <v>788</v>
      </c>
      <c r="AD39" s="95">
        <v>323</v>
      </c>
      <c r="AE39" s="95" t="s">
        <v>788</v>
      </c>
      <c r="AF39" s="220">
        <v>1270</v>
      </c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</row>
    <row r="40" spans="1:62" s="200" customFormat="1" x14ac:dyDescent="0.3">
      <c r="A40" s="305"/>
      <c r="B40" s="323"/>
      <c r="C40" s="95" t="s">
        <v>129</v>
      </c>
      <c r="D40" s="95">
        <v>292</v>
      </c>
      <c r="E40" s="95">
        <v>42.2</v>
      </c>
      <c r="F40" s="95">
        <v>15</v>
      </c>
      <c r="G40" s="95">
        <v>3.4</v>
      </c>
      <c r="H40" s="95">
        <v>25</v>
      </c>
      <c r="I40" s="95">
        <v>3.6</v>
      </c>
      <c r="J40" s="95">
        <v>39</v>
      </c>
      <c r="K40" s="95">
        <v>8.9</v>
      </c>
      <c r="L40" s="95">
        <v>264</v>
      </c>
      <c r="M40" s="95">
        <v>38.1</v>
      </c>
      <c r="N40" s="95">
        <v>75</v>
      </c>
      <c r="O40" s="95">
        <v>17.3</v>
      </c>
      <c r="P40" s="95">
        <v>12</v>
      </c>
      <c r="Q40" s="95">
        <v>1.8</v>
      </c>
      <c r="R40" s="95">
        <v>19</v>
      </c>
      <c r="S40" s="95">
        <v>4.4000000000000004</v>
      </c>
      <c r="T40" s="95">
        <v>77</v>
      </c>
      <c r="U40" s="95">
        <v>11.1</v>
      </c>
      <c r="V40" s="95">
        <v>227</v>
      </c>
      <c r="W40" s="95">
        <v>52.1</v>
      </c>
      <c r="X40" s="95">
        <v>22</v>
      </c>
      <c r="Y40" s="95">
        <v>3.1</v>
      </c>
      <c r="Z40" s="95">
        <v>61</v>
      </c>
      <c r="AA40" s="95">
        <v>14</v>
      </c>
      <c r="AB40" s="95">
        <v>692</v>
      </c>
      <c r="AC40" s="95" t="s">
        <v>788</v>
      </c>
      <c r="AD40" s="95">
        <v>436</v>
      </c>
      <c r="AE40" s="95" t="s">
        <v>788</v>
      </c>
      <c r="AF40" s="220">
        <v>1128</v>
      </c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</row>
    <row r="41" spans="1:62" s="200" customFormat="1" x14ac:dyDescent="0.3">
      <c r="A41" s="305"/>
      <c r="B41" s="323"/>
      <c r="C41" s="95" t="s">
        <v>130</v>
      </c>
      <c r="D41" s="95">
        <v>711</v>
      </c>
      <c r="E41" s="95">
        <v>69.900000000000006</v>
      </c>
      <c r="F41" s="95">
        <v>8</v>
      </c>
      <c r="G41" s="95">
        <v>1.6</v>
      </c>
      <c r="H41" s="95">
        <v>59</v>
      </c>
      <c r="I41" s="95">
        <v>5.8</v>
      </c>
      <c r="J41" s="95">
        <v>58</v>
      </c>
      <c r="K41" s="95">
        <v>10.8</v>
      </c>
      <c r="L41" s="95">
        <v>70</v>
      </c>
      <c r="M41" s="95">
        <v>6.8</v>
      </c>
      <c r="N41" s="95">
        <v>47</v>
      </c>
      <c r="O41" s="95">
        <v>8.6999999999999993</v>
      </c>
      <c r="P41" s="95">
        <v>32</v>
      </c>
      <c r="Q41" s="95">
        <v>3.1</v>
      </c>
      <c r="R41" s="95">
        <v>58</v>
      </c>
      <c r="S41" s="95">
        <v>10.7</v>
      </c>
      <c r="T41" s="95">
        <v>113</v>
      </c>
      <c r="U41" s="95">
        <v>11.1</v>
      </c>
      <c r="V41" s="95">
        <v>349</v>
      </c>
      <c r="W41" s="95">
        <v>64.599999999999994</v>
      </c>
      <c r="X41" s="95">
        <v>33</v>
      </c>
      <c r="Y41" s="95">
        <v>3.2</v>
      </c>
      <c r="Z41" s="95">
        <v>20</v>
      </c>
      <c r="AA41" s="95">
        <v>3.6</v>
      </c>
      <c r="AB41" s="96">
        <v>1017</v>
      </c>
      <c r="AC41" s="95" t="s">
        <v>788</v>
      </c>
      <c r="AD41" s="95">
        <v>540</v>
      </c>
      <c r="AE41" s="95" t="s">
        <v>788</v>
      </c>
      <c r="AF41" s="30">
        <v>1558</v>
      </c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</row>
    <row r="42" spans="1:62" s="200" customFormat="1" x14ac:dyDescent="0.3">
      <c r="A42" s="305"/>
      <c r="B42" s="323"/>
      <c r="C42" s="95" t="s">
        <v>131</v>
      </c>
      <c r="D42" s="95">
        <v>519</v>
      </c>
      <c r="E42" s="95">
        <v>49.1</v>
      </c>
      <c r="F42" s="95">
        <v>85</v>
      </c>
      <c r="G42" s="95">
        <v>7.6</v>
      </c>
      <c r="H42" s="95">
        <v>5</v>
      </c>
      <c r="I42" s="95">
        <v>0.5</v>
      </c>
      <c r="J42" s="95">
        <v>70</v>
      </c>
      <c r="K42" s="95">
        <v>6.3</v>
      </c>
      <c r="L42" s="95">
        <v>116</v>
      </c>
      <c r="M42" s="95">
        <v>11</v>
      </c>
      <c r="N42" s="95">
        <v>72</v>
      </c>
      <c r="O42" s="95">
        <v>6.5</v>
      </c>
      <c r="P42" s="95">
        <v>125</v>
      </c>
      <c r="Q42" s="95">
        <v>11.8</v>
      </c>
      <c r="R42" s="95">
        <v>211</v>
      </c>
      <c r="S42" s="95">
        <v>18.8</v>
      </c>
      <c r="T42" s="95">
        <v>179</v>
      </c>
      <c r="U42" s="95">
        <v>16.899999999999999</v>
      </c>
      <c r="V42" s="95">
        <v>567</v>
      </c>
      <c r="W42" s="95">
        <v>50.7</v>
      </c>
      <c r="X42" s="95">
        <v>113</v>
      </c>
      <c r="Y42" s="95">
        <v>10.7</v>
      </c>
      <c r="Z42" s="95">
        <v>114</v>
      </c>
      <c r="AA42" s="95">
        <v>10.199999999999999</v>
      </c>
      <c r="AB42" s="96">
        <v>1057</v>
      </c>
      <c r="AC42" s="95" t="s">
        <v>788</v>
      </c>
      <c r="AD42" s="96">
        <v>1119</v>
      </c>
      <c r="AE42" s="95" t="s">
        <v>788</v>
      </c>
      <c r="AF42" s="30">
        <v>2176</v>
      </c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</row>
    <row r="43" spans="1:62" s="200" customFormat="1" x14ac:dyDescent="0.3">
      <c r="A43" s="305"/>
      <c r="B43" s="323"/>
      <c r="C43" s="218" t="s">
        <v>1013</v>
      </c>
      <c r="D43" s="218">
        <v>200</v>
      </c>
      <c r="E43" s="218">
        <v>82.7</v>
      </c>
      <c r="F43" s="218">
        <v>0</v>
      </c>
      <c r="G43" s="218">
        <v>0</v>
      </c>
      <c r="H43" s="218">
        <v>8</v>
      </c>
      <c r="I43" s="218">
        <v>3.2</v>
      </c>
      <c r="J43" s="218">
        <v>16</v>
      </c>
      <c r="K43" s="218">
        <v>12.7</v>
      </c>
      <c r="L43" s="218">
        <v>4</v>
      </c>
      <c r="M43" s="218">
        <v>1.5</v>
      </c>
      <c r="N43" s="218">
        <v>4</v>
      </c>
      <c r="O43" s="218">
        <v>3.3</v>
      </c>
      <c r="P43" s="218">
        <v>1</v>
      </c>
      <c r="Q43" s="218">
        <v>0.3</v>
      </c>
      <c r="R43" s="218">
        <v>4</v>
      </c>
      <c r="S43" s="218">
        <v>2.9</v>
      </c>
      <c r="T43" s="218">
        <v>28</v>
      </c>
      <c r="U43" s="218">
        <v>11.6</v>
      </c>
      <c r="V43" s="218">
        <v>92</v>
      </c>
      <c r="W43" s="218">
        <v>74.099999999999994</v>
      </c>
      <c r="X43" s="218">
        <v>1</v>
      </c>
      <c r="Y43" s="218">
        <v>0.6</v>
      </c>
      <c r="Z43" s="218">
        <v>9</v>
      </c>
      <c r="AA43" s="218">
        <v>6.9</v>
      </c>
      <c r="AB43" s="218">
        <v>242</v>
      </c>
      <c r="AC43" s="218" t="s">
        <v>788</v>
      </c>
      <c r="AD43" s="218">
        <v>123</v>
      </c>
      <c r="AE43" s="218" t="s">
        <v>788</v>
      </c>
      <c r="AF43" s="222">
        <v>365</v>
      </c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</row>
    <row r="44" spans="1:62" s="200" customFormat="1" x14ac:dyDescent="0.3">
      <c r="A44" s="305"/>
      <c r="B44" s="323"/>
      <c r="C44" s="218" t="s">
        <v>1014</v>
      </c>
      <c r="D44" s="218">
        <v>65</v>
      </c>
      <c r="E44" s="218">
        <v>60.5</v>
      </c>
      <c r="F44" s="218">
        <v>0</v>
      </c>
      <c r="G44" s="218">
        <v>0</v>
      </c>
      <c r="H44" s="218">
        <v>2</v>
      </c>
      <c r="I44" s="218">
        <v>1.4</v>
      </c>
      <c r="J44" s="218">
        <v>9</v>
      </c>
      <c r="K44" s="218">
        <v>5.8</v>
      </c>
      <c r="L44" s="218">
        <v>9</v>
      </c>
      <c r="M44" s="218">
        <v>8.6</v>
      </c>
      <c r="N44" s="218">
        <v>16</v>
      </c>
      <c r="O44" s="218">
        <v>10.9</v>
      </c>
      <c r="P44" s="218">
        <v>9</v>
      </c>
      <c r="Q44" s="218">
        <v>8</v>
      </c>
      <c r="R44" s="218">
        <v>17</v>
      </c>
      <c r="S44" s="218">
        <v>11.2</v>
      </c>
      <c r="T44" s="218">
        <v>22</v>
      </c>
      <c r="U44" s="218">
        <v>20.399999999999999</v>
      </c>
      <c r="V44" s="218">
        <v>98</v>
      </c>
      <c r="W44" s="218">
        <v>64.599999999999994</v>
      </c>
      <c r="X44" s="218">
        <v>1</v>
      </c>
      <c r="Y44" s="218">
        <v>1.1000000000000001</v>
      </c>
      <c r="Z44" s="218">
        <v>11</v>
      </c>
      <c r="AA44" s="218">
        <v>7.4</v>
      </c>
      <c r="AB44" s="218">
        <v>108</v>
      </c>
      <c r="AC44" s="218" t="s">
        <v>788</v>
      </c>
      <c r="AD44" s="218">
        <v>151</v>
      </c>
      <c r="AE44" s="218" t="s">
        <v>788</v>
      </c>
      <c r="AF44" s="222">
        <v>259</v>
      </c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</row>
    <row r="45" spans="1:62" s="200" customFormat="1" x14ac:dyDescent="0.3">
      <c r="A45" s="305"/>
      <c r="B45" s="308"/>
      <c r="C45" s="97" t="s">
        <v>110</v>
      </c>
      <c r="D45" s="98">
        <v>4774</v>
      </c>
      <c r="E45" s="97">
        <v>64</v>
      </c>
      <c r="F45" s="97">
        <v>284</v>
      </c>
      <c r="G45" s="97">
        <v>4.7</v>
      </c>
      <c r="H45" s="97">
        <v>227</v>
      </c>
      <c r="I45" s="97">
        <v>3</v>
      </c>
      <c r="J45" s="97">
        <v>639</v>
      </c>
      <c r="K45" s="97">
        <v>10.5</v>
      </c>
      <c r="L45" s="97">
        <v>540</v>
      </c>
      <c r="M45" s="97">
        <v>7.2</v>
      </c>
      <c r="N45" s="97">
        <v>290</v>
      </c>
      <c r="O45" s="97">
        <v>4.8</v>
      </c>
      <c r="P45" s="97">
        <v>365</v>
      </c>
      <c r="Q45" s="97">
        <v>4.9000000000000004</v>
      </c>
      <c r="R45" s="97">
        <v>641</v>
      </c>
      <c r="S45" s="97">
        <v>10.5</v>
      </c>
      <c r="T45" s="98">
        <v>1200</v>
      </c>
      <c r="U45" s="97">
        <v>16.100000000000001</v>
      </c>
      <c r="V45" s="98">
        <v>3627</v>
      </c>
      <c r="W45" s="97">
        <v>59.4</v>
      </c>
      <c r="X45" s="97">
        <v>357</v>
      </c>
      <c r="Y45" s="97">
        <v>4.8</v>
      </c>
      <c r="Z45" s="97">
        <v>620</v>
      </c>
      <c r="AA45" s="97">
        <v>10.199999999999999</v>
      </c>
      <c r="AB45" s="98">
        <v>7462</v>
      </c>
      <c r="AC45" s="97" t="s">
        <v>788</v>
      </c>
      <c r="AD45" s="98">
        <v>6102</v>
      </c>
      <c r="AE45" s="97" t="s">
        <v>788</v>
      </c>
      <c r="AF45" s="32">
        <v>13564</v>
      </c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</row>
    <row r="46" spans="1:62" s="200" customFormat="1" x14ac:dyDescent="0.3">
      <c r="A46" s="306"/>
      <c r="B46" s="221" t="s">
        <v>86</v>
      </c>
      <c r="C46" s="219"/>
      <c r="D46" s="98">
        <v>5282</v>
      </c>
      <c r="E46" s="97">
        <v>41.6</v>
      </c>
      <c r="F46" s="97">
        <v>336</v>
      </c>
      <c r="G46" s="97">
        <v>2.2000000000000002</v>
      </c>
      <c r="H46" s="97">
        <v>513</v>
      </c>
      <c r="I46" s="97">
        <v>4</v>
      </c>
      <c r="J46" s="98">
        <v>1355</v>
      </c>
      <c r="K46" s="97">
        <v>8.9</v>
      </c>
      <c r="L46" s="98">
        <v>1311</v>
      </c>
      <c r="M46" s="97">
        <v>10.3</v>
      </c>
      <c r="N46" s="98">
        <v>933</v>
      </c>
      <c r="O46" s="97">
        <v>6.1</v>
      </c>
      <c r="P46" s="98">
        <v>829</v>
      </c>
      <c r="Q46" s="97">
        <v>6.5</v>
      </c>
      <c r="R46" s="98">
        <v>1321</v>
      </c>
      <c r="S46" s="97">
        <v>8.6999999999999993</v>
      </c>
      <c r="T46" s="98">
        <v>3442</v>
      </c>
      <c r="U46" s="97">
        <v>27.1</v>
      </c>
      <c r="V46" s="98">
        <v>9979</v>
      </c>
      <c r="W46" s="97">
        <v>65.7</v>
      </c>
      <c r="X46" s="98">
        <v>1314</v>
      </c>
      <c r="Y46" s="97">
        <v>10.4</v>
      </c>
      <c r="Z46" s="98">
        <v>1256</v>
      </c>
      <c r="AA46" s="97">
        <v>8.3000000000000007</v>
      </c>
      <c r="AB46" s="98">
        <v>12690</v>
      </c>
      <c r="AC46" s="97" t="s">
        <v>788</v>
      </c>
      <c r="AD46" s="98">
        <v>15180</v>
      </c>
      <c r="AE46" s="97" t="s">
        <v>788</v>
      </c>
      <c r="AF46" s="32">
        <v>27870</v>
      </c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</row>
    <row r="47" spans="1:62" s="200" customFormat="1" x14ac:dyDescent="0.3">
      <c r="A47" s="304" t="s">
        <v>10</v>
      </c>
      <c r="B47" s="307" t="s">
        <v>115</v>
      </c>
      <c r="C47" s="95" t="s">
        <v>116</v>
      </c>
      <c r="D47" s="95">
        <v>206</v>
      </c>
      <c r="E47" s="95">
        <v>11.5</v>
      </c>
      <c r="F47" s="95">
        <v>8</v>
      </c>
      <c r="G47" s="95">
        <v>0.3</v>
      </c>
      <c r="H47" s="95">
        <v>268</v>
      </c>
      <c r="I47" s="95">
        <v>15</v>
      </c>
      <c r="J47" s="95">
        <v>289</v>
      </c>
      <c r="K47" s="95">
        <v>8.9</v>
      </c>
      <c r="L47" s="95">
        <v>481</v>
      </c>
      <c r="M47" s="95">
        <v>26.9</v>
      </c>
      <c r="N47" s="95">
        <v>284</v>
      </c>
      <c r="O47" s="95">
        <v>8.8000000000000007</v>
      </c>
      <c r="P47" s="95">
        <v>46</v>
      </c>
      <c r="Q47" s="95">
        <v>2.6</v>
      </c>
      <c r="R47" s="95">
        <v>181</v>
      </c>
      <c r="S47" s="95">
        <v>5.6</v>
      </c>
      <c r="T47" s="95">
        <v>518</v>
      </c>
      <c r="U47" s="95">
        <v>29</v>
      </c>
      <c r="V47" s="96">
        <v>2233</v>
      </c>
      <c r="W47" s="95">
        <v>68.900000000000006</v>
      </c>
      <c r="X47" s="95">
        <v>266</v>
      </c>
      <c r="Y47" s="95">
        <v>14.9</v>
      </c>
      <c r="Z47" s="95">
        <v>245</v>
      </c>
      <c r="AA47" s="95">
        <v>7.6</v>
      </c>
      <c r="AB47" s="96">
        <v>1785</v>
      </c>
      <c r="AC47" s="95" t="s">
        <v>788</v>
      </c>
      <c r="AD47" s="96">
        <v>3240</v>
      </c>
      <c r="AE47" s="95" t="s">
        <v>788</v>
      </c>
      <c r="AF47" s="30">
        <v>5025</v>
      </c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</row>
    <row r="48" spans="1:62" s="200" customFormat="1" x14ac:dyDescent="0.3">
      <c r="A48" s="305"/>
      <c r="B48" s="323"/>
      <c r="C48" s="95" t="s">
        <v>117</v>
      </c>
      <c r="D48" s="95">
        <v>40</v>
      </c>
      <c r="E48" s="95">
        <v>11.5</v>
      </c>
      <c r="F48" s="95">
        <v>1</v>
      </c>
      <c r="G48" s="95">
        <v>0.2</v>
      </c>
      <c r="H48" s="95">
        <v>30</v>
      </c>
      <c r="I48" s="95">
        <v>8.5</v>
      </c>
      <c r="J48" s="95">
        <v>16</v>
      </c>
      <c r="K48" s="95">
        <v>4.7</v>
      </c>
      <c r="L48" s="95">
        <v>4</v>
      </c>
      <c r="M48" s="95">
        <v>1.1000000000000001</v>
      </c>
      <c r="N48" s="95">
        <v>4</v>
      </c>
      <c r="O48" s="95">
        <v>1.2</v>
      </c>
      <c r="P48" s="95">
        <v>206</v>
      </c>
      <c r="Q48" s="95">
        <v>58.7</v>
      </c>
      <c r="R48" s="95">
        <v>31</v>
      </c>
      <c r="S48" s="95">
        <v>9</v>
      </c>
      <c r="T48" s="95">
        <v>55</v>
      </c>
      <c r="U48" s="95">
        <v>15.6</v>
      </c>
      <c r="V48" s="95">
        <v>284</v>
      </c>
      <c r="W48" s="95">
        <v>82.2</v>
      </c>
      <c r="X48" s="95">
        <v>16</v>
      </c>
      <c r="Y48" s="95">
        <v>4.7</v>
      </c>
      <c r="Z48" s="95">
        <v>9</v>
      </c>
      <c r="AA48" s="95">
        <v>2.6</v>
      </c>
      <c r="AB48" s="95">
        <v>350</v>
      </c>
      <c r="AC48" s="95" t="s">
        <v>788</v>
      </c>
      <c r="AD48" s="95">
        <v>346</v>
      </c>
      <c r="AE48" s="95" t="s">
        <v>788</v>
      </c>
      <c r="AF48" s="220">
        <v>696</v>
      </c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</row>
    <row r="49" spans="1:62" s="200" customFormat="1" x14ac:dyDescent="0.3">
      <c r="A49" s="305"/>
      <c r="B49" s="323"/>
      <c r="C49" s="95" t="s">
        <v>118</v>
      </c>
      <c r="D49" s="95">
        <v>166</v>
      </c>
      <c r="E49" s="95">
        <v>13.3</v>
      </c>
      <c r="F49" s="95">
        <v>11</v>
      </c>
      <c r="G49" s="95">
        <v>0.3</v>
      </c>
      <c r="H49" s="95">
        <v>103</v>
      </c>
      <c r="I49" s="95">
        <v>8.1999999999999993</v>
      </c>
      <c r="J49" s="95">
        <v>205</v>
      </c>
      <c r="K49" s="95">
        <v>5.7</v>
      </c>
      <c r="L49" s="95">
        <v>114</v>
      </c>
      <c r="M49" s="95">
        <v>9.1</v>
      </c>
      <c r="N49" s="95">
        <v>176</v>
      </c>
      <c r="O49" s="95">
        <v>4.9000000000000004</v>
      </c>
      <c r="P49" s="95">
        <v>109</v>
      </c>
      <c r="Q49" s="95">
        <v>8.6999999999999993</v>
      </c>
      <c r="R49" s="95">
        <v>321</v>
      </c>
      <c r="S49" s="95">
        <v>8.9</v>
      </c>
      <c r="T49" s="95">
        <v>494</v>
      </c>
      <c r="U49" s="95">
        <v>39.6</v>
      </c>
      <c r="V49" s="96">
        <v>2665</v>
      </c>
      <c r="W49" s="95">
        <v>74.3</v>
      </c>
      <c r="X49" s="95">
        <v>262</v>
      </c>
      <c r="Y49" s="95">
        <v>21</v>
      </c>
      <c r="Z49" s="95">
        <v>210</v>
      </c>
      <c r="AA49" s="95">
        <v>5.9</v>
      </c>
      <c r="AB49" s="96">
        <v>1248</v>
      </c>
      <c r="AC49" s="95" t="s">
        <v>788</v>
      </c>
      <c r="AD49" s="96">
        <v>3588</v>
      </c>
      <c r="AE49" s="95" t="s">
        <v>788</v>
      </c>
      <c r="AF49" s="30">
        <v>4836</v>
      </c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</row>
    <row r="50" spans="1:62" s="200" customFormat="1" x14ac:dyDescent="0.3">
      <c r="A50" s="305"/>
      <c r="B50" s="308"/>
      <c r="C50" s="97" t="s">
        <v>110</v>
      </c>
      <c r="D50" s="97">
        <v>412</v>
      </c>
      <c r="E50" s="97">
        <v>12.2</v>
      </c>
      <c r="F50" s="97">
        <v>19</v>
      </c>
      <c r="G50" s="97">
        <v>0.3</v>
      </c>
      <c r="H50" s="97">
        <v>400</v>
      </c>
      <c r="I50" s="97">
        <v>11.8</v>
      </c>
      <c r="J50" s="97">
        <v>511</v>
      </c>
      <c r="K50" s="97">
        <v>7.1</v>
      </c>
      <c r="L50" s="97">
        <v>599</v>
      </c>
      <c r="M50" s="97">
        <v>17.7</v>
      </c>
      <c r="N50" s="97">
        <v>464</v>
      </c>
      <c r="O50" s="97">
        <v>6.5</v>
      </c>
      <c r="P50" s="97">
        <v>361</v>
      </c>
      <c r="Q50" s="97">
        <v>10.7</v>
      </c>
      <c r="R50" s="97">
        <v>533</v>
      </c>
      <c r="S50" s="97">
        <v>7.4</v>
      </c>
      <c r="T50" s="98">
        <v>1067</v>
      </c>
      <c r="U50" s="97">
        <v>31.5</v>
      </c>
      <c r="V50" s="98">
        <v>5183</v>
      </c>
      <c r="W50" s="97">
        <v>72.2</v>
      </c>
      <c r="X50" s="97">
        <v>544</v>
      </c>
      <c r="Y50" s="97">
        <v>16.100000000000001</v>
      </c>
      <c r="Z50" s="97">
        <v>464</v>
      </c>
      <c r="AA50" s="97">
        <v>6.5</v>
      </c>
      <c r="AB50" s="98">
        <v>3383</v>
      </c>
      <c r="AC50" s="97" t="s">
        <v>788</v>
      </c>
      <c r="AD50" s="98">
        <v>7174</v>
      </c>
      <c r="AE50" s="97" t="s">
        <v>788</v>
      </c>
      <c r="AF50" s="32">
        <v>10557</v>
      </c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</row>
    <row r="51" spans="1:62" s="200" customFormat="1" x14ac:dyDescent="0.3">
      <c r="A51" s="305"/>
      <c r="B51" s="95" t="s">
        <v>833</v>
      </c>
      <c r="C51" s="97" t="s">
        <v>120</v>
      </c>
      <c r="D51" s="97">
        <v>632</v>
      </c>
      <c r="E51" s="97">
        <v>42.1</v>
      </c>
      <c r="F51" s="97">
        <v>1</v>
      </c>
      <c r="G51" s="97">
        <v>0.1</v>
      </c>
      <c r="H51" s="97">
        <v>29</v>
      </c>
      <c r="I51" s="97">
        <v>1.9</v>
      </c>
      <c r="J51" s="97">
        <v>82</v>
      </c>
      <c r="K51" s="97">
        <v>5.5</v>
      </c>
      <c r="L51" s="97">
        <v>95</v>
      </c>
      <c r="M51" s="97">
        <v>6.3</v>
      </c>
      <c r="N51" s="97">
        <v>145</v>
      </c>
      <c r="O51" s="97">
        <v>9.6999999999999993</v>
      </c>
      <c r="P51" s="97">
        <v>17</v>
      </c>
      <c r="Q51" s="97">
        <v>1.1000000000000001</v>
      </c>
      <c r="R51" s="97">
        <v>76</v>
      </c>
      <c r="S51" s="97">
        <v>5.0999999999999996</v>
      </c>
      <c r="T51" s="97">
        <v>247</v>
      </c>
      <c r="U51" s="97">
        <v>16.399999999999999</v>
      </c>
      <c r="V51" s="98">
        <v>1106</v>
      </c>
      <c r="W51" s="97">
        <v>73.599999999999994</v>
      </c>
      <c r="X51" s="97">
        <v>482</v>
      </c>
      <c r="Y51" s="97">
        <v>32.1</v>
      </c>
      <c r="Z51" s="97">
        <v>91</v>
      </c>
      <c r="AA51" s="97">
        <v>6.1</v>
      </c>
      <c r="AB51" s="98">
        <v>1502</v>
      </c>
      <c r="AC51" s="97" t="s">
        <v>788</v>
      </c>
      <c r="AD51" s="98">
        <v>1502</v>
      </c>
      <c r="AE51" s="97" t="s">
        <v>788</v>
      </c>
      <c r="AF51" s="32">
        <v>3005</v>
      </c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</row>
    <row r="52" spans="1:62" s="200" customFormat="1" ht="16.5" customHeight="1" x14ac:dyDescent="0.3">
      <c r="A52" s="305"/>
      <c r="B52" s="307" t="s">
        <v>1012</v>
      </c>
      <c r="C52" s="95" t="s">
        <v>121</v>
      </c>
      <c r="D52" s="95">
        <v>349</v>
      </c>
      <c r="E52" s="95">
        <v>61.1</v>
      </c>
      <c r="F52" s="95">
        <v>147</v>
      </c>
      <c r="G52" s="95">
        <v>18.2</v>
      </c>
      <c r="H52" s="95">
        <v>57</v>
      </c>
      <c r="I52" s="95">
        <v>10</v>
      </c>
      <c r="J52" s="95">
        <v>69</v>
      </c>
      <c r="K52" s="95">
        <v>8.5</v>
      </c>
      <c r="L52" s="95">
        <v>33</v>
      </c>
      <c r="M52" s="95">
        <v>5.8</v>
      </c>
      <c r="N52" s="95">
        <v>23</v>
      </c>
      <c r="O52" s="95">
        <v>2.8</v>
      </c>
      <c r="P52" s="95">
        <v>7</v>
      </c>
      <c r="Q52" s="95">
        <v>1.2</v>
      </c>
      <c r="R52" s="95">
        <v>24</v>
      </c>
      <c r="S52" s="95">
        <v>3</v>
      </c>
      <c r="T52" s="95">
        <v>84</v>
      </c>
      <c r="U52" s="95">
        <v>14.6</v>
      </c>
      <c r="V52" s="95">
        <v>496</v>
      </c>
      <c r="W52" s="95">
        <v>61.3</v>
      </c>
      <c r="X52" s="95">
        <v>41</v>
      </c>
      <c r="Y52" s="95">
        <v>7.2</v>
      </c>
      <c r="Z52" s="95">
        <v>50</v>
      </c>
      <c r="AA52" s="95">
        <v>6.2</v>
      </c>
      <c r="AB52" s="95">
        <v>571</v>
      </c>
      <c r="AC52" s="95" t="s">
        <v>788</v>
      </c>
      <c r="AD52" s="95">
        <v>810</v>
      </c>
      <c r="AE52" s="95" t="s">
        <v>788</v>
      </c>
      <c r="AF52" s="30">
        <v>1381</v>
      </c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</row>
    <row r="53" spans="1:62" s="200" customFormat="1" x14ac:dyDescent="0.3">
      <c r="A53" s="305"/>
      <c r="B53" s="323"/>
      <c r="C53" s="95" t="s">
        <v>122</v>
      </c>
      <c r="D53" s="95">
        <v>419</v>
      </c>
      <c r="E53" s="95">
        <v>79.7</v>
      </c>
      <c r="F53" s="95">
        <v>28</v>
      </c>
      <c r="G53" s="95">
        <v>5.7</v>
      </c>
      <c r="H53" s="95">
        <v>12</v>
      </c>
      <c r="I53" s="95">
        <v>2.2999999999999998</v>
      </c>
      <c r="J53" s="95">
        <v>49</v>
      </c>
      <c r="K53" s="95">
        <v>9.9</v>
      </c>
      <c r="L53" s="95">
        <v>4</v>
      </c>
      <c r="M53" s="95">
        <v>0.8</v>
      </c>
      <c r="N53" s="95">
        <v>6</v>
      </c>
      <c r="O53" s="95">
        <v>1.2</v>
      </c>
      <c r="P53" s="95">
        <v>16</v>
      </c>
      <c r="Q53" s="95">
        <v>3</v>
      </c>
      <c r="R53" s="95">
        <v>50</v>
      </c>
      <c r="S53" s="95">
        <v>10.1</v>
      </c>
      <c r="T53" s="95">
        <v>65</v>
      </c>
      <c r="U53" s="95">
        <v>12.3</v>
      </c>
      <c r="V53" s="95">
        <v>319</v>
      </c>
      <c r="W53" s="95">
        <v>64.3</v>
      </c>
      <c r="X53" s="95">
        <v>10</v>
      </c>
      <c r="Y53" s="95">
        <v>1.9</v>
      </c>
      <c r="Z53" s="95">
        <v>43</v>
      </c>
      <c r="AA53" s="95">
        <v>8.6999999999999993</v>
      </c>
      <c r="AB53" s="95">
        <v>526</v>
      </c>
      <c r="AC53" s="95" t="s">
        <v>788</v>
      </c>
      <c r="AD53" s="95">
        <v>496</v>
      </c>
      <c r="AE53" s="95" t="s">
        <v>788</v>
      </c>
      <c r="AF53" s="30">
        <v>1021</v>
      </c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</row>
    <row r="54" spans="1:62" s="200" customFormat="1" x14ac:dyDescent="0.3">
      <c r="A54" s="305"/>
      <c r="B54" s="323"/>
      <c r="C54" s="95" t="s">
        <v>123</v>
      </c>
      <c r="D54" s="95">
        <v>801</v>
      </c>
      <c r="E54" s="95">
        <v>91.1</v>
      </c>
      <c r="F54" s="95">
        <v>0</v>
      </c>
      <c r="G54" s="95">
        <v>0</v>
      </c>
      <c r="H54" s="95">
        <v>20</v>
      </c>
      <c r="I54" s="95">
        <v>2.2000000000000002</v>
      </c>
      <c r="J54" s="95">
        <v>64</v>
      </c>
      <c r="K54" s="95">
        <v>15.6</v>
      </c>
      <c r="L54" s="95">
        <v>3</v>
      </c>
      <c r="M54" s="95">
        <v>0.3</v>
      </c>
      <c r="N54" s="95">
        <v>7</v>
      </c>
      <c r="O54" s="95">
        <v>1.7</v>
      </c>
      <c r="P54" s="95">
        <v>1</v>
      </c>
      <c r="Q54" s="95">
        <v>0.1</v>
      </c>
      <c r="R54" s="95">
        <v>12</v>
      </c>
      <c r="S54" s="95">
        <v>2.9</v>
      </c>
      <c r="T54" s="95">
        <v>43</v>
      </c>
      <c r="U54" s="95">
        <v>4.9000000000000004</v>
      </c>
      <c r="V54" s="95">
        <v>261</v>
      </c>
      <c r="W54" s="95">
        <v>63.7</v>
      </c>
      <c r="X54" s="95">
        <v>12</v>
      </c>
      <c r="Y54" s="95">
        <v>1.4</v>
      </c>
      <c r="Z54" s="95">
        <v>66</v>
      </c>
      <c r="AA54" s="95">
        <v>16.100000000000001</v>
      </c>
      <c r="AB54" s="95">
        <v>880</v>
      </c>
      <c r="AC54" s="95" t="s">
        <v>788</v>
      </c>
      <c r="AD54" s="95">
        <v>410</v>
      </c>
      <c r="AE54" s="95" t="s">
        <v>788</v>
      </c>
      <c r="AF54" s="30">
        <v>1290</v>
      </c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</row>
    <row r="55" spans="1:62" s="200" customFormat="1" x14ac:dyDescent="0.3">
      <c r="A55" s="305"/>
      <c r="B55" s="323"/>
      <c r="C55" s="95" t="s">
        <v>124</v>
      </c>
      <c r="D55" s="95">
        <v>228</v>
      </c>
      <c r="E55" s="95">
        <v>73.5</v>
      </c>
      <c r="F55" s="95">
        <v>1</v>
      </c>
      <c r="G55" s="95">
        <v>0.2</v>
      </c>
      <c r="H55" s="95">
        <v>25</v>
      </c>
      <c r="I55" s="95">
        <v>7.9</v>
      </c>
      <c r="J55" s="95">
        <v>23</v>
      </c>
      <c r="K55" s="95">
        <v>9.9</v>
      </c>
      <c r="L55" s="95">
        <v>14</v>
      </c>
      <c r="M55" s="95">
        <v>4.4000000000000004</v>
      </c>
      <c r="N55" s="95">
        <v>10</v>
      </c>
      <c r="O55" s="95">
        <v>4.5999999999999996</v>
      </c>
      <c r="P55" s="95">
        <v>6</v>
      </c>
      <c r="Q55" s="95">
        <v>1.9</v>
      </c>
      <c r="R55" s="95">
        <v>29</v>
      </c>
      <c r="S55" s="95">
        <v>12.5</v>
      </c>
      <c r="T55" s="95">
        <v>30</v>
      </c>
      <c r="U55" s="95">
        <v>9.8000000000000007</v>
      </c>
      <c r="V55" s="95">
        <v>157</v>
      </c>
      <c r="W55" s="95">
        <v>68.900000000000006</v>
      </c>
      <c r="X55" s="95">
        <v>8</v>
      </c>
      <c r="Y55" s="95">
        <v>2.5</v>
      </c>
      <c r="Z55" s="95">
        <v>9</v>
      </c>
      <c r="AA55" s="95">
        <v>3.9</v>
      </c>
      <c r="AB55" s="95">
        <v>310</v>
      </c>
      <c r="AC55" s="95" t="s">
        <v>788</v>
      </c>
      <c r="AD55" s="95">
        <v>228</v>
      </c>
      <c r="AE55" s="95" t="s">
        <v>788</v>
      </c>
      <c r="AF55" s="220">
        <v>539</v>
      </c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</row>
    <row r="56" spans="1:62" s="200" customFormat="1" x14ac:dyDescent="0.3">
      <c r="A56" s="305"/>
      <c r="B56" s="323"/>
      <c r="C56" s="95" t="s">
        <v>125</v>
      </c>
      <c r="D56" s="95">
        <v>425</v>
      </c>
      <c r="E56" s="95">
        <v>90.5</v>
      </c>
      <c r="F56" s="95">
        <v>0</v>
      </c>
      <c r="G56" s="95">
        <v>0</v>
      </c>
      <c r="H56" s="95">
        <v>11</v>
      </c>
      <c r="I56" s="95">
        <v>2.2999999999999998</v>
      </c>
      <c r="J56" s="95">
        <v>34</v>
      </c>
      <c r="K56" s="95">
        <v>14.4</v>
      </c>
      <c r="L56" s="95">
        <v>1</v>
      </c>
      <c r="M56" s="95">
        <v>0.2</v>
      </c>
      <c r="N56" s="95">
        <v>2</v>
      </c>
      <c r="O56" s="95">
        <v>0.8</v>
      </c>
      <c r="P56" s="95">
        <v>2</v>
      </c>
      <c r="Q56" s="95">
        <v>0.5</v>
      </c>
      <c r="R56" s="95">
        <v>4</v>
      </c>
      <c r="S56" s="95">
        <v>1.6</v>
      </c>
      <c r="T56" s="95">
        <v>28</v>
      </c>
      <c r="U56" s="95">
        <v>6</v>
      </c>
      <c r="V56" s="95">
        <v>177</v>
      </c>
      <c r="W56" s="95">
        <v>75.599999999999994</v>
      </c>
      <c r="X56" s="95">
        <v>2</v>
      </c>
      <c r="Y56" s="95">
        <v>0.5</v>
      </c>
      <c r="Z56" s="95">
        <v>18</v>
      </c>
      <c r="AA56" s="95">
        <v>7.6</v>
      </c>
      <c r="AB56" s="95">
        <v>470</v>
      </c>
      <c r="AC56" s="95" t="s">
        <v>788</v>
      </c>
      <c r="AD56" s="95">
        <v>234</v>
      </c>
      <c r="AE56" s="95" t="s">
        <v>788</v>
      </c>
      <c r="AF56" s="220">
        <v>703</v>
      </c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</row>
    <row r="57" spans="1:62" s="200" customFormat="1" x14ac:dyDescent="0.3">
      <c r="A57" s="305"/>
      <c r="B57" s="323"/>
      <c r="C57" s="95" t="s">
        <v>126</v>
      </c>
      <c r="D57" s="95">
        <v>394</v>
      </c>
      <c r="E57" s="95">
        <v>82.8</v>
      </c>
      <c r="F57" s="95">
        <v>10</v>
      </c>
      <c r="G57" s="95">
        <v>2.5</v>
      </c>
      <c r="H57" s="95">
        <v>9</v>
      </c>
      <c r="I57" s="95">
        <v>2</v>
      </c>
      <c r="J57" s="95">
        <v>49</v>
      </c>
      <c r="K57" s="95">
        <v>11.5</v>
      </c>
      <c r="L57" s="95">
        <v>3</v>
      </c>
      <c r="M57" s="95">
        <v>0.6</v>
      </c>
      <c r="N57" s="95">
        <v>7</v>
      </c>
      <c r="O57" s="95">
        <v>1.7</v>
      </c>
      <c r="P57" s="95">
        <v>18</v>
      </c>
      <c r="Q57" s="95">
        <v>3.7</v>
      </c>
      <c r="R57" s="95">
        <v>62</v>
      </c>
      <c r="S57" s="95">
        <v>14.6</v>
      </c>
      <c r="T57" s="95">
        <v>51</v>
      </c>
      <c r="U57" s="95">
        <v>10.7</v>
      </c>
      <c r="V57" s="95">
        <v>284</v>
      </c>
      <c r="W57" s="95">
        <v>66.599999999999994</v>
      </c>
      <c r="X57" s="95">
        <v>1</v>
      </c>
      <c r="Y57" s="95">
        <v>0.3</v>
      </c>
      <c r="Z57" s="95">
        <v>13</v>
      </c>
      <c r="AA57" s="95">
        <v>3.1</v>
      </c>
      <c r="AB57" s="95">
        <v>476</v>
      </c>
      <c r="AC57" s="95" t="s">
        <v>788</v>
      </c>
      <c r="AD57" s="95">
        <v>426</v>
      </c>
      <c r="AE57" s="95" t="s">
        <v>788</v>
      </c>
      <c r="AF57" s="220">
        <v>902</v>
      </c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</row>
    <row r="58" spans="1:62" s="200" customFormat="1" x14ac:dyDescent="0.3">
      <c r="A58" s="305"/>
      <c r="B58" s="323"/>
      <c r="C58" s="95" t="s">
        <v>127</v>
      </c>
      <c r="D58" s="95">
        <v>910</v>
      </c>
      <c r="E58" s="95">
        <v>82.5</v>
      </c>
      <c r="F58" s="95">
        <v>17</v>
      </c>
      <c r="G58" s="95">
        <v>3</v>
      </c>
      <c r="H58" s="95">
        <v>22</v>
      </c>
      <c r="I58" s="95">
        <v>2</v>
      </c>
      <c r="J58" s="95">
        <v>66</v>
      </c>
      <c r="K58" s="95">
        <v>11.4</v>
      </c>
      <c r="L58" s="95">
        <v>19</v>
      </c>
      <c r="M58" s="95">
        <v>1.8</v>
      </c>
      <c r="N58" s="95">
        <v>13</v>
      </c>
      <c r="O58" s="95">
        <v>2.2999999999999998</v>
      </c>
      <c r="P58" s="95">
        <v>15</v>
      </c>
      <c r="Q58" s="95">
        <v>1.4</v>
      </c>
      <c r="R58" s="95">
        <v>43</v>
      </c>
      <c r="S58" s="95">
        <v>7.4</v>
      </c>
      <c r="T58" s="95">
        <v>66</v>
      </c>
      <c r="U58" s="95">
        <v>6</v>
      </c>
      <c r="V58" s="95">
        <v>317</v>
      </c>
      <c r="W58" s="95">
        <v>55</v>
      </c>
      <c r="X58" s="95">
        <v>71</v>
      </c>
      <c r="Y58" s="95">
        <v>6.4</v>
      </c>
      <c r="Z58" s="95">
        <v>120</v>
      </c>
      <c r="AA58" s="95">
        <v>20.8</v>
      </c>
      <c r="AB58" s="95">
        <v>1104</v>
      </c>
      <c r="AC58" s="95" t="s">
        <v>788</v>
      </c>
      <c r="AD58" s="95">
        <v>577</v>
      </c>
      <c r="AE58" s="95" t="s">
        <v>788</v>
      </c>
      <c r="AF58" s="30">
        <v>1681</v>
      </c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</row>
    <row r="59" spans="1:62" s="200" customFormat="1" x14ac:dyDescent="0.3">
      <c r="A59" s="305"/>
      <c r="B59" s="323"/>
      <c r="C59" s="95" t="s">
        <v>128</v>
      </c>
      <c r="D59" s="95">
        <v>501</v>
      </c>
      <c r="E59" s="95">
        <v>83.9</v>
      </c>
      <c r="F59" s="95">
        <v>3</v>
      </c>
      <c r="G59" s="95">
        <v>0.8</v>
      </c>
      <c r="H59" s="95">
        <v>16</v>
      </c>
      <c r="I59" s="95">
        <v>2.8</v>
      </c>
      <c r="J59" s="95">
        <v>26</v>
      </c>
      <c r="K59" s="95">
        <v>8</v>
      </c>
      <c r="L59" s="95">
        <v>1</v>
      </c>
      <c r="M59" s="95">
        <v>0.2</v>
      </c>
      <c r="N59" s="95">
        <v>5</v>
      </c>
      <c r="O59" s="95">
        <v>1.7</v>
      </c>
      <c r="P59" s="95">
        <v>2</v>
      </c>
      <c r="Q59" s="95">
        <v>0.4</v>
      </c>
      <c r="R59" s="95">
        <v>13</v>
      </c>
      <c r="S59" s="95">
        <v>4</v>
      </c>
      <c r="T59" s="95">
        <v>42</v>
      </c>
      <c r="U59" s="95">
        <v>7.1</v>
      </c>
      <c r="V59" s="95">
        <v>259</v>
      </c>
      <c r="W59" s="95">
        <v>80.7</v>
      </c>
      <c r="X59" s="95">
        <v>34</v>
      </c>
      <c r="Y59" s="95">
        <v>5.7</v>
      </c>
      <c r="Z59" s="95">
        <v>15</v>
      </c>
      <c r="AA59" s="95">
        <v>4.8</v>
      </c>
      <c r="AB59" s="95">
        <v>598</v>
      </c>
      <c r="AC59" s="95" t="s">
        <v>788</v>
      </c>
      <c r="AD59" s="95">
        <v>321</v>
      </c>
      <c r="AE59" s="95" t="s">
        <v>788</v>
      </c>
      <c r="AF59" s="30">
        <v>919</v>
      </c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</row>
    <row r="60" spans="1:62" s="200" customFormat="1" x14ac:dyDescent="0.3">
      <c r="A60" s="305"/>
      <c r="B60" s="323"/>
      <c r="C60" s="95" t="s">
        <v>129</v>
      </c>
      <c r="D60" s="95">
        <v>362</v>
      </c>
      <c r="E60" s="95">
        <v>60.4</v>
      </c>
      <c r="F60" s="95">
        <v>0</v>
      </c>
      <c r="G60" s="95">
        <v>0</v>
      </c>
      <c r="H60" s="95">
        <v>25</v>
      </c>
      <c r="I60" s="95">
        <v>4.2</v>
      </c>
      <c r="J60" s="95">
        <v>54</v>
      </c>
      <c r="K60" s="95">
        <v>13.1</v>
      </c>
      <c r="L60" s="95">
        <v>129</v>
      </c>
      <c r="M60" s="95">
        <v>21.4</v>
      </c>
      <c r="N60" s="95">
        <v>74</v>
      </c>
      <c r="O60" s="95">
        <v>17.899999999999999</v>
      </c>
      <c r="P60" s="95">
        <v>7</v>
      </c>
      <c r="Q60" s="95">
        <v>1.2</v>
      </c>
      <c r="R60" s="95">
        <v>16</v>
      </c>
      <c r="S60" s="95">
        <v>3.9</v>
      </c>
      <c r="T60" s="95">
        <v>48</v>
      </c>
      <c r="U60" s="95">
        <v>8</v>
      </c>
      <c r="V60" s="95">
        <v>224</v>
      </c>
      <c r="W60" s="95">
        <v>54.2</v>
      </c>
      <c r="X60" s="95">
        <v>28</v>
      </c>
      <c r="Y60" s="95">
        <v>4.7</v>
      </c>
      <c r="Z60" s="95">
        <v>45</v>
      </c>
      <c r="AA60" s="95">
        <v>11</v>
      </c>
      <c r="AB60" s="95">
        <v>600</v>
      </c>
      <c r="AC60" s="95" t="s">
        <v>788</v>
      </c>
      <c r="AD60" s="95">
        <v>413</v>
      </c>
      <c r="AE60" s="95" t="s">
        <v>788</v>
      </c>
      <c r="AF60" s="30">
        <v>1013</v>
      </c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</row>
    <row r="61" spans="1:62" s="200" customFormat="1" x14ac:dyDescent="0.3">
      <c r="A61" s="305"/>
      <c r="B61" s="323"/>
      <c r="C61" s="95" t="s">
        <v>130</v>
      </c>
      <c r="D61" s="95">
        <v>739</v>
      </c>
      <c r="E61" s="95">
        <v>75.900000000000006</v>
      </c>
      <c r="F61" s="95">
        <v>3</v>
      </c>
      <c r="G61" s="95">
        <v>0.6</v>
      </c>
      <c r="H61" s="95">
        <v>58</v>
      </c>
      <c r="I61" s="95">
        <v>5.9</v>
      </c>
      <c r="J61" s="95">
        <v>55</v>
      </c>
      <c r="K61" s="95">
        <v>9.6999999999999993</v>
      </c>
      <c r="L61" s="95">
        <v>82</v>
      </c>
      <c r="M61" s="95">
        <v>8.4</v>
      </c>
      <c r="N61" s="95">
        <v>61</v>
      </c>
      <c r="O61" s="95">
        <v>10.9</v>
      </c>
      <c r="P61" s="95">
        <v>17</v>
      </c>
      <c r="Q61" s="95">
        <v>1.7</v>
      </c>
      <c r="R61" s="95">
        <v>54</v>
      </c>
      <c r="S61" s="95">
        <v>9.5</v>
      </c>
      <c r="T61" s="95">
        <v>64</v>
      </c>
      <c r="U61" s="95">
        <v>6.6</v>
      </c>
      <c r="V61" s="95">
        <v>362</v>
      </c>
      <c r="W61" s="95">
        <v>64.3</v>
      </c>
      <c r="X61" s="95">
        <v>14</v>
      </c>
      <c r="Y61" s="95">
        <v>1.5</v>
      </c>
      <c r="Z61" s="95">
        <v>28</v>
      </c>
      <c r="AA61" s="95">
        <v>5</v>
      </c>
      <c r="AB61" s="96">
        <v>974</v>
      </c>
      <c r="AC61" s="95" t="s">
        <v>788</v>
      </c>
      <c r="AD61" s="95">
        <v>562</v>
      </c>
      <c r="AE61" s="95" t="s">
        <v>788</v>
      </c>
      <c r="AF61" s="30">
        <v>1536</v>
      </c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</row>
    <row r="62" spans="1:62" s="200" customFormat="1" x14ac:dyDescent="0.3">
      <c r="A62" s="305"/>
      <c r="B62" s="323"/>
      <c r="C62" s="95" t="s">
        <v>131</v>
      </c>
      <c r="D62" s="95">
        <v>738</v>
      </c>
      <c r="E62" s="95">
        <v>63.4</v>
      </c>
      <c r="F62" s="95">
        <v>16</v>
      </c>
      <c r="G62" s="95">
        <v>1.8</v>
      </c>
      <c r="H62" s="95">
        <v>10</v>
      </c>
      <c r="I62" s="95">
        <v>0.8</v>
      </c>
      <c r="J62" s="95">
        <v>46</v>
      </c>
      <c r="K62" s="95">
        <v>5.0999999999999996</v>
      </c>
      <c r="L62" s="95">
        <v>149</v>
      </c>
      <c r="M62" s="95">
        <v>12.8</v>
      </c>
      <c r="N62" s="95">
        <v>104</v>
      </c>
      <c r="O62" s="95">
        <v>11.5</v>
      </c>
      <c r="P62" s="95">
        <v>35</v>
      </c>
      <c r="Q62" s="95">
        <v>3</v>
      </c>
      <c r="R62" s="95">
        <v>80</v>
      </c>
      <c r="S62" s="95">
        <v>8.9</v>
      </c>
      <c r="T62" s="95">
        <v>91</v>
      </c>
      <c r="U62" s="95">
        <v>7.8</v>
      </c>
      <c r="V62" s="95">
        <v>537</v>
      </c>
      <c r="W62" s="95">
        <v>59.5</v>
      </c>
      <c r="X62" s="95">
        <v>141</v>
      </c>
      <c r="Y62" s="95">
        <v>12.1</v>
      </c>
      <c r="Z62" s="95">
        <v>119</v>
      </c>
      <c r="AA62" s="95">
        <v>13.2</v>
      </c>
      <c r="AB62" s="96">
        <v>1163</v>
      </c>
      <c r="AC62" s="95" t="s">
        <v>788</v>
      </c>
      <c r="AD62" s="96">
        <v>902</v>
      </c>
      <c r="AE62" s="95" t="s">
        <v>788</v>
      </c>
      <c r="AF62" s="30">
        <v>2065</v>
      </c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</row>
    <row r="63" spans="1:62" s="200" customFormat="1" x14ac:dyDescent="0.3">
      <c r="A63" s="305"/>
      <c r="B63" s="323"/>
      <c r="C63" s="218" t="s">
        <v>1013</v>
      </c>
      <c r="D63" s="218">
        <v>163</v>
      </c>
      <c r="E63" s="218">
        <v>81.7</v>
      </c>
      <c r="F63" s="218">
        <v>0</v>
      </c>
      <c r="G63" s="218">
        <v>0</v>
      </c>
      <c r="H63" s="218">
        <v>7</v>
      </c>
      <c r="I63" s="218">
        <v>3.3</v>
      </c>
      <c r="J63" s="218">
        <v>11</v>
      </c>
      <c r="K63" s="218">
        <v>8.6</v>
      </c>
      <c r="L63" s="218">
        <v>11</v>
      </c>
      <c r="M63" s="218">
        <v>5.4</v>
      </c>
      <c r="N63" s="218">
        <v>18</v>
      </c>
      <c r="O63" s="218">
        <v>13.4</v>
      </c>
      <c r="P63" s="218">
        <v>0</v>
      </c>
      <c r="Q63" s="218">
        <v>0.1</v>
      </c>
      <c r="R63" s="218">
        <v>3</v>
      </c>
      <c r="S63" s="218">
        <v>2.6</v>
      </c>
      <c r="T63" s="218">
        <v>16</v>
      </c>
      <c r="U63" s="218">
        <v>8.1</v>
      </c>
      <c r="V63" s="218">
        <v>84</v>
      </c>
      <c r="W63" s="218">
        <v>63.6</v>
      </c>
      <c r="X63" s="218">
        <v>3</v>
      </c>
      <c r="Y63" s="218">
        <v>1.5</v>
      </c>
      <c r="Z63" s="218">
        <v>16</v>
      </c>
      <c r="AA63" s="218">
        <v>11.8</v>
      </c>
      <c r="AB63" s="218">
        <v>199</v>
      </c>
      <c r="AC63" s="218" t="s">
        <v>788</v>
      </c>
      <c r="AD63" s="218">
        <v>132</v>
      </c>
      <c r="AE63" s="218" t="s">
        <v>788</v>
      </c>
      <c r="AF63" s="222">
        <v>332</v>
      </c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</row>
    <row r="64" spans="1:62" s="200" customFormat="1" x14ac:dyDescent="0.3">
      <c r="A64" s="305"/>
      <c r="B64" s="323"/>
      <c r="C64" s="218" t="s">
        <v>1014</v>
      </c>
      <c r="D64" s="218">
        <v>53</v>
      </c>
      <c r="E64" s="218">
        <v>70.400000000000006</v>
      </c>
      <c r="F64" s="218">
        <v>0</v>
      </c>
      <c r="G64" s="218">
        <v>0</v>
      </c>
      <c r="H64" s="218">
        <v>1</v>
      </c>
      <c r="I64" s="218">
        <v>1.2</v>
      </c>
      <c r="J64" s="218">
        <v>4</v>
      </c>
      <c r="K64" s="218">
        <v>3.9</v>
      </c>
      <c r="L64" s="218">
        <v>3</v>
      </c>
      <c r="M64" s="218">
        <v>3.3</v>
      </c>
      <c r="N64" s="218">
        <v>12</v>
      </c>
      <c r="O64" s="218">
        <v>10.3</v>
      </c>
      <c r="P64" s="218">
        <v>3</v>
      </c>
      <c r="Q64" s="218">
        <v>4.5</v>
      </c>
      <c r="R64" s="218">
        <v>8</v>
      </c>
      <c r="S64" s="218">
        <v>7.2</v>
      </c>
      <c r="T64" s="218">
        <v>16</v>
      </c>
      <c r="U64" s="218">
        <v>20.5</v>
      </c>
      <c r="V64" s="218">
        <v>82</v>
      </c>
      <c r="W64" s="218">
        <v>71.7</v>
      </c>
      <c r="X64" s="218">
        <v>0</v>
      </c>
      <c r="Y64" s="218">
        <v>0.2</v>
      </c>
      <c r="Z64" s="218">
        <v>8</v>
      </c>
      <c r="AA64" s="218">
        <v>6.9</v>
      </c>
      <c r="AB64" s="218">
        <v>76</v>
      </c>
      <c r="AC64" s="218" t="s">
        <v>788</v>
      </c>
      <c r="AD64" s="218">
        <v>114</v>
      </c>
      <c r="AE64" s="218" t="s">
        <v>788</v>
      </c>
      <c r="AF64" s="222">
        <v>190</v>
      </c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</row>
    <row r="65" spans="1:62" s="200" customFormat="1" x14ac:dyDescent="0.3">
      <c r="A65" s="305"/>
      <c r="B65" s="308"/>
      <c r="C65" s="97" t="s">
        <v>110</v>
      </c>
      <c r="D65" s="98">
        <v>6084</v>
      </c>
      <c r="E65" s="97">
        <v>76.599999999999994</v>
      </c>
      <c r="F65" s="97">
        <v>226</v>
      </c>
      <c r="G65" s="97">
        <v>4</v>
      </c>
      <c r="H65" s="97">
        <v>272</v>
      </c>
      <c r="I65" s="97">
        <v>3.4</v>
      </c>
      <c r="J65" s="97">
        <v>550</v>
      </c>
      <c r="K65" s="97">
        <v>9.8000000000000007</v>
      </c>
      <c r="L65" s="97">
        <v>450</v>
      </c>
      <c r="M65" s="97">
        <v>5.7</v>
      </c>
      <c r="N65" s="97">
        <v>342</v>
      </c>
      <c r="O65" s="97">
        <v>6.1</v>
      </c>
      <c r="P65" s="97">
        <v>129</v>
      </c>
      <c r="Q65" s="97">
        <v>1.6</v>
      </c>
      <c r="R65" s="97">
        <v>398</v>
      </c>
      <c r="S65" s="97">
        <v>7.1</v>
      </c>
      <c r="T65" s="98">
        <v>644</v>
      </c>
      <c r="U65" s="97">
        <v>8.1</v>
      </c>
      <c r="V65" s="98">
        <v>3559</v>
      </c>
      <c r="W65" s="97">
        <v>63.3</v>
      </c>
      <c r="X65" s="97">
        <v>367</v>
      </c>
      <c r="Y65" s="97">
        <v>4.5999999999999996</v>
      </c>
      <c r="Z65" s="97">
        <v>550</v>
      </c>
      <c r="AA65" s="97">
        <v>9.8000000000000007</v>
      </c>
      <c r="AB65" s="98">
        <v>7947</v>
      </c>
      <c r="AC65" s="97" t="s">
        <v>788</v>
      </c>
      <c r="AD65" s="98">
        <v>5626</v>
      </c>
      <c r="AE65" s="97" t="s">
        <v>788</v>
      </c>
      <c r="AF65" s="32">
        <v>13572</v>
      </c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</row>
    <row r="66" spans="1:62" s="200" customFormat="1" x14ac:dyDescent="0.3">
      <c r="A66" s="306"/>
      <c r="B66" s="221" t="s">
        <v>86</v>
      </c>
      <c r="C66" s="219"/>
      <c r="D66" s="98">
        <v>7127</v>
      </c>
      <c r="E66" s="97">
        <v>55.5</v>
      </c>
      <c r="F66" s="97">
        <v>247</v>
      </c>
      <c r="G66" s="97">
        <v>1.7</v>
      </c>
      <c r="H66" s="97">
        <v>702</v>
      </c>
      <c r="I66" s="97">
        <v>5.5</v>
      </c>
      <c r="J66" s="98">
        <v>1143</v>
      </c>
      <c r="K66" s="97">
        <v>8</v>
      </c>
      <c r="L66" s="98">
        <v>1144</v>
      </c>
      <c r="M66" s="97">
        <v>8.9</v>
      </c>
      <c r="N66" s="97">
        <v>951</v>
      </c>
      <c r="O66" s="97">
        <v>6.7</v>
      </c>
      <c r="P66" s="97">
        <v>507</v>
      </c>
      <c r="Q66" s="97">
        <v>4</v>
      </c>
      <c r="R66" s="98">
        <v>1007</v>
      </c>
      <c r="S66" s="97">
        <v>7</v>
      </c>
      <c r="T66" s="98">
        <v>1957</v>
      </c>
      <c r="U66" s="97">
        <v>15.3</v>
      </c>
      <c r="V66" s="98">
        <v>9848</v>
      </c>
      <c r="W66" s="97">
        <v>68.900000000000006</v>
      </c>
      <c r="X66" s="98">
        <v>1394</v>
      </c>
      <c r="Y66" s="97">
        <v>10.9</v>
      </c>
      <c r="Z66" s="98">
        <v>1106</v>
      </c>
      <c r="AA66" s="97">
        <v>7.7</v>
      </c>
      <c r="AB66" s="98">
        <v>12832</v>
      </c>
      <c r="AC66" s="97" t="s">
        <v>788</v>
      </c>
      <c r="AD66" s="98">
        <v>14302</v>
      </c>
      <c r="AE66" s="97" t="s">
        <v>788</v>
      </c>
      <c r="AF66" s="32">
        <v>27134</v>
      </c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</row>
    <row r="67" spans="1:62" s="200" customFormat="1" x14ac:dyDescent="0.3">
      <c r="A67" s="304" t="s">
        <v>369</v>
      </c>
      <c r="B67" s="307" t="s">
        <v>115</v>
      </c>
      <c r="C67" s="95" t="s">
        <v>116</v>
      </c>
      <c r="D67" s="95">
        <v>669</v>
      </c>
      <c r="E67" s="95">
        <v>33.1</v>
      </c>
      <c r="F67" s="95">
        <v>71</v>
      </c>
      <c r="G67" s="95">
        <v>1.9</v>
      </c>
      <c r="H67" s="95">
        <v>238</v>
      </c>
      <c r="I67" s="95">
        <v>11.8</v>
      </c>
      <c r="J67" s="95">
        <v>333</v>
      </c>
      <c r="K67" s="95">
        <v>8.6999999999999993</v>
      </c>
      <c r="L67" s="95">
        <v>121</v>
      </c>
      <c r="M67" s="95">
        <v>6</v>
      </c>
      <c r="N67" s="95">
        <v>200</v>
      </c>
      <c r="O67" s="95">
        <v>5.2</v>
      </c>
      <c r="P67" s="95">
        <v>62</v>
      </c>
      <c r="Q67" s="95">
        <v>3.1</v>
      </c>
      <c r="R67" s="95">
        <v>176</v>
      </c>
      <c r="S67" s="95">
        <v>4.5999999999999996</v>
      </c>
      <c r="T67" s="95">
        <v>675</v>
      </c>
      <c r="U67" s="95">
        <v>33.5</v>
      </c>
      <c r="V67" s="96">
        <v>2649</v>
      </c>
      <c r="W67" s="95">
        <v>69.5</v>
      </c>
      <c r="X67" s="95">
        <v>253</v>
      </c>
      <c r="Y67" s="95">
        <v>12.5</v>
      </c>
      <c r="Z67" s="95">
        <v>383</v>
      </c>
      <c r="AA67" s="95">
        <v>10</v>
      </c>
      <c r="AB67" s="96">
        <v>2018</v>
      </c>
      <c r="AC67" s="95" t="s">
        <v>788</v>
      </c>
      <c r="AD67" s="96">
        <v>3813</v>
      </c>
      <c r="AE67" s="95" t="s">
        <v>788</v>
      </c>
      <c r="AF67" s="30">
        <v>5831</v>
      </c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</row>
    <row r="68" spans="1:62" s="200" customFormat="1" x14ac:dyDescent="0.3">
      <c r="A68" s="305"/>
      <c r="B68" s="323"/>
      <c r="C68" s="95" t="s">
        <v>117</v>
      </c>
      <c r="D68" s="95">
        <v>48</v>
      </c>
      <c r="E68" s="95">
        <v>25.3</v>
      </c>
      <c r="F68" s="95">
        <v>0</v>
      </c>
      <c r="G68" s="95">
        <v>0</v>
      </c>
      <c r="H68" s="95">
        <v>33</v>
      </c>
      <c r="I68" s="95">
        <v>17.600000000000001</v>
      </c>
      <c r="J68" s="95">
        <v>25</v>
      </c>
      <c r="K68" s="95">
        <v>5.8</v>
      </c>
      <c r="L68" s="95">
        <v>7</v>
      </c>
      <c r="M68" s="95">
        <v>3.9</v>
      </c>
      <c r="N68" s="95">
        <v>7</v>
      </c>
      <c r="O68" s="95">
        <v>1.6</v>
      </c>
      <c r="P68" s="95">
        <v>14</v>
      </c>
      <c r="Q68" s="95">
        <v>7.3</v>
      </c>
      <c r="R68" s="95">
        <v>47</v>
      </c>
      <c r="S68" s="95">
        <v>10.9</v>
      </c>
      <c r="T68" s="95">
        <v>57</v>
      </c>
      <c r="U68" s="95">
        <v>30.4</v>
      </c>
      <c r="V68" s="95">
        <v>336</v>
      </c>
      <c r="W68" s="95">
        <v>77</v>
      </c>
      <c r="X68" s="95">
        <v>29</v>
      </c>
      <c r="Y68" s="95">
        <v>15.5</v>
      </c>
      <c r="Z68" s="95">
        <v>21</v>
      </c>
      <c r="AA68" s="95">
        <v>4.8</v>
      </c>
      <c r="AB68" s="95">
        <v>189</v>
      </c>
      <c r="AC68" s="95" t="s">
        <v>788</v>
      </c>
      <c r="AD68" s="95">
        <v>436</v>
      </c>
      <c r="AE68" s="95" t="s">
        <v>788</v>
      </c>
      <c r="AF68" s="220">
        <v>625</v>
      </c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</row>
    <row r="69" spans="1:62" s="200" customFormat="1" x14ac:dyDescent="0.3">
      <c r="A69" s="305"/>
      <c r="B69" s="323"/>
      <c r="C69" s="95" t="s">
        <v>118</v>
      </c>
      <c r="D69" s="95">
        <v>351</v>
      </c>
      <c r="E69" s="95">
        <v>25.6</v>
      </c>
      <c r="F69" s="95">
        <v>29</v>
      </c>
      <c r="G69" s="95">
        <v>0.7</v>
      </c>
      <c r="H69" s="95">
        <v>109</v>
      </c>
      <c r="I69" s="95">
        <v>8</v>
      </c>
      <c r="J69" s="95">
        <v>221</v>
      </c>
      <c r="K69" s="95">
        <v>5.5</v>
      </c>
      <c r="L69" s="95">
        <v>83</v>
      </c>
      <c r="M69" s="95">
        <v>6.1</v>
      </c>
      <c r="N69" s="95">
        <v>155</v>
      </c>
      <c r="O69" s="95">
        <v>3.9</v>
      </c>
      <c r="P69" s="95">
        <v>149</v>
      </c>
      <c r="Q69" s="95">
        <v>10.9</v>
      </c>
      <c r="R69" s="95">
        <v>339</v>
      </c>
      <c r="S69" s="95">
        <v>8.5</v>
      </c>
      <c r="T69" s="95">
        <v>580</v>
      </c>
      <c r="U69" s="95">
        <v>42.4</v>
      </c>
      <c r="V69" s="96">
        <v>3061</v>
      </c>
      <c r="W69" s="95">
        <v>76.3</v>
      </c>
      <c r="X69" s="95">
        <v>97</v>
      </c>
      <c r="Y69" s="95">
        <v>7.1</v>
      </c>
      <c r="Z69" s="95">
        <v>205</v>
      </c>
      <c r="AA69" s="95">
        <v>5.0999999999999996</v>
      </c>
      <c r="AB69" s="96">
        <v>1369</v>
      </c>
      <c r="AC69" s="95" t="s">
        <v>788</v>
      </c>
      <c r="AD69" s="96">
        <v>4010</v>
      </c>
      <c r="AE69" s="95" t="s">
        <v>788</v>
      </c>
      <c r="AF69" s="30">
        <v>5378</v>
      </c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</row>
    <row r="70" spans="1:62" s="200" customFormat="1" x14ac:dyDescent="0.3">
      <c r="A70" s="305"/>
      <c r="B70" s="308"/>
      <c r="C70" s="97" t="s">
        <v>110</v>
      </c>
      <c r="D70" s="97">
        <v>1068</v>
      </c>
      <c r="E70" s="97">
        <v>29.9</v>
      </c>
      <c r="F70" s="97">
        <v>100</v>
      </c>
      <c r="G70" s="97">
        <v>1.2</v>
      </c>
      <c r="H70" s="97">
        <v>380</v>
      </c>
      <c r="I70" s="97">
        <v>10.6</v>
      </c>
      <c r="J70" s="97">
        <v>579</v>
      </c>
      <c r="K70" s="97">
        <v>7</v>
      </c>
      <c r="L70" s="97">
        <v>211</v>
      </c>
      <c r="M70" s="97">
        <v>5.9</v>
      </c>
      <c r="N70" s="97">
        <v>362</v>
      </c>
      <c r="O70" s="97">
        <v>4.4000000000000004</v>
      </c>
      <c r="P70" s="97">
        <v>225</v>
      </c>
      <c r="Q70" s="97">
        <v>6.3</v>
      </c>
      <c r="R70" s="97">
        <v>562</v>
      </c>
      <c r="S70" s="97">
        <v>6.8</v>
      </c>
      <c r="T70" s="98">
        <v>1313</v>
      </c>
      <c r="U70" s="97">
        <v>36.700000000000003</v>
      </c>
      <c r="V70" s="98">
        <v>6046</v>
      </c>
      <c r="W70" s="97">
        <v>73.2</v>
      </c>
      <c r="X70" s="97">
        <v>379</v>
      </c>
      <c r="Y70" s="97">
        <v>10.6</v>
      </c>
      <c r="Z70" s="97">
        <v>609</v>
      </c>
      <c r="AA70" s="97">
        <v>7.4</v>
      </c>
      <c r="AB70" s="98">
        <v>3576</v>
      </c>
      <c r="AC70" s="97" t="s">
        <v>788</v>
      </c>
      <c r="AD70" s="98">
        <v>8259</v>
      </c>
      <c r="AE70" s="97" t="s">
        <v>788</v>
      </c>
      <c r="AF70" s="32">
        <v>11835</v>
      </c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</row>
    <row r="71" spans="1:62" s="200" customFormat="1" x14ac:dyDescent="0.3">
      <c r="A71" s="305"/>
      <c r="B71" s="95" t="s">
        <v>833</v>
      </c>
      <c r="C71" s="97" t="s">
        <v>120</v>
      </c>
      <c r="D71" s="97">
        <v>784</v>
      </c>
      <c r="E71" s="97">
        <v>52.2</v>
      </c>
      <c r="F71" s="97">
        <v>1</v>
      </c>
      <c r="G71" s="97">
        <v>0.1</v>
      </c>
      <c r="H71" s="97">
        <v>12</v>
      </c>
      <c r="I71" s="97">
        <v>0.8</v>
      </c>
      <c r="J71" s="97">
        <v>83</v>
      </c>
      <c r="K71" s="97">
        <v>4.5999999999999996</v>
      </c>
      <c r="L71" s="97">
        <v>104</v>
      </c>
      <c r="M71" s="97">
        <v>7</v>
      </c>
      <c r="N71" s="97">
        <v>182</v>
      </c>
      <c r="O71" s="97">
        <v>10</v>
      </c>
      <c r="P71" s="97">
        <v>24</v>
      </c>
      <c r="Q71" s="97">
        <v>1.6</v>
      </c>
      <c r="R71" s="97">
        <v>76</v>
      </c>
      <c r="S71" s="97">
        <v>4.2</v>
      </c>
      <c r="T71" s="97">
        <v>259</v>
      </c>
      <c r="U71" s="97">
        <v>17.3</v>
      </c>
      <c r="V71" s="98">
        <v>1272</v>
      </c>
      <c r="W71" s="97">
        <v>70.099999999999994</v>
      </c>
      <c r="X71" s="97">
        <v>317</v>
      </c>
      <c r="Y71" s="97">
        <v>21.1</v>
      </c>
      <c r="Z71" s="97">
        <v>202</v>
      </c>
      <c r="AA71" s="97">
        <v>11.1</v>
      </c>
      <c r="AB71" s="98">
        <v>1500</v>
      </c>
      <c r="AC71" s="97" t="s">
        <v>788</v>
      </c>
      <c r="AD71" s="98">
        <v>1816</v>
      </c>
      <c r="AE71" s="97" t="s">
        <v>788</v>
      </c>
      <c r="AF71" s="32">
        <v>3316</v>
      </c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</row>
    <row r="72" spans="1:62" s="200" customFormat="1" ht="16.5" customHeight="1" x14ac:dyDescent="0.3">
      <c r="A72" s="305"/>
      <c r="B72" s="307" t="s">
        <v>1012</v>
      </c>
      <c r="C72" s="95" t="s">
        <v>121</v>
      </c>
      <c r="D72" s="95">
        <v>511</v>
      </c>
      <c r="E72" s="95">
        <v>68</v>
      </c>
      <c r="F72" s="95">
        <v>184</v>
      </c>
      <c r="G72" s="95">
        <v>18.100000000000001</v>
      </c>
      <c r="H72" s="95">
        <v>59</v>
      </c>
      <c r="I72" s="95">
        <v>7.9</v>
      </c>
      <c r="J72" s="95">
        <v>94</v>
      </c>
      <c r="K72" s="95">
        <v>9.1999999999999993</v>
      </c>
      <c r="L72" s="95">
        <v>30</v>
      </c>
      <c r="M72" s="95">
        <v>4</v>
      </c>
      <c r="N72" s="95">
        <v>28</v>
      </c>
      <c r="O72" s="95">
        <v>2.7</v>
      </c>
      <c r="P72" s="95">
        <v>9</v>
      </c>
      <c r="Q72" s="95">
        <v>1.2</v>
      </c>
      <c r="R72" s="95">
        <v>25</v>
      </c>
      <c r="S72" s="95">
        <v>2.5</v>
      </c>
      <c r="T72" s="95">
        <v>100</v>
      </c>
      <c r="U72" s="95">
        <v>13.3</v>
      </c>
      <c r="V72" s="95">
        <v>576</v>
      </c>
      <c r="W72" s="95">
        <v>56.9</v>
      </c>
      <c r="X72" s="95">
        <v>42</v>
      </c>
      <c r="Y72" s="95">
        <v>5.5</v>
      </c>
      <c r="Z72" s="95">
        <v>107</v>
      </c>
      <c r="AA72" s="95">
        <v>10.5</v>
      </c>
      <c r="AB72" s="95">
        <v>751</v>
      </c>
      <c r="AC72" s="95" t="s">
        <v>788</v>
      </c>
      <c r="AD72" s="95">
        <v>1013</v>
      </c>
      <c r="AE72" s="95" t="s">
        <v>788</v>
      </c>
      <c r="AF72" s="30">
        <v>1764</v>
      </c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</row>
    <row r="73" spans="1:62" s="200" customFormat="1" x14ac:dyDescent="0.3">
      <c r="A73" s="305"/>
      <c r="B73" s="323"/>
      <c r="C73" s="95" t="s">
        <v>122</v>
      </c>
      <c r="D73" s="95">
        <v>315</v>
      </c>
      <c r="E73" s="95">
        <v>75.900000000000006</v>
      </c>
      <c r="F73" s="95">
        <v>47</v>
      </c>
      <c r="G73" s="95">
        <v>8.4</v>
      </c>
      <c r="H73" s="95">
        <v>10</v>
      </c>
      <c r="I73" s="95">
        <v>2.5</v>
      </c>
      <c r="J73" s="95">
        <v>28</v>
      </c>
      <c r="K73" s="95">
        <v>5.0999999999999996</v>
      </c>
      <c r="L73" s="95">
        <v>3</v>
      </c>
      <c r="M73" s="95">
        <v>0.7</v>
      </c>
      <c r="N73" s="95">
        <v>8</v>
      </c>
      <c r="O73" s="95">
        <v>1.3</v>
      </c>
      <c r="P73" s="95">
        <v>12</v>
      </c>
      <c r="Q73" s="95">
        <v>3</v>
      </c>
      <c r="R73" s="95">
        <v>46</v>
      </c>
      <c r="S73" s="95">
        <v>8.1</v>
      </c>
      <c r="T73" s="95">
        <v>61</v>
      </c>
      <c r="U73" s="95">
        <v>14.7</v>
      </c>
      <c r="V73" s="95">
        <v>366</v>
      </c>
      <c r="W73" s="95">
        <v>65.400000000000006</v>
      </c>
      <c r="X73" s="95">
        <v>14</v>
      </c>
      <c r="Y73" s="95">
        <v>3.3</v>
      </c>
      <c r="Z73" s="95">
        <v>65</v>
      </c>
      <c r="AA73" s="95">
        <v>11.7</v>
      </c>
      <c r="AB73" s="95">
        <v>415</v>
      </c>
      <c r="AC73" s="95" t="s">
        <v>788</v>
      </c>
      <c r="AD73" s="95">
        <v>560</v>
      </c>
      <c r="AE73" s="95" t="s">
        <v>788</v>
      </c>
      <c r="AF73" s="30">
        <v>975</v>
      </c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</row>
    <row r="74" spans="1:62" s="200" customFormat="1" x14ac:dyDescent="0.3">
      <c r="A74" s="305"/>
      <c r="B74" s="323"/>
      <c r="C74" s="95" t="s">
        <v>123</v>
      </c>
      <c r="D74" s="95">
        <v>239</v>
      </c>
      <c r="E74" s="95">
        <v>73.2</v>
      </c>
      <c r="F74" s="95">
        <v>0</v>
      </c>
      <c r="G74" s="95">
        <v>0</v>
      </c>
      <c r="H74" s="95">
        <v>21</v>
      </c>
      <c r="I74" s="95">
        <v>6.3</v>
      </c>
      <c r="J74" s="95">
        <v>56</v>
      </c>
      <c r="K74" s="95">
        <v>16.5</v>
      </c>
      <c r="L74" s="95">
        <v>3</v>
      </c>
      <c r="M74" s="95">
        <v>0.9</v>
      </c>
      <c r="N74" s="95">
        <v>5</v>
      </c>
      <c r="O74" s="95">
        <v>1.5</v>
      </c>
      <c r="P74" s="95">
        <v>1</v>
      </c>
      <c r="Q74" s="95">
        <v>0.5</v>
      </c>
      <c r="R74" s="95">
        <v>10</v>
      </c>
      <c r="S74" s="95">
        <v>3.1</v>
      </c>
      <c r="T74" s="95">
        <v>47</v>
      </c>
      <c r="U74" s="95">
        <v>14.6</v>
      </c>
      <c r="V74" s="95">
        <v>253</v>
      </c>
      <c r="W74" s="95">
        <v>74.900000000000006</v>
      </c>
      <c r="X74" s="95">
        <v>15</v>
      </c>
      <c r="Y74" s="95">
        <v>4.5999999999999996</v>
      </c>
      <c r="Z74" s="95">
        <v>14</v>
      </c>
      <c r="AA74" s="95">
        <v>4</v>
      </c>
      <c r="AB74" s="95">
        <v>326</v>
      </c>
      <c r="AC74" s="95" t="s">
        <v>788</v>
      </c>
      <c r="AD74" s="95">
        <v>337</v>
      </c>
      <c r="AE74" s="95" t="s">
        <v>788</v>
      </c>
      <c r="AF74" s="30">
        <v>663</v>
      </c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</row>
    <row r="75" spans="1:62" s="200" customFormat="1" x14ac:dyDescent="0.3">
      <c r="A75" s="305"/>
      <c r="B75" s="323"/>
      <c r="C75" s="95" t="s">
        <v>124</v>
      </c>
      <c r="D75" s="95">
        <v>116</v>
      </c>
      <c r="E75" s="95">
        <v>57.5</v>
      </c>
      <c r="F75" s="95">
        <v>1</v>
      </c>
      <c r="G75" s="95">
        <v>0.2</v>
      </c>
      <c r="H75" s="95">
        <v>29</v>
      </c>
      <c r="I75" s="95">
        <v>14.4</v>
      </c>
      <c r="J75" s="95">
        <v>16</v>
      </c>
      <c r="K75" s="95">
        <v>7</v>
      </c>
      <c r="L75" s="95">
        <v>18</v>
      </c>
      <c r="M75" s="95">
        <v>9</v>
      </c>
      <c r="N75" s="95">
        <v>12</v>
      </c>
      <c r="O75" s="95">
        <v>5.0999999999999996</v>
      </c>
      <c r="P75" s="95">
        <v>7</v>
      </c>
      <c r="Q75" s="95">
        <v>3.6</v>
      </c>
      <c r="R75" s="95">
        <v>27</v>
      </c>
      <c r="S75" s="95">
        <v>11.6</v>
      </c>
      <c r="T75" s="95">
        <v>25</v>
      </c>
      <c r="U75" s="95">
        <v>12.4</v>
      </c>
      <c r="V75" s="95">
        <v>171</v>
      </c>
      <c r="W75" s="95">
        <v>72.8</v>
      </c>
      <c r="X75" s="95">
        <v>6</v>
      </c>
      <c r="Y75" s="95">
        <v>3</v>
      </c>
      <c r="Z75" s="95">
        <v>8</v>
      </c>
      <c r="AA75" s="95">
        <v>3.2</v>
      </c>
      <c r="AB75" s="95">
        <v>201</v>
      </c>
      <c r="AC75" s="95" t="s">
        <v>788</v>
      </c>
      <c r="AD75" s="95">
        <v>235</v>
      </c>
      <c r="AE75" s="95" t="s">
        <v>788</v>
      </c>
      <c r="AF75" s="220">
        <v>437</v>
      </c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</row>
    <row r="76" spans="1:62" s="200" customFormat="1" x14ac:dyDescent="0.3">
      <c r="A76" s="305"/>
      <c r="B76" s="323"/>
      <c r="C76" s="95" t="s">
        <v>125</v>
      </c>
      <c r="D76" s="95">
        <v>531</v>
      </c>
      <c r="E76" s="95">
        <v>92.1</v>
      </c>
      <c r="F76" s="95">
        <v>2</v>
      </c>
      <c r="G76" s="95">
        <v>0.6</v>
      </c>
      <c r="H76" s="95">
        <v>8</v>
      </c>
      <c r="I76" s="95">
        <v>1.4</v>
      </c>
      <c r="J76" s="95">
        <v>37</v>
      </c>
      <c r="K76" s="95">
        <v>12.8</v>
      </c>
      <c r="L76" s="95">
        <v>1</v>
      </c>
      <c r="M76" s="95">
        <v>0.1</v>
      </c>
      <c r="N76" s="95">
        <v>1</v>
      </c>
      <c r="O76" s="95">
        <v>0.5</v>
      </c>
      <c r="P76" s="95">
        <v>3</v>
      </c>
      <c r="Q76" s="95">
        <v>0.6</v>
      </c>
      <c r="R76" s="95">
        <v>9</v>
      </c>
      <c r="S76" s="95">
        <v>3.3</v>
      </c>
      <c r="T76" s="95">
        <v>30</v>
      </c>
      <c r="U76" s="95">
        <v>5.2</v>
      </c>
      <c r="V76" s="95">
        <v>217</v>
      </c>
      <c r="W76" s="95">
        <v>75.3</v>
      </c>
      <c r="X76" s="95">
        <v>3</v>
      </c>
      <c r="Y76" s="95">
        <v>0.6</v>
      </c>
      <c r="Z76" s="95">
        <v>22</v>
      </c>
      <c r="AA76" s="95">
        <v>7.5</v>
      </c>
      <c r="AB76" s="95">
        <v>577</v>
      </c>
      <c r="AC76" s="95" t="s">
        <v>788</v>
      </c>
      <c r="AD76" s="95">
        <v>287</v>
      </c>
      <c r="AE76" s="95" t="s">
        <v>788</v>
      </c>
      <c r="AF76" s="220">
        <v>864</v>
      </c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</row>
    <row r="77" spans="1:62" s="200" customFormat="1" x14ac:dyDescent="0.3">
      <c r="A77" s="305"/>
      <c r="B77" s="323"/>
      <c r="C77" s="95" t="s">
        <v>126</v>
      </c>
      <c r="D77" s="95">
        <v>292</v>
      </c>
      <c r="E77" s="95">
        <v>72.5</v>
      </c>
      <c r="F77" s="95">
        <v>8</v>
      </c>
      <c r="G77" s="95">
        <v>1.8</v>
      </c>
      <c r="H77" s="95">
        <v>13</v>
      </c>
      <c r="I77" s="95">
        <v>3.3</v>
      </c>
      <c r="J77" s="95">
        <v>40</v>
      </c>
      <c r="K77" s="95">
        <v>9.3000000000000007</v>
      </c>
      <c r="L77" s="95">
        <v>5</v>
      </c>
      <c r="M77" s="95">
        <v>1.3</v>
      </c>
      <c r="N77" s="95">
        <v>7</v>
      </c>
      <c r="O77" s="95">
        <v>1.7</v>
      </c>
      <c r="P77" s="95">
        <v>18</v>
      </c>
      <c r="Q77" s="95">
        <v>4.5</v>
      </c>
      <c r="R77" s="95">
        <v>63</v>
      </c>
      <c r="S77" s="95">
        <v>14.4</v>
      </c>
      <c r="T77" s="95">
        <v>45</v>
      </c>
      <c r="U77" s="95">
        <v>11.2</v>
      </c>
      <c r="V77" s="95">
        <v>279</v>
      </c>
      <c r="W77" s="95">
        <v>64.2</v>
      </c>
      <c r="X77" s="95">
        <v>29</v>
      </c>
      <c r="Y77" s="95">
        <v>7.2</v>
      </c>
      <c r="Z77" s="95">
        <v>37</v>
      </c>
      <c r="AA77" s="95">
        <v>8.5</v>
      </c>
      <c r="AB77" s="95">
        <v>403</v>
      </c>
      <c r="AC77" s="95" t="s">
        <v>788</v>
      </c>
      <c r="AD77" s="95">
        <v>434</v>
      </c>
      <c r="AE77" s="95" t="s">
        <v>788</v>
      </c>
      <c r="AF77" s="220">
        <v>837</v>
      </c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</row>
    <row r="78" spans="1:62" s="200" customFormat="1" x14ac:dyDescent="0.3">
      <c r="A78" s="305"/>
      <c r="B78" s="323"/>
      <c r="C78" s="95" t="s">
        <v>127</v>
      </c>
      <c r="D78" s="95">
        <v>1070</v>
      </c>
      <c r="E78" s="95">
        <v>86.7</v>
      </c>
      <c r="F78" s="95">
        <v>23</v>
      </c>
      <c r="G78" s="95">
        <v>3.6</v>
      </c>
      <c r="H78" s="95">
        <v>22</v>
      </c>
      <c r="I78" s="95">
        <v>1.8</v>
      </c>
      <c r="J78" s="95">
        <v>74</v>
      </c>
      <c r="K78" s="95">
        <v>11.3</v>
      </c>
      <c r="L78" s="95">
        <v>16</v>
      </c>
      <c r="M78" s="95">
        <v>1.3</v>
      </c>
      <c r="N78" s="95">
        <v>20</v>
      </c>
      <c r="O78" s="95">
        <v>3</v>
      </c>
      <c r="P78" s="95">
        <v>16</v>
      </c>
      <c r="Q78" s="95">
        <v>1.3</v>
      </c>
      <c r="R78" s="95">
        <v>64</v>
      </c>
      <c r="S78" s="95">
        <v>9.8000000000000007</v>
      </c>
      <c r="T78" s="95">
        <v>72</v>
      </c>
      <c r="U78" s="95">
        <v>5.9</v>
      </c>
      <c r="V78" s="95">
        <v>400</v>
      </c>
      <c r="W78" s="95">
        <v>61.3</v>
      </c>
      <c r="X78" s="95">
        <v>38</v>
      </c>
      <c r="Y78" s="95">
        <v>3.1</v>
      </c>
      <c r="Z78" s="95">
        <v>72</v>
      </c>
      <c r="AA78" s="95">
        <v>11</v>
      </c>
      <c r="AB78" s="96">
        <v>1234</v>
      </c>
      <c r="AC78" s="95" t="s">
        <v>788</v>
      </c>
      <c r="AD78" s="95">
        <v>653</v>
      </c>
      <c r="AE78" s="95" t="s">
        <v>788</v>
      </c>
      <c r="AF78" s="30">
        <v>1887</v>
      </c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</row>
    <row r="79" spans="1:62" s="200" customFormat="1" x14ac:dyDescent="0.3">
      <c r="A79" s="305"/>
      <c r="B79" s="323"/>
      <c r="C79" s="95" t="s">
        <v>128</v>
      </c>
      <c r="D79" s="95">
        <v>493</v>
      </c>
      <c r="E79" s="95">
        <v>78.8</v>
      </c>
      <c r="F79" s="95">
        <v>3</v>
      </c>
      <c r="G79" s="95">
        <v>0.7</v>
      </c>
      <c r="H79" s="95">
        <v>22</v>
      </c>
      <c r="I79" s="95">
        <v>3.6</v>
      </c>
      <c r="J79" s="95">
        <v>39</v>
      </c>
      <c r="K79" s="95">
        <v>10.199999999999999</v>
      </c>
      <c r="L79" s="95">
        <v>5</v>
      </c>
      <c r="M79" s="95">
        <v>0.8</v>
      </c>
      <c r="N79" s="95">
        <v>16</v>
      </c>
      <c r="O79" s="95">
        <v>4.2</v>
      </c>
      <c r="P79" s="95">
        <v>7</v>
      </c>
      <c r="Q79" s="95">
        <v>1.2</v>
      </c>
      <c r="R79" s="95">
        <v>25</v>
      </c>
      <c r="S79" s="95">
        <v>6.7</v>
      </c>
      <c r="T79" s="95">
        <v>54</v>
      </c>
      <c r="U79" s="95">
        <v>8.6</v>
      </c>
      <c r="V79" s="95">
        <v>275</v>
      </c>
      <c r="W79" s="95">
        <v>73</v>
      </c>
      <c r="X79" s="95">
        <v>44</v>
      </c>
      <c r="Y79" s="95">
        <v>7</v>
      </c>
      <c r="Z79" s="95">
        <v>20</v>
      </c>
      <c r="AA79" s="95">
        <v>5.3</v>
      </c>
      <c r="AB79" s="95">
        <v>626</v>
      </c>
      <c r="AC79" s="95" t="s">
        <v>788</v>
      </c>
      <c r="AD79" s="95">
        <v>377</v>
      </c>
      <c r="AE79" s="95" t="s">
        <v>788</v>
      </c>
      <c r="AF79" s="220">
        <v>1003</v>
      </c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</row>
    <row r="80" spans="1:62" s="200" customFormat="1" x14ac:dyDescent="0.3">
      <c r="A80" s="305"/>
      <c r="B80" s="323"/>
      <c r="C80" s="95" t="s">
        <v>129</v>
      </c>
      <c r="D80" s="95">
        <v>349</v>
      </c>
      <c r="E80" s="95">
        <v>64.5</v>
      </c>
      <c r="F80" s="95">
        <v>0</v>
      </c>
      <c r="G80" s="95">
        <v>0</v>
      </c>
      <c r="H80" s="95">
        <v>12</v>
      </c>
      <c r="I80" s="95">
        <v>2.2000000000000002</v>
      </c>
      <c r="J80" s="95">
        <v>61</v>
      </c>
      <c r="K80" s="95">
        <v>13.1</v>
      </c>
      <c r="L80" s="95">
        <v>89</v>
      </c>
      <c r="M80" s="95">
        <v>16.399999999999999</v>
      </c>
      <c r="N80" s="95">
        <v>65</v>
      </c>
      <c r="O80" s="95">
        <v>14.1</v>
      </c>
      <c r="P80" s="95">
        <v>5</v>
      </c>
      <c r="Q80" s="95">
        <v>0.9</v>
      </c>
      <c r="R80" s="95">
        <v>16</v>
      </c>
      <c r="S80" s="95">
        <v>3.5</v>
      </c>
      <c r="T80" s="95">
        <v>55</v>
      </c>
      <c r="U80" s="95">
        <v>10.199999999999999</v>
      </c>
      <c r="V80" s="95">
        <v>264</v>
      </c>
      <c r="W80" s="95">
        <v>57</v>
      </c>
      <c r="X80" s="95">
        <v>32</v>
      </c>
      <c r="Y80" s="95">
        <v>5.8</v>
      </c>
      <c r="Z80" s="95">
        <v>57</v>
      </c>
      <c r="AA80" s="95">
        <v>12.3</v>
      </c>
      <c r="AB80" s="95">
        <v>541</v>
      </c>
      <c r="AC80" s="95" t="s">
        <v>788</v>
      </c>
      <c r="AD80" s="95">
        <v>463</v>
      </c>
      <c r="AE80" s="95" t="s">
        <v>788</v>
      </c>
      <c r="AF80" s="30">
        <v>1004</v>
      </c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</row>
    <row r="81" spans="1:62" s="200" customFormat="1" x14ac:dyDescent="0.3">
      <c r="A81" s="305"/>
      <c r="B81" s="323"/>
      <c r="C81" s="95" t="s">
        <v>130</v>
      </c>
      <c r="D81" s="95">
        <v>593</v>
      </c>
      <c r="E81" s="95">
        <v>69.099999999999994</v>
      </c>
      <c r="F81" s="95">
        <v>3</v>
      </c>
      <c r="G81" s="95">
        <v>0.4</v>
      </c>
      <c r="H81" s="95">
        <v>55</v>
      </c>
      <c r="I81" s="95">
        <v>6.4</v>
      </c>
      <c r="J81" s="95">
        <v>49</v>
      </c>
      <c r="K81" s="95">
        <v>7.2</v>
      </c>
      <c r="L81" s="95">
        <v>107</v>
      </c>
      <c r="M81" s="95">
        <v>12.5</v>
      </c>
      <c r="N81" s="95">
        <v>96</v>
      </c>
      <c r="O81" s="95">
        <v>14.2</v>
      </c>
      <c r="P81" s="95">
        <v>23</v>
      </c>
      <c r="Q81" s="95">
        <v>2.6</v>
      </c>
      <c r="R81" s="95">
        <v>73</v>
      </c>
      <c r="S81" s="95">
        <v>10.8</v>
      </c>
      <c r="T81" s="95">
        <v>72</v>
      </c>
      <c r="U81" s="95">
        <v>8.4</v>
      </c>
      <c r="V81" s="95">
        <v>430</v>
      </c>
      <c r="W81" s="95">
        <v>63.2</v>
      </c>
      <c r="X81" s="95">
        <v>8</v>
      </c>
      <c r="Y81" s="95">
        <v>0.9</v>
      </c>
      <c r="Z81" s="95">
        <v>29</v>
      </c>
      <c r="AA81" s="95">
        <v>4.2</v>
      </c>
      <c r="AB81" s="95">
        <v>857</v>
      </c>
      <c r="AC81" s="95" t="s">
        <v>788</v>
      </c>
      <c r="AD81" s="95">
        <v>680</v>
      </c>
      <c r="AE81" s="95" t="s">
        <v>788</v>
      </c>
      <c r="AF81" s="30">
        <v>1538</v>
      </c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</row>
    <row r="82" spans="1:62" s="200" customFormat="1" x14ac:dyDescent="0.3">
      <c r="A82" s="305"/>
      <c r="B82" s="323"/>
      <c r="C82" s="95" t="s">
        <v>131</v>
      </c>
      <c r="D82" s="95">
        <v>777</v>
      </c>
      <c r="E82" s="95">
        <v>66.3</v>
      </c>
      <c r="F82" s="95">
        <v>22</v>
      </c>
      <c r="G82" s="95">
        <v>1.8</v>
      </c>
      <c r="H82" s="95">
        <v>9</v>
      </c>
      <c r="I82" s="95">
        <v>0.8</v>
      </c>
      <c r="J82" s="95">
        <v>52</v>
      </c>
      <c r="K82" s="95">
        <v>4.3</v>
      </c>
      <c r="L82" s="95">
        <v>120</v>
      </c>
      <c r="M82" s="95">
        <v>10.199999999999999</v>
      </c>
      <c r="N82" s="95">
        <v>117</v>
      </c>
      <c r="O82" s="95">
        <v>9.6999999999999993</v>
      </c>
      <c r="P82" s="95">
        <v>47</v>
      </c>
      <c r="Q82" s="95">
        <v>4</v>
      </c>
      <c r="R82" s="95">
        <v>173</v>
      </c>
      <c r="S82" s="95">
        <v>14.4</v>
      </c>
      <c r="T82" s="95">
        <v>130</v>
      </c>
      <c r="U82" s="95">
        <v>11.1</v>
      </c>
      <c r="V82" s="95">
        <v>649</v>
      </c>
      <c r="W82" s="95">
        <v>53.9</v>
      </c>
      <c r="X82" s="95">
        <v>89</v>
      </c>
      <c r="Y82" s="95">
        <v>7.6</v>
      </c>
      <c r="Z82" s="95">
        <v>191</v>
      </c>
      <c r="AA82" s="95">
        <v>15.9</v>
      </c>
      <c r="AB82" s="96">
        <v>1172</v>
      </c>
      <c r="AC82" s="95" t="s">
        <v>788</v>
      </c>
      <c r="AD82" s="95">
        <v>1204</v>
      </c>
      <c r="AE82" s="95" t="s">
        <v>788</v>
      </c>
      <c r="AF82" s="30">
        <v>2376</v>
      </c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</row>
    <row r="83" spans="1:62" s="200" customFormat="1" x14ac:dyDescent="0.3">
      <c r="A83" s="305"/>
      <c r="B83" s="323"/>
      <c r="C83" s="218" t="s">
        <v>1013</v>
      </c>
      <c r="D83" s="218">
        <v>135</v>
      </c>
      <c r="E83" s="218">
        <v>80</v>
      </c>
      <c r="F83" s="218">
        <v>0</v>
      </c>
      <c r="G83" s="218">
        <v>0</v>
      </c>
      <c r="H83" s="218">
        <v>4</v>
      </c>
      <c r="I83" s="218">
        <v>2.4</v>
      </c>
      <c r="J83" s="218">
        <v>11</v>
      </c>
      <c r="K83" s="218">
        <v>10.9</v>
      </c>
      <c r="L83" s="218">
        <v>5</v>
      </c>
      <c r="M83" s="218">
        <v>2.7</v>
      </c>
      <c r="N83" s="218">
        <v>6</v>
      </c>
      <c r="O83" s="218">
        <v>6</v>
      </c>
      <c r="P83" s="218">
        <v>0</v>
      </c>
      <c r="Q83" s="218">
        <v>0.1</v>
      </c>
      <c r="R83" s="218">
        <v>1</v>
      </c>
      <c r="S83" s="218">
        <v>0.7</v>
      </c>
      <c r="T83" s="218">
        <v>22</v>
      </c>
      <c r="U83" s="218">
        <v>12.9</v>
      </c>
      <c r="V83" s="218">
        <v>66</v>
      </c>
      <c r="W83" s="218">
        <v>65.599999999999994</v>
      </c>
      <c r="X83" s="218">
        <v>3</v>
      </c>
      <c r="Y83" s="218">
        <v>1.9</v>
      </c>
      <c r="Z83" s="218">
        <v>17</v>
      </c>
      <c r="AA83" s="218">
        <v>16.8</v>
      </c>
      <c r="AB83" s="218">
        <v>169</v>
      </c>
      <c r="AC83" s="218" t="s">
        <v>788</v>
      </c>
      <c r="AD83" s="218">
        <v>101</v>
      </c>
      <c r="AE83" s="218" t="s">
        <v>788</v>
      </c>
      <c r="AF83" s="222">
        <v>270</v>
      </c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</row>
    <row r="84" spans="1:62" s="200" customFormat="1" x14ac:dyDescent="0.3">
      <c r="A84" s="305"/>
      <c r="B84" s="323"/>
      <c r="C84" s="218" t="s">
        <v>1014</v>
      </c>
      <c r="D84" s="218">
        <v>57</v>
      </c>
      <c r="E84" s="218">
        <v>77.2</v>
      </c>
      <c r="F84" s="218">
        <v>0</v>
      </c>
      <c r="G84" s="218">
        <v>0</v>
      </c>
      <c r="H84" s="218">
        <v>1</v>
      </c>
      <c r="I84" s="218">
        <v>1.4</v>
      </c>
      <c r="J84" s="218">
        <v>4</v>
      </c>
      <c r="K84" s="218">
        <v>4.0999999999999996</v>
      </c>
      <c r="L84" s="218">
        <v>0</v>
      </c>
      <c r="M84" s="218">
        <v>0.6</v>
      </c>
      <c r="N84" s="218">
        <v>2</v>
      </c>
      <c r="O84" s="218">
        <v>2.2999999999999998</v>
      </c>
      <c r="P84" s="218">
        <v>4</v>
      </c>
      <c r="Q84" s="218">
        <v>5.9</v>
      </c>
      <c r="R84" s="218">
        <v>10</v>
      </c>
      <c r="S84" s="218">
        <v>10.1</v>
      </c>
      <c r="T84" s="218">
        <v>11</v>
      </c>
      <c r="U84" s="218">
        <v>14.9</v>
      </c>
      <c r="V84" s="218">
        <v>78</v>
      </c>
      <c r="W84" s="218">
        <v>76</v>
      </c>
      <c r="X84" s="218">
        <v>0</v>
      </c>
      <c r="Y84" s="218">
        <v>0.1</v>
      </c>
      <c r="Z84" s="218">
        <v>8</v>
      </c>
      <c r="AA84" s="218">
        <v>7.4</v>
      </c>
      <c r="AB84" s="218">
        <v>74</v>
      </c>
      <c r="AC84" s="218" t="s">
        <v>788</v>
      </c>
      <c r="AD84" s="218">
        <v>102</v>
      </c>
      <c r="AE84" s="218" t="s">
        <v>788</v>
      </c>
      <c r="AF84" s="222">
        <v>176</v>
      </c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</row>
    <row r="85" spans="1:62" s="200" customFormat="1" x14ac:dyDescent="0.3">
      <c r="A85" s="305"/>
      <c r="B85" s="308"/>
      <c r="C85" s="97" t="s">
        <v>110</v>
      </c>
      <c r="D85" s="98">
        <v>5477</v>
      </c>
      <c r="E85" s="97">
        <v>74.599999999999994</v>
      </c>
      <c r="F85" s="97">
        <v>291</v>
      </c>
      <c r="G85" s="97">
        <v>4.5</v>
      </c>
      <c r="H85" s="97">
        <v>266</v>
      </c>
      <c r="I85" s="97">
        <v>3.6</v>
      </c>
      <c r="J85" s="97">
        <v>561</v>
      </c>
      <c r="K85" s="97">
        <v>8.6999999999999993</v>
      </c>
      <c r="L85" s="97">
        <v>402</v>
      </c>
      <c r="M85" s="97">
        <v>5.5</v>
      </c>
      <c r="N85" s="97">
        <v>384</v>
      </c>
      <c r="O85" s="97">
        <v>6</v>
      </c>
      <c r="P85" s="97">
        <v>154</v>
      </c>
      <c r="Q85" s="97">
        <v>2.1</v>
      </c>
      <c r="R85" s="97">
        <v>543</v>
      </c>
      <c r="S85" s="97">
        <v>8.4</v>
      </c>
      <c r="T85" s="97">
        <v>724</v>
      </c>
      <c r="U85" s="97">
        <v>9.9</v>
      </c>
      <c r="V85" s="98">
        <v>4023</v>
      </c>
      <c r="W85" s="97">
        <v>62.4</v>
      </c>
      <c r="X85" s="97">
        <v>323</v>
      </c>
      <c r="Y85" s="97">
        <v>4.4000000000000004</v>
      </c>
      <c r="Z85" s="97">
        <v>645</v>
      </c>
      <c r="AA85" s="97">
        <v>10</v>
      </c>
      <c r="AB85" s="98">
        <v>7347</v>
      </c>
      <c r="AC85" s="97" t="s">
        <v>788</v>
      </c>
      <c r="AD85" s="98">
        <v>6446</v>
      </c>
      <c r="AE85" s="97" t="s">
        <v>788</v>
      </c>
      <c r="AF85" s="32">
        <v>13793</v>
      </c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</row>
    <row r="86" spans="1:62" s="200" customFormat="1" x14ac:dyDescent="0.3">
      <c r="A86" s="306"/>
      <c r="B86" s="339" t="s">
        <v>86</v>
      </c>
      <c r="C86" s="322"/>
      <c r="D86" s="98">
        <v>7329</v>
      </c>
      <c r="E86" s="97">
        <v>59</v>
      </c>
      <c r="F86" s="97">
        <v>393</v>
      </c>
      <c r="G86" s="97">
        <v>2.4</v>
      </c>
      <c r="H86" s="97">
        <v>659</v>
      </c>
      <c r="I86" s="97">
        <v>5.3</v>
      </c>
      <c r="J86" s="98">
        <v>1222</v>
      </c>
      <c r="K86" s="97">
        <v>7.4</v>
      </c>
      <c r="L86" s="98">
        <v>718</v>
      </c>
      <c r="M86" s="97">
        <v>5.8</v>
      </c>
      <c r="N86" s="97">
        <v>927</v>
      </c>
      <c r="O86" s="97">
        <v>5.6</v>
      </c>
      <c r="P86" s="97">
        <v>402</v>
      </c>
      <c r="Q86" s="97">
        <v>3.2</v>
      </c>
      <c r="R86" s="98">
        <v>1182</v>
      </c>
      <c r="S86" s="97">
        <v>7.2</v>
      </c>
      <c r="T86" s="98">
        <v>2296</v>
      </c>
      <c r="U86" s="97">
        <v>18.5</v>
      </c>
      <c r="V86" s="98">
        <v>11341</v>
      </c>
      <c r="W86" s="97">
        <v>68.599999999999994</v>
      </c>
      <c r="X86" s="98">
        <v>1019</v>
      </c>
      <c r="Y86" s="97">
        <v>8.1999999999999993</v>
      </c>
      <c r="Z86" s="98">
        <v>1456</v>
      </c>
      <c r="AA86" s="97">
        <v>8.8000000000000007</v>
      </c>
      <c r="AB86" s="98">
        <v>12423</v>
      </c>
      <c r="AC86" s="97" t="s">
        <v>788</v>
      </c>
      <c r="AD86" s="98">
        <v>16521</v>
      </c>
      <c r="AE86" s="97" t="s">
        <v>788</v>
      </c>
      <c r="AF86" s="32">
        <v>28944</v>
      </c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</row>
    <row r="87" spans="1:62" s="200" customFormat="1" x14ac:dyDescent="0.3">
      <c r="A87" s="304" t="s">
        <v>402</v>
      </c>
      <c r="B87" s="307" t="s">
        <v>115</v>
      </c>
      <c r="C87" s="95" t="s">
        <v>116</v>
      </c>
      <c r="D87" s="95">
        <v>316</v>
      </c>
      <c r="E87" s="95">
        <v>17</v>
      </c>
      <c r="F87" s="95">
        <v>11</v>
      </c>
      <c r="G87" s="95">
        <v>0.2</v>
      </c>
      <c r="H87" s="95">
        <v>407</v>
      </c>
      <c r="I87" s="95">
        <v>21.9</v>
      </c>
      <c r="J87" s="95">
        <v>453</v>
      </c>
      <c r="K87" s="95">
        <v>10.3</v>
      </c>
      <c r="L87" s="95">
        <v>158</v>
      </c>
      <c r="M87" s="95">
        <v>8.5</v>
      </c>
      <c r="N87" s="95">
        <v>325</v>
      </c>
      <c r="O87" s="95">
        <v>7.4</v>
      </c>
      <c r="P87" s="95">
        <v>86</v>
      </c>
      <c r="Q87" s="95">
        <v>4.5999999999999996</v>
      </c>
      <c r="R87" s="95">
        <v>318</v>
      </c>
      <c r="S87" s="95">
        <v>7.2</v>
      </c>
      <c r="T87" s="95">
        <v>688</v>
      </c>
      <c r="U87" s="95">
        <v>37</v>
      </c>
      <c r="V87" s="96">
        <v>3031</v>
      </c>
      <c r="W87" s="95">
        <v>69</v>
      </c>
      <c r="X87" s="95">
        <v>203</v>
      </c>
      <c r="Y87" s="95">
        <v>10.9</v>
      </c>
      <c r="Z87" s="95">
        <v>258</v>
      </c>
      <c r="AA87" s="95">
        <v>5.9</v>
      </c>
      <c r="AB87" s="96">
        <v>1858</v>
      </c>
      <c r="AC87" s="95">
        <v>100</v>
      </c>
      <c r="AD87" s="96">
        <v>4396</v>
      </c>
      <c r="AE87" s="95">
        <v>100</v>
      </c>
      <c r="AF87" s="30">
        <v>6254</v>
      </c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</row>
    <row r="88" spans="1:62" s="200" customFormat="1" x14ac:dyDescent="0.3">
      <c r="A88" s="305"/>
      <c r="B88" s="323"/>
      <c r="C88" s="95" t="s">
        <v>117</v>
      </c>
      <c r="D88" s="95">
        <v>62</v>
      </c>
      <c r="E88" s="95">
        <v>29.7</v>
      </c>
      <c r="F88" s="95">
        <v>1</v>
      </c>
      <c r="G88" s="95">
        <v>0.1</v>
      </c>
      <c r="H88" s="95">
        <v>25</v>
      </c>
      <c r="I88" s="95">
        <v>12.1</v>
      </c>
      <c r="J88" s="95">
        <v>48</v>
      </c>
      <c r="K88" s="95">
        <v>6.9</v>
      </c>
      <c r="L88" s="95">
        <v>17</v>
      </c>
      <c r="M88" s="95">
        <v>8.3000000000000007</v>
      </c>
      <c r="N88" s="95">
        <v>46</v>
      </c>
      <c r="O88" s="95">
        <v>6.5</v>
      </c>
      <c r="P88" s="95">
        <v>28</v>
      </c>
      <c r="Q88" s="95">
        <v>13.3</v>
      </c>
      <c r="R88" s="95">
        <v>171</v>
      </c>
      <c r="S88" s="95">
        <v>24.4</v>
      </c>
      <c r="T88" s="95">
        <v>76</v>
      </c>
      <c r="U88" s="95">
        <v>36.200000000000003</v>
      </c>
      <c r="V88" s="95">
        <v>422</v>
      </c>
      <c r="W88" s="95">
        <v>60.3</v>
      </c>
      <c r="X88" s="95">
        <v>1</v>
      </c>
      <c r="Y88" s="95">
        <v>0.4</v>
      </c>
      <c r="Z88" s="95">
        <v>13</v>
      </c>
      <c r="AA88" s="95">
        <v>1.8</v>
      </c>
      <c r="AB88" s="95">
        <v>209</v>
      </c>
      <c r="AC88" s="95">
        <v>100</v>
      </c>
      <c r="AD88" s="95">
        <v>700</v>
      </c>
      <c r="AE88" s="95">
        <v>100</v>
      </c>
      <c r="AF88" s="123">
        <v>909</v>
      </c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</row>
    <row r="89" spans="1:62" s="200" customFormat="1" x14ac:dyDescent="0.3">
      <c r="A89" s="305"/>
      <c r="B89" s="323"/>
      <c r="C89" s="95" t="s">
        <v>118</v>
      </c>
      <c r="D89" s="95">
        <v>471</v>
      </c>
      <c r="E89" s="95">
        <v>24.5</v>
      </c>
      <c r="F89" s="95">
        <v>69</v>
      </c>
      <c r="G89" s="95">
        <v>1.2</v>
      </c>
      <c r="H89" s="95">
        <v>128</v>
      </c>
      <c r="I89" s="95">
        <v>6.7</v>
      </c>
      <c r="J89" s="95">
        <v>355</v>
      </c>
      <c r="K89" s="95">
        <v>6.3</v>
      </c>
      <c r="L89" s="95">
        <v>186</v>
      </c>
      <c r="M89" s="95">
        <v>9.6999999999999993</v>
      </c>
      <c r="N89" s="95">
        <v>310</v>
      </c>
      <c r="O89" s="95">
        <v>5.5</v>
      </c>
      <c r="P89" s="95">
        <v>308</v>
      </c>
      <c r="Q89" s="95">
        <v>16</v>
      </c>
      <c r="R89" s="95">
        <v>819</v>
      </c>
      <c r="S89" s="95">
        <v>14.6</v>
      </c>
      <c r="T89" s="95">
        <v>725</v>
      </c>
      <c r="U89" s="95">
        <v>37.700000000000003</v>
      </c>
      <c r="V89" s="96">
        <v>3809</v>
      </c>
      <c r="W89" s="95">
        <v>67.8</v>
      </c>
      <c r="X89" s="95">
        <v>103</v>
      </c>
      <c r="Y89" s="95">
        <v>5.4</v>
      </c>
      <c r="Z89" s="95">
        <v>259</v>
      </c>
      <c r="AA89" s="95">
        <v>4.5999999999999996</v>
      </c>
      <c r="AB89" s="96">
        <v>1921</v>
      </c>
      <c r="AC89" s="95">
        <v>100</v>
      </c>
      <c r="AD89" s="96">
        <v>5620</v>
      </c>
      <c r="AE89" s="95">
        <v>100</v>
      </c>
      <c r="AF89" s="30">
        <v>7541</v>
      </c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</row>
    <row r="90" spans="1:62" s="200" customFormat="1" x14ac:dyDescent="0.3">
      <c r="A90" s="305"/>
      <c r="B90" s="308"/>
      <c r="C90" s="97" t="s">
        <v>110</v>
      </c>
      <c r="D90" s="97">
        <v>849</v>
      </c>
      <c r="E90" s="97">
        <v>21.3</v>
      </c>
      <c r="F90" s="97">
        <v>80</v>
      </c>
      <c r="G90" s="97">
        <v>0.7</v>
      </c>
      <c r="H90" s="97">
        <v>560</v>
      </c>
      <c r="I90" s="97">
        <v>14.1</v>
      </c>
      <c r="J90" s="97">
        <v>856</v>
      </c>
      <c r="K90" s="97">
        <v>8</v>
      </c>
      <c r="L90" s="97">
        <v>361</v>
      </c>
      <c r="M90" s="97">
        <v>9.1</v>
      </c>
      <c r="N90" s="97">
        <v>681</v>
      </c>
      <c r="O90" s="97">
        <v>6.4</v>
      </c>
      <c r="P90" s="97">
        <v>422</v>
      </c>
      <c r="Q90" s="97">
        <v>10.6</v>
      </c>
      <c r="R90" s="97">
        <v>1308</v>
      </c>
      <c r="S90" s="97">
        <v>12.2</v>
      </c>
      <c r="T90" s="98">
        <v>1488</v>
      </c>
      <c r="U90" s="97">
        <v>37.299999999999997</v>
      </c>
      <c r="V90" s="98">
        <v>7262</v>
      </c>
      <c r="W90" s="97">
        <v>67.8</v>
      </c>
      <c r="X90" s="97">
        <v>307</v>
      </c>
      <c r="Y90" s="97">
        <v>7.7</v>
      </c>
      <c r="Z90" s="97">
        <v>530</v>
      </c>
      <c r="AA90" s="97">
        <v>4.9000000000000004</v>
      </c>
      <c r="AB90" s="98">
        <v>3988</v>
      </c>
      <c r="AC90" s="97">
        <v>100</v>
      </c>
      <c r="AD90" s="98">
        <v>10716</v>
      </c>
      <c r="AE90" s="97">
        <v>100</v>
      </c>
      <c r="AF90" s="32">
        <v>14704</v>
      </c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</row>
    <row r="91" spans="1:62" s="200" customFormat="1" x14ac:dyDescent="0.3">
      <c r="A91" s="305"/>
      <c r="B91" s="95" t="s">
        <v>833</v>
      </c>
      <c r="C91" s="97" t="s">
        <v>120</v>
      </c>
      <c r="D91" s="97">
        <v>707</v>
      </c>
      <c r="E91" s="97">
        <v>45.6</v>
      </c>
      <c r="F91" s="97">
        <v>1</v>
      </c>
      <c r="G91" s="97">
        <v>0.1</v>
      </c>
      <c r="H91" s="97">
        <v>31</v>
      </c>
      <c r="I91" s="97">
        <v>2</v>
      </c>
      <c r="J91" s="97">
        <v>115</v>
      </c>
      <c r="K91" s="97">
        <v>5.2</v>
      </c>
      <c r="L91" s="97">
        <v>143</v>
      </c>
      <c r="M91" s="97">
        <v>9.1999999999999993</v>
      </c>
      <c r="N91" s="97">
        <v>325</v>
      </c>
      <c r="O91" s="97">
        <v>14.7</v>
      </c>
      <c r="P91" s="97">
        <v>38</v>
      </c>
      <c r="Q91" s="97">
        <v>2.4</v>
      </c>
      <c r="R91" s="97">
        <v>138</v>
      </c>
      <c r="S91" s="97">
        <v>6.2</v>
      </c>
      <c r="T91" s="97">
        <v>346</v>
      </c>
      <c r="U91" s="97">
        <v>22.3</v>
      </c>
      <c r="V91" s="98">
        <v>1445</v>
      </c>
      <c r="W91" s="97">
        <v>65.400000000000006</v>
      </c>
      <c r="X91" s="97">
        <v>287</v>
      </c>
      <c r="Y91" s="97">
        <v>18.5</v>
      </c>
      <c r="Z91" s="97">
        <v>186</v>
      </c>
      <c r="AA91" s="97">
        <v>8.4</v>
      </c>
      <c r="AB91" s="98">
        <v>1553</v>
      </c>
      <c r="AC91" s="97">
        <v>100</v>
      </c>
      <c r="AD91" s="98">
        <v>2211</v>
      </c>
      <c r="AE91" s="97">
        <v>100</v>
      </c>
      <c r="AF91" s="32">
        <v>3764</v>
      </c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</row>
    <row r="92" spans="1:62" s="200" customFormat="1" x14ac:dyDescent="0.3">
      <c r="A92" s="305"/>
      <c r="B92" s="307" t="s">
        <v>1012</v>
      </c>
      <c r="C92" s="95" t="s">
        <v>121</v>
      </c>
      <c r="D92" s="95">
        <v>596</v>
      </c>
      <c r="E92" s="95">
        <v>65.8</v>
      </c>
      <c r="F92" s="95">
        <v>66</v>
      </c>
      <c r="G92" s="95">
        <v>6.4</v>
      </c>
      <c r="H92" s="95">
        <v>44</v>
      </c>
      <c r="I92" s="95">
        <v>4.8</v>
      </c>
      <c r="J92" s="95">
        <v>92</v>
      </c>
      <c r="K92" s="95">
        <v>9</v>
      </c>
      <c r="L92" s="95">
        <v>90</v>
      </c>
      <c r="M92" s="95">
        <v>9.9</v>
      </c>
      <c r="N92" s="95">
        <v>52</v>
      </c>
      <c r="O92" s="95">
        <v>5.0999999999999996</v>
      </c>
      <c r="P92" s="95">
        <v>18</v>
      </c>
      <c r="Q92" s="95">
        <v>2</v>
      </c>
      <c r="R92" s="95">
        <v>102</v>
      </c>
      <c r="S92" s="95">
        <v>9.9</v>
      </c>
      <c r="T92" s="95">
        <v>145</v>
      </c>
      <c r="U92" s="95">
        <v>16</v>
      </c>
      <c r="V92" s="95">
        <v>657</v>
      </c>
      <c r="W92" s="95">
        <v>64.2</v>
      </c>
      <c r="X92" s="95">
        <v>13</v>
      </c>
      <c r="Y92" s="95">
        <v>1.4</v>
      </c>
      <c r="Z92" s="95">
        <v>55</v>
      </c>
      <c r="AA92" s="95">
        <v>5.4</v>
      </c>
      <c r="AB92" s="95">
        <v>906</v>
      </c>
      <c r="AC92" s="95">
        <v>100</v>
      </c>
      <c r="AD92" s="95">
        <v>1024</v>
      </c>
      <c r="AE92" s="95">
        <v>100</v>
      </c>
      <c r="AF92" s="30">
        <v>1930</v>
      </c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</row>
    <row r="93" spans="1:62" s="200" customFormat="1" x14ac:dyDescent="0.3">
      <c r="A93" s="305"/>
      <c r="B93" s="323"/>
      <c r="C93" s="95" t="s">
        <v>122</v>
      </c>
      <c r="D93" s="95">
        <v>272</v>
      </c>
      <c r="E93" s="95">
        <v>70.900000000000006</v>
      </c>
      <c r="F93" s="95">
        <v>28</v>
      </c>
      <c r="G93" s="95">
        <v>4</v>
      </c>
      <c r="H93" s="95">
        <v>14</v>
      </c>
      <c r="I93" s="95">
        <v>3.7</v>
      </c>
      <c r="J93" s="95">
        <v>56</v>
      </c>
      <c r="K93" s="95">
        <v>8.1999999999999993</v>
      </c>
      <c r="L93" s="95">
        <v>1</v>
      </c>
      <c r="M93" s="95">
        <v>0.3</v>
      </c>
      <c r="N93" s="95">
        <v>8</v>
      </c>
      <c r="O93" s="95">
        <v>1.1000000000000001</v>
      </c>
      <c r="P93" s="95">
        <v>13</v>
      </c>
      <c r="Q93" s="95">
        <v>3.3</v>
      </c>
      <c r="R93" s="95">
        <v>70</v>
      </c>
      <c r="S93" s="95">
        <v>10.199999999999999</v>
      </c>
      <c r="T93" s="95">
        <v>70</v>
      </c>
      <c r="U93" s="95">
        <v>18.2</v>
      </c>
      <c r="V93" s="95">
        <v>418</v>
      </c>
      <c r="W93" s="95">
        <v>60.9</v>
      </c>
      <c r="X93" s="95">
        <v>14</v>
      </c>
      <c r="Y93" s="95">
        <v>3.5</v>
      </c>
      <c r="Z93" s="95">
        <v>107</v>
      </c>
      <c r="AA93" s="95">
        <v>15.6</v>
      </c>
      <c r="AB93" s="95">
        <v>383</v>
      </c>
      <c r="AC93" s="95">
        <v>100</v>
      </c>
      <c r="AD93" s="95">
        <v>687</v>
      </c>
      <c r="AE93" s="95">
        <v>100</v>
      </c>
      <c r="AF93" s="30">
        <v>1070</v>
      </c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</row>
    <row r="94" spans="1:62" s="200" customFormat="1" x14ac:dyDescent="0.3">
      <c r="A94" s="305"/>
      <c r="B94" s="323"/>
      <c r="C94" s="95" t="s">
        <v>123</v>
      </c>
      <c r="D94" s="95">
        <v>315</v>
      </c>
      <c r="E94" s="95">
        <v>76</v>
      </c>
      <c r="F94" s="95">
        <v>3</v>
      </c>
      <c r="G94" s="95">
        <v>0.7</v>
      </c>
      <c r="H94" s="95">
        <v>26</v>
      </c>
      <c r="I94" s="95">
        <v>6.1</v>
      </c>
      <c r="J94" s="95">
        <v>59</v>
      </c>
      <c r="K94" s="95">
        <v>13.5</v>
      </c>
      <c r="L94" s="95">
        <v>2</v>
      </c>
      <c r="M94" s="95">
        <v>0.4</v>
      </c>
      <c r="N94" s="95">
        <v>4</v>
      </c>
      <c r="O94" s="95">
        <v>0.9</v>
      </c>
      <c r="P94" s="95">
        <v>6</v>
      </c>
      <c r="Q94" s="95">
        <v>1.4</v>
      </c>
      <c r="R94" s="95">
        <v>32</v>
      </c>
      <c r="S94" s="95">
        <v>7.3</v>
      </c>
      <c r="T94" s="95">
        <v>55</v>
      </c>
      <c r="U94" s="95">
        <v>13.2</v>
      </c>
      <c r="V94" s="95">
        <v>276</v>
      </c>
      <c r="W94" s="95">
        <v>63.4</v>
      </c>
      <c r="X94" s="95">
        <v>12</v>
      </c>
      <c r="Y94" s="95">
        <v>2.9</v>
      </c>
      <c r="Z94" s="95">
        <v>62</v>
      </c>
      <c r="AA94" s="95">
        <v>14.2</v>
      </c>
      <c r="AB94" s="95">
        <v>415</v>
      </c>
      <c r="AC94" s="95">
        <v>100</v>
      </c>
      <c r="AD94" s="95">
        <v>436</v>
      </c>
      <c r="AE94" s="95">
        <v>100</v>
      </c>
      <c r="AF94" s="30">
        <v>851</v>
      </c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</row>
    <row r="95" spans="1:62" s="200" customFormat="1" x14ac:dyDescent="0.3">
      <c r="A95" s="305"/>
      <c r="B95" s="323"/>
      <c r="C95" s="95" t="s">
        <v>124</v>
      </c>
      <c r="D95" s="95">
        <v>117</v>
      </c>
      <c r="E95" s="95">
        <v>38.700000000000003</v>
      </c>
      <c r="F95" s="95">
        <v>0</v>
      </c>
      <c r="G95" s="95">
        <v>0</v>
      </c>
      <c r="H95" s="95">
        <v>38</v>
      </c>
      <c r="I95" s="95">
        <v>12.6</v>
      </c>
      <c r="J95" s="95">
        <v>49</v>
      </c>
      <c r="K95" s="95">
        <v>10.3</v>
      </c>
      <c r="L95" s="95">
        <v>47</v>
      </c>
      <c r="M95" s="95">
        <v>15.5</v>
      </c>
      <c r="N95" s="95">
        <v>48</v>
      </c>
      <c r="O95" s="95">
        <v>10.1</v>
      </c>
      <c r="P95" s="95">
        <v>25</v>
      </c>
      <c r="Q95" s="95">
        <v>8.1999999999999993</v>
      </c>
      <c r="R95" s="95">
        <v>113</v>
      </c>
      <c r="S95" s="95">
        <v>24</v>
      </c>
      <c r="T95" s="95">
        <v>39</v>
      </c>
      <c r="U95" s="95">
        <v>13</v>
      </c>
      <c r="V95" s="95">
        <v>249</v>
      </c>
      <c r="W95" s="95">
        <v>52.8</v>
      </c>
      <c r="X95" s="95">
        <v>36</v>
      </c>
      <c r="Y95" s="95">
        <v>12</v>
      </c>
      <c r="Z95" s="95">
        <v>13</v>
      </c>
      <c r="AA95" s="95">
        <v>2.7</v>
      </c>
      <c r="AB95" s="95">
        <v>301</v>
      </c>
      <c r="AC95" s="95">
        <v>100</v>
      </c>
      <c r="AD95" s="95">
        <v>471</v>
      </c>
      <c r="AE95" s="95">
        <v>100</v>
      </c>
      <c r="AF95" s="123">
        <v>772</v>
      </c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</row>
    <row r="96" spans="1:62" s="200" customFormat="1" x14ac:dyDescent="0.3">
      <c r="A96" s="305"/>
      <c r="B96" s="323"/>
      <c r="C96" s="95" t="s">
        <v>125</v>
      </c>
      <c r="D96" s="95">
        <v>411</v>
      </c>
      <c r="E96" s="95">
        <v>87.5</v>
      </c>
      <c r="F96" s="95">
        <v>0</v>
      </c>
      <c r="G96" s="95">
        <v>0.1</v>
      </c>
      <c r="H96" s="95">
        <v>15</v>
      </c>
      <c r="I96" s="95">
        <v>3.2</v>
      </c>
      <c r="J96" s="95">
        <v>39</v>
      </c>
      <c r="K96" s="95">
        <v>13.2</v>
      </c>
      <c r="L96" s="95">
        <v>1</v>
      </c>
      <c r="M96" s="95">
        <v>0.2</v>
      </c>
      <c r="N96" s="95">
        <v>1</v>
      </c>
      <c r="O96" s="95">
        <v>0.4</v>
      </c>
      <c r="P96" s="95">
        <v>6</v>
      </c>
      <c r="Q96" s="95">
        <v>1.3</v>
      </c>
      <c r="R96" s="95">
        <v>15</v>
      </c>
      <c r="S96" s="95">
        <v>5.0999999999999996</v>
      </c>
      <c r="T96" s="95">
        <v>34</v>
      </c>
      <c r="U96" s="95">
        <v>7.3</v>
      </c>
      <c r="V96" s="95">
        <v>224</v>
      </c>
      <c r="W96" s="95">
        <v>75.5</v>
      </c>
      <c r="X96" s="95">
        <v>3</v>
      </c>
      <c r="Y96" s="95">
        <v>0.6</v>
      </c>
      <c r="Z96" s="95">
        <v>17</v>
      </c>
      <c r="AA96" s="95">
        <v>5.8</v>
      </c>
      <c r="AB96" s="95">
        <v>470</v>
      </c>
      <c r="AC96" s="95">
        <v>100</v>
      </c>
      <c r="AD96" s="95">
        <v>297</v>
      </c>
      <c r="AE96" s="95">
        <v>100</v>
      </c>
      <c r="AF96" s="123">
        <v>767</v>
      </c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</row>
    <row r="97" spans="1:62" s="200" customFormat="1" x14ac:dyDescent="0.3">
      <c r="A97" s="305"/>
      <c r="B97" s="323"/>
      <c r="C97" s="95" t="s">
        <v>126</v>
      </c>
      <c r="D97" s="95">
        <v>353</v>
      </c>
      <c r="E97" s="95">
        <v>73.5</v>
      </c>
      <c r="F97" s="95">
        <v>3</v>
      </c>
      <c r="G97" s="95">
        <v>0.5</v>
      </c>
      <c r="H97" s="95">
        <v>17</v>
      </c>
      <c r="I97" s="95">
        <v>3.5</v>
      </c>
      <c r="J97" s="95">
        <v>67</v>
      </c>
      <c r="K97" s="95">
        <v>10.4</v>
      </c>
      <c r="L97" s="95">
        <v>8</v>
      </c>
      <c r="M97" s="95">
        <v>1.7</v>
      </c>
      <c r="N97" s="95">
        <v>25</v>
      </c>
      <c r="O97" s="95">
        <v>3.9</v>
      </c>
      <c r="P97" s="95">
        <v>30</v>
      </c>
      <c r="Q97" s="95">
        <v>6.3</v>
      </c>
      <c r="R97" s="95">
        <v>155</v>
      </c>
      <c r="S97" s="95">
        <v>24.2</v>
      </c>
      <c r="T97" s="95">
        <v>62</v>
      </c>
      <c r="U97" s="95">
        <v>12.9</v>
      </c>
      <c r="V97" s="95">
        <v>373</v>
      </c>
      <c r="W97" s="95">
        <v>58.1</v>
      </c>
      <c r="X97" s="95">
        <v>10</v>
      </c>
      <c r="Y97" s="95">
        <v>2</v>
      </c>
      <c r="Z97" s="95">
        <v>19</v>
      </c>
      <c r="AA97" s="95">
        <v>2.9</v>
      </c>
      <c r="AB97" s="95">
        <v>480</v>
      </c>
      <c r="AC97" s="95">
        <v>100</v>
      </c>
      <c r="AD97" s="95">
        <v>642</v>
      </c>
      <c r="AE97" s="95">
        <v>100</v>
      </c>
      <c r="AF97" s="123">
        <v>1122</v>
      </c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</row>
    <row r="98" spans="1:62" s="200" customFormat="1" x14ac:dyDescent="0.3">
      <c r="A98" s="305"/>
      <c r="B98" s="323"/>
      <c r="C98" s="95" t="s">
        <v>127</v>
      </c>
      <c r="D98" s="95">
        <v>955</v>
      </c>
      <c r="E98" s="95">
        <v>80.8</v>
      </c>
      <c r="F98" s="95">
        <v>8</v>
      </c>
      <c r="G98" s="95">
        <v>0.8</v>
      </c>
      <c r="H98" s="95">
        <v>27</v>
      </c>
      <c r="I98" s="95">
        <v>2.2999999999999998</v>
      </c>
      <c r="J98" s="95">
        <v>106</v>
      </c>
      <c r="K98" s="95">
        <v>10.8</v>
      </c>
      <c r="L98" s="95">
        <v>45</v>
      </c>
      <c r="M98" s="95">
        <v>3.8</v>
      </c>
      <c r="N98" s="95">
        <v>72</v>
      </c>
      <c r="O98" s="95">
        <v>7.3</v>
      </c>
      <c r="P98" s="95">
        <v>30</v>
      </c>
      <c r="Q98" s="95">
        <v>2.6</v>
      </c>
      <c r="R98" s="95">
        <v>166</v>
      </c>
      <c r="S98" s="95">
        <v>16.8</v>
      </c>
      <c r="T98" s="95">
        <v>96</v>
      </c>
      <c r="U98" s="95">
        <v>8.1</v>
      </c>
      <c r="V98" s="95">
        <v>553</v>
      </c>
      <c r="W98" s="95">
        <v>56</v>
      </c>
      <c r="X98" s="95">
        <v>29</v>
      </c>
      <c r="Y98" s="95">
        <v>2.4</v>
      </c>
      <c r="Z98" s="95">
        <v>82</v>
      </c>
      <c r="AA98" s="95">
        <v>8.3000000000000007</v>
      </c>
      <c r="AB98" s="96">
        <v>1181</v>
      </c>
      <c r="AC98" s="95">
        <v>100</v>
      </c>
      <c r="AD98" s="95">
        <v>988</v>
      </c>
      <c r="AE98" s="95">
        <v>100</v>
      </c>
      <c r="AF98" s="30">
        <v>2170</v>
      </c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</row>
    <row r="99" spans="1:62" s="200" customFormat="1" x14ac:dyDescent="0.3">
      <c r="A99" s="305"/>
      <c r="B99" s="323"/>
      <c r="C99" s="95" t="s">
        <v>128</v>
      </c>
      <c r="D99" s="95">
        <v>422</v>
      </c>
      <c r="E99" s="95">
        <v>69</v>
      </c>
      <c r="F99" s="95">
        <v>10</v>
      </c>
      <c r="G99" s="95">
        <v>1.7</v>
      </c>
      <c r="H99" s="95">
        <v>24</v>
      </c>
      <c r="I99" s="95">
        <v>3.9</v>
      </c>
      <c r="J99" s="95">
        <v>53</v>
      </c>
      <c r="K99" s="95">
        <v>8.8000000000000007</v>
      </c>
      <c r="L99" s="95">
        <v>14</v>
      </c>
      <c r="M99" s="95">
        <v>2.2999999999999998</v>
      </c>
      <c r="N99" s="95">
        <v>26</v>
      </c>
      <c r="O99" s="95">
        <v>4.4000000000000004</v>
      </c>
      <c r="P99" s="95">
        <v>17</v>
      </c>
      <c r="Q99" s="95">
        <v>2.8</v>
      </c>
      <c r="R99" s="95">
        <v>77</v>
      </c>
      <c r="S99" s="95">
        <v>12.9</v>
      </c>
      <c r="T99" s="95">
        <v>64</v>
      </c>
      <c r="U99" s="95">
        <v>10.4</v>
      </c>
      <c r="V99" s="95">
        <v>397</v>
      </c>
      <c r="W99" s="95">
        <v>66.3</v>
      </c>
      <c r="X99" s="95">
        <v>71</v>
      </c>
      <c r="Y99" s="95">
        <v>11.6</v>
      </c>
      <c r="Z99" s="95">
        <v>35</v>
      </c>
      <c r="AA99" s="95">
        <v>5.9</v>
      </c>
      <c r="AB99" s="95">
        <v>612</v>
      </c>
      <c r="AC99" s="95">
        <v>100</v>
      </c>
      <c r="AD99" s="95">
        <v>599</v>
      </c>
      <c r="AE99" s="95">
        <v>100</v>
      </c>
      <c r="AF99" s="123">
        <v>1211</v>
      </c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</row>
    <row r="100" spans="1:62" s="200" customFormat="1" x14ac:dyDescent="0.3">
      <c r="A100" s="305"/>
      <c r="B100" s="323"/>
      <c r="C100" s="95" t="s">
        <v>129</v>
      </c>
      <c r="D100" s="95">
        <v>236</v>
      </c>
      <c r="E100" s="95">
        <v>49</v>
      </c>
      <c r="F100" s="95">
        <v>1</v>
      </c>
      <c r="G100" s="95">
        <v>0.1</v>
      </c>
      <c r="H100" s="95">
        <v>17</v>
      </c>
      <c r="I100" s="95">
        <v>3.5</v>
      </c>
      <c r="J100" s="95">
        <v>63</v>
      </c>
      <c r="K100" s="95">
        <v>12</v>
      </c>
      <c r="L100" s="95">
        <v>85</v>
      </c>
      <c r="M100" s="95">
        <v>17.7</v>
      </c>
      <c r="N100" s="95">
        <v>69</v>
      </c>
      <c r="O100" s="95">
        <v>13.2</v>
      </c>
      <c r="P100" s="95">
        <v>8</v>
      </c>
      <c r="Q100" s="95">
        <v>1.6</v>
      </c>
      <c r="R100" s="95">
        <v>31</v>
      </c>
      <c r="S100" s="95">
        <v>5.8</v>
      </c>
      <c r="T100" s="95">
        <v>62</v>
      </c>
      <c r="U100" s="95">
        <v>12.9</v>
      </c>
      <c r="V100" s="95">
        <v>304</v>
      </c>
      <c r="W100" s="95">
        <v>58</v>
      </c>
      <c r="X100" s="95">
        <v>74</v>
      </c>
      <c r="Y100" s="95">
        <v>15.3</v>
      </c>
      <c r="Z100" s="95">
        <v>57</v>
      </c>
      <c r="AA100" s="95">
        <v>10.8</v>
      </c>
      <c r="AB100" s="95">
        <v>482</v>
      </c>
      <c r="AC100" s="95">
        <v>100</v>
      </c>
      <c r="AD100" s="95">
        <v>524</v>
      </c>
      <c r="AE100" s="95">
        <v>100</v>
      </c>
      <c r="AF100" s="30">
        <v>1006</v>
      </c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</row>
    <row r="101" spans="1:62" s="200" customFormat="1" x14ac:dyDescent="0.3">
      <c r="A101" s="305"/>
      <c r="B101" s="323"/>
      <c r="C101" s="95" t="s">
        <v>130</v>
      </c>
      <c r="D101" s="95">
        <v>596</v>
      </c>
      <c r="E101" s="95">
        <v>63.2</v>
      </c>
      <c r="F101" s="95">
        <v>2</v>
      </c>
      <c r="G101" s="95">
        <v>0.2</v>
      </c>
      <c r="H101" s="95">
        <v>58</v>
      </c>
      <c r="I101" s="95">
        <v>6.2</v>
      </c>
      <c r="J101" s="95">
        <v>81</v>
      </c>
      <c r="K101" s="95">
        <v>8</v>
      </c>
      <c r="L101" s="95">
        <v>125</v>
      </c>
      <c r="M101" s="95">
        <v>13.3</v>
      </c>
      <c r="N101" s="95">
        <v>181</v>
      </c>
      <c r="O101" s="95">
        <v>17.8</v>
      </c>
      <c r="P101" s="95">
        <v>47</v>
      </c>
      <c r="Q101" s="95">
        <v>5</v>
      </c>
      <c r="R101" s="95">
        <v>149</v>
      </c>
      <c r="S101" s="95">
        <v>14.7</v>
      </c>
      <c r="T101" s="95">
        <v>106</v>
      </c>
      <c r="U101" s="95">
        <v>11.3</v>
      </c>
      <c r="V101" s="95">
        <v>558</v>
      </c>
      <c r="W101" s="95">
        <v>54.9</v>
      </c>
      <c r="X101" s="95">
        <v>10</v>
      </c>
      <c r="Y101" s="95">
        <v>1.1000000000000001</v>
      </c>
      <c r="Z101" s="95">
        <v>44</v>
      </c>
      <c r="AA101" s="95">
        <v>4.4000000000000004</v>
      </c>
      <c r="AB101" s="95">
        <v>943</v>
      </c>
      <c r="AC101" s="95">
        <v>100</v>
      </c>
      <c r="AD101" s="95">
        <v>1016</v>
      </c>
      <c r="AE101" s="95">
        <v>100</v>
      </c>
      <c r="AF101" s="30">
        <v>1959</v>
      </c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</row>
    <row r="102" spans="1:62" s="200" customFormat="1" x14ac:dyDescent="0.3">
      <c r="A102" s="305"/>
      <c r="B102" s="323"/>
      <c r="C102" s="95" t="s">
        <v>131</v>
      </c>
      <c r="D102" s="95">
        <v>886</v>
      </c>
      <c r="E102" s="95">
        <v>56.4</v>
      </c>
      <c r="F102" s="95">
        <v>23</v>
      </c>
      <c r="G102" s="95">
        <v>1.4</v>
      </c>
      <c r="H102" s="95">
        <v>16</v>
      </c>
      <c r="I102" s="95">
        <v>1</v>
      </c>
      <c r="J102" s="95">
        <v>84</v>
      </c>
      <c r="K102" s="95">
        <v>5.0999999999999996</v>
      </c>
      <c r="L102" s="95">
        <v>210</v>
      </c>
      <c r="M102" s="95">
        <v>13.4</v>
      </c>
      <c r="N102" s="95">
        <v>229</v>
      </c>
      <c r="O102" s="95">
        <v>13.7</v>
      </c>
      <c r="P102" s="95">
        <v>162</v>
      </c>
      <c r="Q102" s="95">
        <v>10.3</v>
      </c>
      <c r="R102" s="95">
        <v>342</v>
      </c>
      <c r="S102" s="95">
        <v>20.5</v>
      </c>
      <c r="T102" s="95">
        <v>179</v>
      </c>
      <c r="U102" s="95">
        <v>11.4</v>
      </c>
      <c r="V102" s="95">
        <v>841</v>
      </c>
      <c r="W102" s="95">
        <v>50.4</v>
      </c>
      <c r="X102" s="95">
        <v>117</v>
      </c>
      <c r="Y102" s="95">
        <v>7.5</v>
      </c>
      <c r="Z102" s="95">
        <v>148</v>
      </c>
      <c r="AA102" s="95">
        <v>8.9</v>
      </c>
      <c r="AB102" s="96">
        <v>1570</v>
      </c>
      <c r="AC102" s="95">
        <v>100</v>
      </c>
      <c r="AD102" s="95">
        <v>1668</v>
      </c>
      <c r="AE102" s="95">
        <v>100</v>
      </c>
      <c r="AF102" s="30">
        <v>3238</v>
      </c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</row>
    <row r="103" spans="1:62" s="200" customFormat="1" x14ac:dyDescent="0.3">
      <c r="A103" s="305"/>
      <c r="B103" s="323"/>
      <c r="C103" s="168" t="s">
        <v>1013</v>
      </c>
      <c r="D103" s="168">
        <v>169</v>
      </c>
      <c r="E103" s="168">
        <v>84.3</v>
      </c>
      <c r="F103" s="168">
        <v>0</v>
      </c>
      <c r="G103" s="168">
        <v>0</v>
      </c>
      <c r="H103" s="168">
        <v>2</v>
      </c>
      <c r="I103" s="168">
        <v>1.1000000000000001</v>
      </c>
      <c r="J103" s="168">
        <v>10</v>
      </c>
      <c r="K103" s="168">
        <v>8.4</v>
      </c>
      <c r="L103" s="168">
        <v>4</v>
      </c>
      <c r="M103" s="168">
        <v>2.1</v>
      </c>
      <c r="N103" s="168">
        <v>4</v>
      </c>
      <c r="O103" s="168">
        <v>3.4</v>
      </c>
      <c r="P103" s="168">
        <v>0</v>
      </c>
      <c r="Q103" s="168">
        <v>0</v>
      </c>
      <c r="R103" s="168">
        <v>0</v>
      </c>
      <c r="S103" s="168">
        <v>0</v>
      </c>
      <c r="T103" s="168">
        <v>23</v>
      </c>
      <c r="U103" s="168">
        <v>11.6</v>
      </c>
      <c r="V103" s="168">
        <v>89</v>
      </c>
      <c r="W103" s="168">
        <v>72.900000000000006</v>
      </c>
      <c r="X103" s="168">
        <v>2</v>
      </c>
      <c r="Y103" s="168">
        <v>0.9</v>
      </c>
      <c r="Z103" s="168">
        <v>19</v>
      </c>
      <c r="AA103" s="168">
        <v>15.3</v>
      </c>
      <c r="AB103" s="168">
        <v>201</v>
      </c>
      <c r="AC103" s="168">
        <v>100</v>
      </c>
      <c r="AD103" s="168">
        <v>122</v>
      </c>
      <c r="AE103" s="168">
        <v>100</v>
      </c>
      <c r="AF103" s="38">
        <v>323</v>
      </c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</row>
    <row r="104" spans="1:62" s="200" customFormat="1" x14ac:dyDescent="0.3">
      <c r="A104" s="305"/>
      <c r="B104" s="323"/>
      <c r="C104" s="168" t="s">
        <v>1014</v>
      </c>
      <c r="D104" s="168">
        <v>16</v>
      </c>
      <c r="E104" s="168">
        <v>40.299999999999997</v>
      </c>
      <c r="F104" s="168">
        <v>0</v>
      </c>
      <c r="G104" s="168">
        <v>0</v>
      </c>
      <c r="H104" s="168">
        <v>2</v>
      </c>
      <c r="I104" s="168">
        <v>3.8</v>
      </c>
      <c r="J104" s="168">
        <v>10</v>
      </c>
      <c r="K104" s="168">
        <v>6.5</v>
      </c>
      <c r="L104" s="168">
        <v>0</v>
      </c>
      <c r="M104" s="168">
        <v>1.2</v>
      </c>
      <c r="N104" s="168">
        <v>4</v>
      </c>
      <c r="O104" s="168">
        <v>2.6</v>
      </c>
      <c r="P104" s="168">
        <v>3</v>
      </c>
      <c r="Q104" s="168">
        <v>7.6</v>
      </c>
      <c r="R104" s="168">
        <v>14</v>
      </c>
      <c r="S104" s="168">
        <v>9.4</v>
      </c>
      <c r="T104" s="168">
        <v>19</v>
      </c>
      <c r="U104" s="168">
        <v>47.1</v>
      </c>
      <c r="V104" s="168">
        <v>121</v>
      </c>
      <c r="W104" s="168">
        <v>80.5</v>
      </c>
      <c r="X104" s="168">
        <v>0</v>
      </c>
      <c r="Y104" s="168">
        <v>0</v>
      </c>
      <c r="Z104" s="168">
        <v>2</v>
      </c>
      <c r="AA104" s="168">
        <v>1.1000000000000001</v>
      </c>
      <c r="AB104" s="168">
        <v>41</v>
      </c>
      <c r="AC104" s="168">
        <v>100</v>
      </c>
      <c r="AD104" s="168">
        <v>150</v>
      </c>
      <c r="AE104" s="168">
        <v>100</v>
      </c>
      <c r="AF104" s="38">
        <v>191</v>
      </c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</row>
    <row r="105" spans="1:62" s="200" customFormat="1" x14ac:dyDescent="0.3">
      <c r="A105" s="305"/>
      <c r="B105" s="308"/>
      <c r="C105" s="97" t="s">
        <v>110</v>
      </c>
      <c r="D105" s="98">
        <v>5345</v>
      </c>
      <c r="E105" s="97">
        <v>66.900000000000006</v>
      </c>
      <c r="F105" s="97">
        <v>144</v>
      </c>
      <c r="G105" s="97">
        <v>1.7</v>
      </c>
      <c r="H105" s="97">
        <v>298</v>
      </c>
      <c r="I105" s="97">
        <v>3.7</v>
      </c>
      <c r="J105" s="97">
        <v>769</v>
      </c>
      <c r="K105" s="97">
        <v>8.9</v>
      </c>
      <c r="L105" s="97">
        <v>633</v>
      </c>
      <c r="M105" s="97">
        <v>7.9</v>
      </c>
      <c r="N105" s="97">
        <v>723</v>
      </c>
      <c r="O105" s="97">
        <v>8.4</v>
      </c>
      <c r="P105" s="97">
        <v>364</v>
      </c>
      <c r="Q105" s="97">
        <v>4.5999999999999996</v>
      </c>
      <c r="R105" s="97">
        <v>1267</v>
      </c>
      <c r="S105" s="97">
        <v>14.7</v>
      </c>
      <c r="T105" s="97">
        <v>955</v>
      </c>
      <c r="U105" s="97">
        <v>12</v>
      </c>
      <c r="V105" s="98">
        <v>5061</v>
      </c>
      <c r="W105" s="97">
        <v>58.7</v>
      </c>
      <c r="X105" s="97">
        <v>390</v>
      </c>
      <c r="Y105" s="97">
        <v>4.9000000000000004</v>
      </c>
      <c r="Z105" s="97">
        <v>660</v>
      </c>
      <c r="AA105" s="97">
        <v>7.7</v>
      </c>
      <c r="AB105" s="98">
        <v>7985</v>
      </c>
      <c r="AC105" s="97">
        <v>100</v>
      </c>
      <c r="AD105" s="98">
        <v>8625</v>
      </c>
      <c r="AE105" s="97">
        <v>100</v>
      </c>
      <c r="AF105" s="32">
        <v>16610</v>
      </c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</row>
    <row r="106" spans="1:62" s="200" customFormat="1" x14ac:dyDescent="0.3">
      <c r="A106" s="306"/>
      <c r="B106" s="339" t="s">
        <v>86</v>
      </c>
      <c r="C106" s="322"/>
      <c r="D106" s="98">
        <v>6902</v>
      </c>
      <c r="E106" s="97">
        <v>51</v>
      </c>
      <c r="F106" s="97">
        <v>226</v>
      </c>
      <c r="G106" s="97">
        <v>1</v>
      </c>
      <c r="H106" s="97">
        <v>890</v>
      </c>
      <c r="I106" s="97">
        <v>6.6</v>
      </c>
      <c r="J106" s="98">
        <v>1740</v>
      </c>
      <c r="K106" s="97">
        <v>8.1</v>
      </c>
      <c r="L106" s="98">
        <v>1137</v>
      </c>
      <c r="M106" s="97">
        <v>8.4</v>
      </c>
      <c r="N106" s="97">
        <v>1729</v>
      </c>
      <c r="O106" s="97">
        <v>8</v>
      </c>
      <c r="P106" s="97">
        <v>823</v>
      </c>
      <c r="Q106" s="97">
        <v>6.1</v>
      </c>
      <c r="R106" s="98">
        <v>2712</v>
      </c>
      <c r="S106" s="97">
        <v>12.6</v>
      </c>
      <c r="T106" s="98">
        <v>2790</v>
      </c>
      <c r="U106" s="97">
        <v>20.6</v>
      </c>
      <c r="V106" s="98">
        <v>13769</v>
      </c>
      <c r="W106" s="97">
        <v>63.9</v>
      </c>
      <c r="X106" s="98">
        <v>984</v>
      </c>
      <c r="Y106" s="97">
        <v>7.3</v>
      </c>
      <c r="Z106" s="98">
        <v>1376</v>
      </c>
      <c r="AA106" s="97">
        <v>6.4</v>
      </c>
      <c r="AB106" s="98">
        <v>13526</v>
      </c>
      <c r="AC106" s="97">
        <v>100</v>
      </c>
      <c r="AD106" s="98">
        <v>21552</v>
      </c>
      <c r="AE106" s="97">
        <v>100</v>
      </c>
      <c r="AF106" s="32">
        <v>35077</v>
      </c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</row>
    <row r="108" spans="1:62" x14ac:dyDescent="0.3">
      <c r="A108" t="s">
        <v>1015</v>
      </c>
    </row>
    <row r="109" spans="1:62" x14ac:dyDescent="0.3">
      <c r="A109" t="s">
        <v>1016</v>
      </c>
    </row>
    <row r="110" spans="1:62" x14ac:dyDescent="0.3">
      <c r="A110" t="s">
        <v>1017</v>
      </c>
    </row>
    <row r="111" spans="1:62" x14ac:dyDescent="0.3">
      <c r="A111" t="s">
        <v>1018</v>
      </c>
    </row>
  </sheetData>
  <mergeCells count="28">
    <mergeCell ref="D4:AA4"/>
    <mergeCell ref="AB4:AE5"/>
    <mergeCell ref="AF4:AF6"/>
    <mergeCell ref="D5:G5"/>
    <mergeCell ref="H5:K5"/>
    <mergeCell ref="L5:O5"/>
    <mergeCell ref="P5:S5"/>
    <mergeCell ref="T5:W5"/>
    <mergeCell ref="X5:AA5"/>
    <mergeCell ref="A27:A46"/>
    <mergeCell ref="B27:B30"/>
    <mergeCell ref="B32:B45"/>
    <mergeCell ref="A4:A6"/>
    <mergeCell ref="B4:C6"/>
    <mergeCell ref="A7:A26"/>
    <mergeCell ref="B7:B10"/>
    <mergeCell ref="B12:B25"/>
    <mergeCell ref="A87:A106"/>
    <mergeCell ref="B87:B90"/>
    <mergeCell ref="B92:B105"/>
    <mergeCell ref="B106:C106"/>
    <mergeCell ref="A47:A66"/>
    <mergeCell ref="B47:B50"/>
    <mergeCell ref="B52:B65"/>
    <mergeCell ref="A67:A86"/>
    <mergeCell ref="B67:B70"/>
    <mergeCell ref="B72:B85"/>
    <mergeCell ref="B86:C86"/>
  </mergeCells>
  <phoneticPr fontId="1" type="noConversion"/>
  <hyperlinks>
    <hyperlink ref="H1" location="목차!A1" display="목차" xr:uid="{E9440727-FE87-4277-B420-84A2DC8EF7CC}"/>
  </hyperlinks>
  <pageMargins left="0.7" right="0.7" top="0.75" bottom="0.75" header="0.3" footer="0.3"/>
  <pageSetup paperSize="9" orientation="portrait" copies="16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244B-A78F-45FE-B24A-9FDE15C17719}">
  <sheetPr>
    <tabColor theme="0" tint="-4.9989318521683403E-2"/>
  </sheetPr>
  <dimension ref="A1:AQ297"/>
  <sheetViews>
    <sheetView topLeftCell="A258" zoomScale="70" zoomScaleNormal="70" workbookViewId="0">
      <selection activeCell="A295" sqref="A295"/>
    </sheetView>
  </sheetViews>
  <sheetFormatPr defaultRowHeight="16.5" x14ac:dyDescent="0.3"/>
  <cols>
    <col min="2" max="2" width="38.625" customWidth="1"/>
  </cols>
  <sheetData>
    <row r="1" spans="1:43" ht="17.25" x14ac:dyDescent="0.3">
      <c r="A1" s="7" t="s">
        <v>1277</v>
      </c>
      <c r="B1" s="4"/>
      <c r="C1" s="4"/>
      <c r="D1" s="4"/>
      <c r="E1" s="4"/>
      <c r="F1" s="4"/>
      <c r="G1" s="4"/>
      <c r="H1" s="4"/>
      <c r="J1" s="72" t="s">
        <v>367</v>
      </c>
    </row>
    <row r="3" spans="1:43" x14ac:dyDescent="0.3">
      <c r="V3" s="5" t="s">
        <v>843</v>
      </c>
    </row>
    <row r="4" spans="1:43" s="200" customFormat="1" ht="17.25" thickBot="1" x14ac:dyDescent="0.35">
      <c r="A4" s="342" t="s">
        <v>496</v>
      </c>
      <c r="B4" s="341" t="s">
        <v>497</v>
      </c>
      <c r="C4" s="335" t="s">
        <v>115</v>
      </c>
      <c r="D4" s="336"/>
      <c r="E4" s="336"/>
      <c r="F4" s="345"/>
      <c r="G4" s="341" t="s">
        <v>833</v>
      </c>
      <c r="H4" s="335" t="s">
        <v>1003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45"/>
      <c r="V4" s="340" t="s">
        <v>86</v>
      </c>
    </row>
    <row r="5" spans="1:43" s="200" customFormat="1" ht="17.25" thickTop="1" x14ac:dyDescent="0.3">
      <c r="A5" s="342"/>
      <c r="B5" s="341"/>
      <c r="C5" s="183" t="s">
        <v>1019</v>
      </c>
      <c r="D5" s="183" t="s">
        <v>1020</v>
      </c>
      <c r="E5" s="183" t="s">
        <v>1021</v>
      </c>
      <c r="F5" s="183" t="s">
        <v>110</v>
      </c>
      <c r="G5" s="341"/>
      <c r="H5" s="183" t="s">
        <v>1022</v>
      </c>
      <c r="I5" s="183" t="s">
        <v>1023</v>
      </c>
      <c r="J5" s="183" t="s">
        <v>1024</v>
      </c>
      <c r="K5" s="183" t="s">
        <v>1025</v>
      </c>
      <c r="L5" s="183" t="s">
        <v>1026</v>
      </c>
      <c r="M5" s="183" t="s">
        <v>1027</v>
      </c>
      <c r="N5" s="183" t="s">
        <v>1028</v>
      </c>
      <c r="O5" s="183" t="s">
        <v>1029</v>
      </c>
      <c r="P5" s="183" t="s">
        <v>1030</v>
      </c>
      <c r="Q5" s="183" t="s">
        <v>1031</v>
      </c>
      <c r="R5" s="183" t="s">
        <v>1032</v>
      </c>
      <c r="S5" s="183" t="s">
        <v>1033</v>
      </c>
      <c r="T5" s="183" t="s">
        <v>1034</v>
      </c>
      <c r="U5" s="183" t="s">
        <v>110</v>
      </c>
      <c r="V5" s="340"/>
    </row>
    <row r="6" spans="1:43" s="200" customFormat="1" x14ac:dyDescent="0.3">
      <c r="A6" s="307" t="s">
        <v>140</v>
      </c>
      <c r="B6" s="95" t="s">
        <v>506</v>
      </c>
      <c r="C6" s="133">
        <v>12</v>
      </c>
      <c r="D6" s="133">
        <v>2</v>
      </c>
      <c r="E6" s="204">
        <v>2</v>
      </c>
      <c r="F6" s="133">
        <v>15</v>
      </c>
      <c r="G6" s="133">
        <v>28</v>
      </c>
      <c r="H6" s="133">
        <v>12</v>
      </c>
      <c r="I6" s="133">
        <v>5</v>
      </c>
      <c r="J6" s="204">
        <v>4</v>
      </c>
      <c r="K6" s="133">
        <v>0</v>
      </c>
      <c r="L6" s="204">
        <v>0</v>
      </c>
      <c r="M6" s="204">
        <v>1</v>
      </c>
      <c r="N6" s="204">
        <v>1</v>
      </c>
      <c r="O6" s="133">
        <v>0</v>
      </c>
      <c r="P6" s="204">
        <v>0</v>
      </c>
      <c r="Q6" s="133">
        <v>14</v>
      </c>
      <c r="R6" s="204">
        <v>1</v>
      </c>
      <c r="S6" s="204">
        <v>1</v>
      </c>
      <c r="T6" s="204" t="s">
        <v>65</v>
      </c>
      <c r="U6" s="133">
        <v>41</v>
      </c>
      <c r="V6" s="133">
        <v>84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</row>
    <row r="7" spans="1:43" s="200" customFormat="1" x14ac:dyDescent="0.3">
      <c r="A7" s="323"/>
      <c r="B7" s="95" t="s">
        <v>503</v>
      </c>
      <c r="C7" s="133">
        <v>51</v>
      </c>
      <c r="D7" s="133">
        <v>3</v>
      </c>
      <c r="E7" s="133">
        <v>6</v>
      </c>
      <c r="F7" s="133">
        <v>60</v>
      </c>
      <c r="G7" s="133">
        <v>18</v>
      </c>
      <c r="H7" s="133">
        <v>2</v>
      </c>
      <c r="I7" s="133">
        <v>3</v>
      </c>
      <c r="J7" s="133">
        <v>1</v>
      </c>
      <c r="K7" s="133">
        <v>7</v>
      </c>
      <c r="L7" s="133">
        <v>2</v>
      </c>
      <c r="M7" s="133">
        <v>2</v>
      </c>
      <c r="N7" s="133">
        <v>3</v>
      </c>
      <c r="O7" s="133">
        <v>2</v>
      </c>
      <c r="P7" s="133" t="s">
        <v>65</v>
      </c>
      <c r="Q7" s="133">
        <v>17</v>
      </c>
      <c r="R7" s="133">
        <v>3</v>
      </c>
      <c r="S7" s="133">
        <v>1</v>
      </c>
      <c r="T7" s="204">
        <v>8</v>
      </c>
      <c r="U7" s="133">
        <v>53</v>
      </c>
      <c r="V7" s="133">
        <v>131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</row>
    <row r="8" spans="1:43" s="200" customFormat="1" x14ac:dyDescent="0.3">
      <c r="A8" s="323"/>
      <c r="B8" s="95" t="s">
        <v>505</v>
      </c>
      <c r="C8" s="133">
        <v>35</v>
      </c>
      <c r="D8" s="133">
        <v>0</v>
      </c>
      <c r="E8" s="133">
        <v>2</v>
      </c>
      <c r="F8" s="133">
        <v>38</v>
      </c>
      <c r="G8" s="133">
        <v>6</v>
      </c>
      <c r="H8" s="133">
        <v>1</v>
      </c>
      <c r="I8" s="133">
        <v>1</v>
      </c>
      <c r="J8" s="133">
        <v>1</v>
      </c>
      <c r="K8" s="133">
        <v>1</v>
      </c>
      <c r="L8" s="133">
        <v>1</v>
      </c>
      <c r="M8" s="133">
        <v>0</v>
      </c>
      <c r="N8" s="133" t="s">
        <v>65</v>
      </c>
      <c r="O8" s="133">
        <v>1</v>
      </c>
      <c r="P8" s="204">
        <v>1</v>
      </c>
      <c r="Q8" s="133">
        <v>6</v>
      </c>
      <c r="R8" s="133">
        <v>1</v>
      </c>
      <c r="S8" s="133">
        <v>0</v>
      </c>
      <c r="T8" s="133">
        <v>2</v>
      </c>
      <c r="U8" s="133">
        <v>16</v>
      </c>
      <c r="V8" s="133">
        <v>60</v>
      </c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</row>
    <row r="9" spans="1:43" s="200" customFormat="1" x14ac:dyDescent="0.3">
      <c r="A9" s="323"/>
      <c r="B9" s="95" t="s">
        <v>507</v>
      </c>
      <c r="C9" s="133">
        <v>91</v>
      </c>
      <c r="D9" s="133">
        <v>11</v>
      </c>
      <c r="E9" s="133">
        <v>10</v>
      </c>
      <c r="F9" s="133">
        <v>112</v>
      </c>
      <c r="G9" s="133">
        <v>50</v>
      </c>
      <c r="H9" s="133">
        <v>10</v>
      </c>
      <c r="I9" s="133">
        <v>12</v>
      </c>
      <c r="J9" s="133">
        <v>6</v>
      </c>
      <c r="K9" s="133">
        <v>16</v>
      </c>
      <c r="L9" s="133">
        <v>2</v>
      </c>
      <c r="M9" s="133">
        <v>3</v>
      </c>
      <c r="N9" s="204">
        <v>2</v>
      </c>
      <c r="O9" s="133">
        <v>3</v>
      </c>
      <c r="P9" s="133">
        <v>1</v>
      </c>
      <c r="Q9" s="133">
        <v>24</v>
      </c>
      <c r="R9" s="133">
        <v>3</v>
      </c>
      <c r="S9" s="133">
        <v>0</v>
      </c>
      <c r="T9" s="133">
        <v>5</v>
      </c>
      <c r="U9" s="133">
        <v>89</v>
      </c>
      <c r="V9" s="133">
        <v>250</v>
      </c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</row>
    <row r="10" spans="1:43" s="200" customFormat="1" x14ac:dyDescent="0.3">
      <c r="A10" s="323"/>
      <c r="B10" s="95" t="s">
        <v>508</v>
      </c>
      <c r="C10" s="133">
        <v>155</v>
      </c>
      <c r="D10" s="133">
        <v>0</v>
      </c>
      <c r="E10" s="133">
        <v>5</v>
      </c>
      <c r="F10" s="133">
        <v>160</v>
      </c>
      <c r="G10" s="133">
        <v>6</v>
      </c>
      <c r="H10" s="133">
        <v>5</v>
      </c>
      <c r="I10" s="133">
        <v>2</v>
      </c>
      <c r="J10" s="133">
        <v>4</v>
      </c>
      <c r="K10" s="133" t="s">
        <v>65</v>
      </c>
      <c r="L10" s="133">
        <v>0</v>
      </c>
      <c r="M10" s="133">
        <v>0</v>
      </c>
      <c r="N10" s="133">
        <v>0</v>
      </c>
      <c r="O10" s="133">
        <v>1</v>
      </c>
      <c r="P10" s="133">
        <v>0</v>
      </c>
      <c r="Q10" s="133">
        <v>2</v>
      </c>
      <c r="R10" s="133">
        <v>1</v>
      </c>
      <c r="S10" s="133" t="s">
        <v>65</v>
      </c>
      <c r="T10" s="133">
        <v>0</v>
      </c>
      <c r="U10" s="133">
        <v>17</v>
      </c>
      <c r="V10" s="133">
        <v>183</v>
      </c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</row>
    <row r="11" spans="1:43" s="200" customFormat="1" x14ac:dyDescent="0.3">
      <c r="A11" s="323"/>
      <c r="B11" s="95" t="s">
        <v>664</v>
      </c>
      <c r="C11" s="133">
        <v>50</v>
      </c>
      <c r="D11" s="133">
        <v>1</v>
      </c>
      <c r="E11" s="133">
        <v>4</v>
      </c>
      <c r="F11" s="133">
        <v>55</v>
      </c>
      <c r="G11" s="133">
        <v>58</v>
      </c>
      <c r="H11" s="133">
        <v>1</v>
      </c>
      <c r="I11" s="133">
        <v>3</v>
      </c>
      <c r="J11" s="133">
        <v>12</v>
      </c>
      <c r="K11" s="204">
        <v>1</v>
      </c>
      <c r="L11" s="133">
        <v>0</v>
      </c>
      <c r="M11" s="133">
        <v>3</v>
      </c>
      <c r="N11" s="133">
        <v>0</v>
      </c>
      <c r="O11" s="133">
        <v>0</v>
      </c>
      <c r="P11" s="133" t="s">
        <v>65</v>
      </c>
      <c r="Q11" s="133">
        <v>2</v>
      </c>
      <c r="R11" s="133">
        <v>1</v>
      </c>
      <c r="S11" s="204" t="s">
        <v>65</v>
      </c>
      <c r="T11" s="133">
        <v>2</v>
      </c>
      <c r="U11" s="133">
        <v>24</v>
      </c>
      <c r="V11" s="133">
        <v>137</v>
      </c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</row>
    <row r="12" spans="1:43" s="200" customFormat="1" x14ac:dyDescent="0.3">
      <c r="A12" s="323"/>
      <c r="B12" s="95" t="s">
        <v>665</v>
      </c>
      <c r="C12" s="133">
        <v>62</v>
      </c>
      <c r="D12" s="133">
        <v>2</v>
      </c>
      <c r="E12" s="133">
        <v>3</v>
      </c>
      <c r="F12" s="133">
        <v>67</v>
      </c>
      <c r="G12" s="133">
        <v>7</v>
      </c>
      <c r="H12" s="133">
        <v>2</v>
      </c>
      <c r="I12" s="133">
        <v>2</v>
      </c>
      <c r="J12" s="133">
        <v>0</v>
      </c>
      <c r="K12" s="133">
        <v>0</v>
      </c>
      <c r="L12" s="133">
        <v>2</v>
      </c>
      <c r="M12" s="133">
        <v>0</v>
      </c>
      <c r="N12" s="133">
        <v>1</v>
      </c>
      <c r="O12" s="133">
        <v>2</v>
      </c>
      <c r="P12" s="204">
        <v>0</v>
      </c>
      <c r="Q12" s="133">
        <v>0</v>
      </c>
      <c r="R12" s="133">
        <v>0</v>
      </c>
      <c r="S12" s="204">
        <v>1</v>
      </c>
      <c r="T12" s="133">
        <v>1</v>
      </c>
      <c r="U12" s="133">
        <v>12</v>
      </c>
      <c r="V12" s="133">
        <v>86</v>
      </c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</row>
    <row r="13" spans="1:43" s="200" customFormat="1" x14ac:dyDescent="0.3">
      <c r="A13" s="323"/>
      <c r="B13" s="95" t="s">
        <v>666</v>
      </c>
      <c r="C13" s="133">
        <v>36</v>
      </c>
      <c r="D13" s="133">
        <v>2</v>
      </c>
      <c r="E13" s="133">
        <v>2</v>
      </c>
      <c r="F13" s="133">
        <v>41</v>
      </c>
      <c r="G13" s="133">
        <v>2</v>
      </c>
      <c r="H13" s="133">
        <v>1</v>
      </c>
      <c r="I13" s="133">
        <v>1</v>
      </c>
      <c r="J13" s="133" t="s">
        <v>65</v>
      </c>
      <c r="K13" s="133">
        <v>0</v>
      </c>
      <c r="L13" s="133">
        <v>1</v>
      </c>
      <c r="M13" s="133">
        <v>0</v>
      </c>
      <c r="N13" s="133">
        <v>0</v>
      </c>
      <c r="O13" s="133">
        <v>0</v>
      </c>
      <c r="P13" s="133">
        <v>2</v>
      </c>
      <c r="Q13" s="133">
        <v>1</v>
      </c>
      <c r="R13" s="133">
        <v>0</v>
      </c>
      <c r="S13" s="133" t="s">
        <v>65</v>
      </c>
      <c r="T13" s="133" t="s">
        <v>65</v>
      </c>
      <c r="U13" s="133">
        <v>7</v>
      </c>
      <c r="V13" s="133">
        <v>49</v>
      </c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</row>
    <row r="14" spans="1:43" s="200" customFormat="1" x14ac:dyDescent="0.3">
      <c r="A14" s="323"/>
      <c r="B14" s="95" t="s">
        <v>504</v>
      </c>
      <c r="C14" s="133">
        <v>75</v>
      </c>
      <c r="D14" s="133">
        <v>1</v>
      </c>
      <c r="E14" s="133">
        <v>8</v>
      </c>
      <c r="F14" s="133">
        <v>84</v>
      </c>
      <c r="G14" s="133">
        <v>14</v>
      </c>
      <c r="H14" s="133">
        <v>10</v>
      </c>
      <c r="I14" s="133">
        <v>18</v>
      </c>
      <c r="J14" s="204">
        <v>3</v>
      </c>
      <c r="K14" s="133">
        <v>12</v>
      </c>
      <c r="L14" s="133">
        <v>2</v>
      </c>
      <c r="M14" s="133">
        <v>6</v>
      </c>
      <c r="N14" s="133">
        <v>3</v>
      </c>
      <c r="O14" s="133">
        <v>2</v>
      </c>
      <c r="P14" s="133">
        <v>0</v>
      </c>
      <c r="Q14" s="133">
        <v>12</v>
      </c>
      <c r="R14" s="133">
        <v>1</v>
      </c>
      <c r="S14" s="204">
        <v>1</v>
      </c>
      <c r="T14" s="204">
        <v>1</v>
      </c>
      <c r="U14" s="133">
        <v>70</v>
      </c>
      <c r="V14" s="133">
        <v>168</v>
      </c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</row>
    <row r="15" spans="1:43" s="200" customFormat="1" x14ac:dyDescent="0.3">
      <c r="A15" s="323"/>
      <c r="B15" s="95" t="s">
        <v>509</v>
      </c>
      <c r="C15" s="133">
        <v>11</v>
      </c>
      <c r="D15" s="133" t="s">
        <v>65</v>
      </c>
      <c r="E15" s="133">
        <v>1</v>
      </c>
      <c r="F15" s="133">
        <v>12</v>
      </c>
      <c r="G15" s="133">
        <v>13</v>
      </c>
      <c r="H15" s="133">
        <v>2</v>
      </c>
      <c r="I15" s="133">
        <v>0</v>
      </c>
      <c r="J15" s="133">
        <v>0</v>
      </c>
      <c r="K15" s="133">
        <v>0</v>
      </c>
      <c r="L15" s="133">
        <v>1</v>
      </c>
      <c r="M15" s="133">
        <v>0</v>
      </c>
      <c r="N15" s="133" t="s">
        <v>65</v>
      </c>
      <c r="O15" s="133">
        <v>0</v>
      </c>
      <c r="P15" s="133" t="s">
        <v>65</v>
      </c>
      <c r="Q15" s="133">
        <v>2</v>
      </c>
      <c r="R15" s="133">
        <v>1</v>
      </c>
      <c r="S15" s="133">
        <v>0</v>
      </c>
      <c r="T15" s="133" t="s">
        <v>65</v>
      </c>
      <c r="U15" s="133">
        <v>6</v>
      </c>
      <c r="V15" s="133">
        <v>32</v>
      </c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</row>
    <row r="16" spans="1:43" s="200" customFormat="1" x14ac:dyDescent="0.3">
      <c r="A16" s="323"/>
      <c r="B16" s="95" t="s">
        <v>510</v>
      </c>
      <c r="C16" s="133">
        <v>68</v>
      </c>
      <c r="D16" s="204">
        <v>0</v>
      </c>
      <c r="E16" s="133" t="s">
        <v>65</v>
      </c>
      <c r="F16" s="133">
        <v>68</v>
      </c>
      <c r="G16" s="133">
        <v>75</v>
      </c>
      <c r="H16" s="133">
        <v>4</v>
      </c>
      <c r="I16" s="133">
        <v>2</v>
      </c>
      <c r="J16" s="133" t="s">
        <v>65</v>
      </c>
      <c r="K16" s="133">
        <v>1</v>
      </c>
      <c r="L16" s="133" t="s">
        <v>65</v>
      </c>
      <c r="M16" s="133" t="s">
        <v>65</v>
      </c>
      <c r="N16" s="204" t="s">
        <v>65</v>
      </c>
      <c r="O16" s="133">
        <v>1</v>
      </c>
      <c r="P16" s="204" t="s">
        <v>65</v>
      </c>
      <c r="Q16" s="133">
        <v>1</v>
      </c>
      <c r="R16" s="133" t="s">
        <v>65</v>
      </c>
      <c r="S16" s="133" t="s">
        <v>65</v>
      </c>
      <c r="T16" s="204" t="s">
        <v>65</v>
      </c>
      <c r="U16" s="133">
        <v>9</v>
      </c>
      <c r="V16" s="133">
        <v>152</v>
      </c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</row>
    <row r="17" spans="1:43" s="200" customFormat="1" x14ac:dyDescent="0.3">
      <c r="A17" s="308"/>
      <c r="B17" s="97" t="s">
        <v>86</v>
      </c>
      <c r="C17" s="134">
        <v>647</v>
      </c>
      <c r="D17" s="134">
        <v>23</v>
      </c>
      <c r="E17" s="134">
        <v>43</v>
      </c>
      <c r="F17" s="134">
        <v>713</v>
      </c>
      <c r="G17" s="134">
        <v>277</v>
      </c>
      <c r="H17" s="134">
        <v>49</v>
      </c>
      <c r="I17" s="134">
        <v>50</v>
      </c>
      <c r="J17" s="134">
        <v>33</v>
      </c>
      <c r="K17" s="134">
        <v>37</v>
      </c>
      <c r="L17" s="134">
        <v>12</v>
      </c>
      <c r="M17" s="134">
        <v>16</v>
      </c>
      <c r="N17" s="134">
        <v>11</v>
      </c>
      <c r="O17" s="134">
        <v>13</v>
      </c>
      <c r="P17" s="134">
        <v>4</v>
      </c>
      <c r="Q17" s="134">
        <v>82</v>
      </c>
      <c r="R17" s="134">
        <v>11</v>
      </c>
      <c r="S17" s="134">
        <v>5</v>
      </c>
      <c r="T17" s="134">
        <v>19</v>
      </c>
      <c r="U17" s="134">
        <v>343</v>
      </c>
      <c r="V17" s="134">
        <v>1333</v>
      </c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</row>
    <row r="18" spans="1:43" s="200" customFormat="1" x14ac:dyDescent="0.3">
      <c r="A18" s="307" t="s">
        <v>141</v>
      </c>
      <c r="B18" s="95" t="s">
        <v>667</v>
      </c>
      <c r="C18" s="133">
        <v>169</v>
      </c>
      <c r="D18" s="133">
        <v>14</v>
      </c>
      <c r="E18" s="133">
        <v>126</v>
      </c>
      <c r="F18" s="133">
        <v>309</v>
      </c>
      <c r="G18" s="133">
        <v>351</v>
      </c>
      <c r="H18" s="133">
        <v>26</v>
      </c>
      <c r="I18" s="133">
        <v>2</v>
      </c>
      <c r="J18" s="133">
        <v>64</v>
      </c>
      <c r="K18" s="133">
        <v>28</v>
      </c>
      <c r="L18" s="133">
        <v>8</v>
      </c>
      <c r="M18" s="133">
        <v>9</v>
      </c>
      <c r="N18" s="133">
        <v>8</v>
      </c>
      <c r="O18" s="133">
        <v>17</v>
      </c>
      <c r="P18" s="204" t="s">
        <v>65</v>
      </c>
      <c r="Q18" s="133">
        <v>50</v>
      </c>
      <c r="R18" s="133">
        <v>1</v>
      </c>
      <c r="S18" s="133">
        <v>1</v>
      </c>
      <c r="T18" s="133">
        <v>1</v>
      </c>
      <c r="U18" s="133">
        <v>215</v>
      </c>
      <c r="V18" s="133">
        <v>875</v>
      </c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</row>
    <row r="19" spans="1:43" s="200" customFormat="1" x14ac:dyDescent="0.3">
      <c r="A19" s="323"/>
      <c r="B19" s="95" t="s">
        <v>515</v>
      </c>
      <c r="C19" s="133">
        <v>47</v>
      </c>
      <c r="D19" s="204">
        <v>1</v>
      </c>
      <c r="E19" s="133">
        <v>1</v>
      </c>
      <c r="F19" s="133">
        <v>49</v>
      </c>
      <c r="G19" s="133">
        <v>49</v>
      </c>
      <c r="H19" s="133">
        <v>1</v>
      </c>
      <c r="I19" s="133">
        <v>6</v>
      </c>
      <c r="J19" s="133">
        <v>3</v>
      </c>
      <c r="K19" s="133">
        <v>36</v>
      </c>
      <c r="L19" s="204">
        <v>0</v>
      </c>
      <c r="M19" s="133">
        <v>0</v>
      </c>
      <c r="N19" s="204">
        <v>1</v>
      </c>
      <c r="O19" s="133">
        <v>2</v>
      </c>
      <c r="P19" s="133" t="s">
        <v>65</v>
      </c>
      <c r="Q19" s="133">
        <v>8</v>
      </c>
      <c r="R19" s="133">
        <v>7</v>
      </c>
      <c r="S19" s="204" t="s">
        <v>65</v>
      </c>
      <c r="T19" s="133" t="s">
        <v>65</v>
      </c>
      <c r="U19" s="133">
        <v>64</v>
      </c>
      <c r="V19" s="133">
        <v>163</v>
      </c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</row>
    <row r="20" spans="1:43" s="200" customFormat="1" x14ac:dyDescent="0.3">
      <c r="A20" s="323"/>
      <c r="B20" s="95" t="s">
        <v>513</v>
      </c>
      <c r="C20" s="133">
        <v>322</v>
      </c>
      <c r="D20" s="133" t="s">
        <v>65</v>
      </c>
      <c r="E20" s="133">
        <v>12</v>
      </c>
      <c r="F20" s="133">
        <v>335</v>
      </c>
      <c r="G20" s="133">
        <v>251</v>
      </c>
      <c r="H20" s="133">
        <v>12</v>
      </c>
      <c r="I20" s="133">
        <v>4</v>
      </c>
      <c r="J20" s="133">
        <v>20</v>
      </c>
      <c r="K20" s="133">
        <v>5</v>
      </c>
      <c r="L20" s="133">
        <v>1</v>
      </c>
      <c r="M20" s="133">
        <v>0</v>
      </c>
      <c r="N20" s="133" t="s">
        <v>65</v>
      </c>
      <c r="O20" s="133" t="s">
        <v>65</v>
      </c>
      <c r="P20" s="204" t="s">
        <v>65</v>
      </c>
      <c r="Q20" s="133">
        <v>37</v>
      </c>
      <c r="R20" s="133">
        <v>1</v>
      </c>
      <c r="S20" s="204">
        <v>0</v>
      </c>
      <c r="T20" s="204">
        <v>0</v>
      </c>
      <c r="U20" s="133">
        <v>80</v>
      </c>
      <c r="V20" s="133">
        <v>666</v>
      </c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</row>
    <row r="21" spans="1:43" s="200" customFormat="1" x14ac:dyDescent="0.3">
      <c r="A21" s="323"/>
      <c r="B21" s="95" t="s">
        <v>668</v>
      </c>
      <c r="C21" s="133">
        <v>35</v>
      </c>
      <c r="D21" s="204">
        <v>0</v>
      </c>
      <c r="E21" s="133">
        <v>14</v>
      </c>
      <c r="F21" s="133">
        <v>49</v>
      </c>
      <c r="G21" s="133">
        <v>729</v>
      </c>
      <c r="H21" s="133">
        <v>9</v>
      </c>
      <c r="I21" s="133">
        <v>0</v>
      </c>
      <c r="J21" s="133">
        <v>28</v>
      </c>
      <c r="K21" s="133">
        <v>3</v>
      </c>
      <c r="L21" s="133">
        <v>3</v>
      </c>
      <c r="M21" s="133">
        <v>1</v>
      </c>
      <c r="N21" s="204" t="s">
        <v>65</v>
      </c>
      <c r="O21" s="204">
        <v>40</v>
      </c>
      <c r="P21" s="204" t="s">
        <v>65</v>
      </c>
      <c r="Q21" s="133">
        <v>6</v>
      </c>
      <c r="R21" s="133">
        <v>5</v>
      </c>
      <c r="S21" s="133" t="s">
        <v>65</v>
      </c>
      <c r="T21" s="133">
        <v>4</v>
      </c>
      <c r="U21" s="133">
        <v>100</v>
      </c>
      <c r="V21" s="133">
        <v>878</v>
      </c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</row>
    <row r="22" spans="1:43" s="200" customFormat="1" x14ac:dyDescent="0.3">
      <c r="A22" s="323"/>
      <c r="B22" s="95" t="s">
        <v>669</v>
      </c>
      <c r="C22" s="133">
        <v>592</v>
      </c>
      <c r="D22" s="133">
        <v>32</v>
      </c>
      <c r="E22" s="133">
        <v>136</v>
      </c>
      <c r="F22" s="133">
        <v>761</v>
      </c>
      <c r="G22" s="133">
        <v>362</v>
      </c>
      <c r="H22" s="133">
        <v>47</v>
      </c>
      <c r="I22" s="133">
        <v>31</v>
      </c>
      <c r="J22" s="133">
        <v>27</v>
      </c>
      <c r="K22" s="133">
        <v>57</v>
      </c>
      <c r="L22" s="133">
        <v>9</v>
      </c>
      <c r="M22" s="133">
        <v>10</v>
      </c>
      <c r="N22" s="204">
        <v>3</v>
      </c>
      <c r="O22" s="133">
        <v>27</v>
      </c>
      <c r="P22" s="204">
        <v>5</v>
      </c>
      <c r="Q22" s="133">
        <v>126</v>
      </c>
      <c r="R22" s="133">
        <v>20</v>
      </c>
      <c r="S22" s="204">
        <v>1</v>
      </c>
      <c r="T22" s="133">
        <v>5</v>
      </c>
      <c r="U22" s="133">
        <v>369</v>
      </c>
      <c r="V22" s="133">
        <v>1492</v>
      </c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</row>
    <row r="23" spans="1:43" s="200" customFormat="1" x14ac:dyDescent="0.3">
      <c r="A23" s="323"/>
      <c r="B23" s="95" t="s">
        <v>511</v>
      </c>
      <c r="C23" s="133">
        <v>211</v>
      </c>
      <c r="D23" s="133">
        <v>0</v>
      </c>
      <c r="E23" s="133">
        <v>9</v>
      </c>
      <c r="F23" s="133">
        <v>220</v>
      </c>
      <c r="G23" s="133">
        <v>1015</v>
      </c>
      <c r="H23" s="133">
        <v>6</v>
      </c>
      <c r="I23" s="133">
        <v>19</v>
      </c>
      <c r="J23" s="133">
        <v>29</v>
      </c>
      <c r="K23" s="133">
        <v>0</v>
      </c>
      <c r="L23" s="133">
        <v>19</v>
      </c>
      <c r="M23" s="133">
        <v>1</v>
      </c>
      <c r="N23" s="133">
        <v>0</v>
      </c>
      <c r="O23" s="133">
        <v>6</v>
      </c>
      <c r="P23" s="133">
        <v>2</v>
      </c>
      <c r="Q23" s="133">
        <v>638</v>
      </c>
      <c r="R23" s="133">
        <v>3</v>
      </c>
      <c r="S23" s="133">
        <v>1</v>
      </c>
      <c r="T23" s="133">
        <v>6</v>
      </c>
      <c r="U23" s="133">
        <v>732</v>
      </c>
      <c r="V23" s="133">
        <v>1967</v>
      </c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</row>
    <row r="24" spans="1:43" s="200" customFormat="1" x14ac:dyDescent="0.3">
      <c r="A24" s="323"/>
      <c r="B24" s="95" t="s">
        <v>514</v>
      </c>
      <c r="C24" s="133">
        <v>39</v>
      </c>
      <c r="D24" s="133">
        <v>0</v>
      </c>
      <c r="E24" s="133">
        <v>3</v>
      </c>
      <c r="F24" s="133">
        <v>42</v>
      </c>
      <c r="G24" s="133">
        <v>40</v>
      </c>
      <c r="H24" s="133">
        <v>3</v>
      </c>
      <c r="I24" s="133">
        <v>4</v>
      </c>
      <c r="J24" s="133" t="s">
        <v>65</v>
      </c>
      <c r="K24" s="133">
        <v>1</v>
      </c>
      <c r="L24" s="133">
        <v>9</v>
      </c>
      <c r="M24" s="133">
        <v>1</v>
      </c>
      <c r="N24" s="133">
        <v>0</v>
      </c>
      <c r="O24" s="133">
        <v>2</v>
      </c>
      <c r="P24" s="133" t="s">
        <v>65</v>
      </c>
      <c r="Q24" s="133">
        <v>1</v>
      </c>
      <c r="R24" s="133">
        <v>1</v>
      </c>
      <c r="S24" s="133">
        <v>1</v>
      </c>
      <c r="T24" s="133" t="s">
        <v>65</v>
      </c>
      <c r="U24" s="133">
        <v>21</v>
      </c>
      <c r="V24" s="133">
        <v>103</v>
      </c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</row>
    <row r="25" spans="1:43" s="200" customFormat="1" x14ac:dyDescent="0.3">
      <c r="A25" s="323"/>
      <c r="B25" s="95" t="s">
        <v>512</v>
      </c>
      <c r="C25" s="133">
        <v>30</v>
      </c>
      <c r="D25" s="133">
        <v>2</v>
      </c>
      <c r="E25" s="133">
        <v>5</v>
      </c>
      <c r="F25" s="133">
        <v>37</v>
      </c>
      <c r="G25" s="133">
        <v>12</v>
      </c>
      <c r="H25" s="133">
        <v>1</v>
      </c>
      <c r="I25" s="133">
        <v>1</v>
      </c>
      <c r="J25" s="204">
        <v>2</v>
      </c>
      <c r="K25" s="133">
        <v>4</v>
      </c>
      <c r="L25" s="133" t="s">
        <v>65</v>
      </c>
      <c r="M25" s="133">
        <v>3</v>
      </c>
      <c r="N25" s="133">
        <v>0</v>
      </c>
      <c r="O25" s="133">
        <v>1</v>
      </c>
      <c r="P25" s="204">
        <v>2</v>
      </c>
      <c r="Q25" s="133">
        <v>3</v>
      </c>
      <c r="R25" s="133">
        <v>5</v>
      </c>
      <c r="S25" s="133" t="s">
        <v>65</v>
      </c>
      <c r="T25" s="204">
        <v>0</v>
      </c>
      <c r="U25" s="133">
        <v>22</v>
      </c>
      <c r="V25" s="133">
        <v>71</v>
      </c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</row>
    <row r="26" spans="1:43" s="200" customFormat="1" x14ac:dyDescent="0.3">
      <c r="A26" s="323"/>
      <c r="B26" s="95" t="s">
        <v>670</v>
      </c>
      <c r="C26" s="133">
        <v>49</v>
      </c>
      <c r="D26" s="133">
        <v>22</v>
      </c>
      <c r="E26" s="133">
        <v>1</v>
      </c>
      <c r="F26" s="133">
        <v>72</v>
      </c>
      <c r="G26" s="133">
        <v>96</v>
      </c>
      <c r="H26" s="133">
        <v>6</v>
      </c>
      <c r="I26" s="133">
        <v>6</v>
      </c>
      <c r="J26" s="133">
        <v>2</v>
      </c>
      <c r="K26" s="133">
        <v>0</v>
      </c>
      <c r="L26" s="204">
        <v>7</v>
      </c>
      <c r="M26" s="133">
        <v>0</v>
      </c>
      <c r="N26" s="133">
        <v>1</v>
      </c>
      <c r="O26" s="133">
        <v>8</v>
      </c>
      <c r="P26" s="133" t="s">
        <v>65</v>
      </c>
      <c r="Q26" s="133">
        <v>1</v>
      </c>
      <c r="R26" s="133">
        <v>1</v>
      </c>
      <c r="S26" s="204" t="s">
        <v>65</v>
      </c>
      <c r="T26" s="133">
        <v>1</v>
      </c>
      <c r="U26" s="133">
        <v>34</v>
      </c>
      <c r="V26" s="133">
        <v>202</v>
      </c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</row>
    <row r="27" spans="1:43" s="200" customFormat="1" x14ac:dyDescent="0.3">
      <c r="A27" s="323"/>
      <c r="B27" s="95" t="s">
        <v>516</v>
      </c>
      <c r="C27" s="133">
        <v>59</v>
      </c>
      <c r="D27" s="133" t="s">
        <v>65</v>
      </c>
      <c r="E27" s="133">
        <v>0</v>
      </c>
      <c r="F27" s="133">
        <v>59</v>
      </c>
      <c r="G27" s="133">
        <v>26</v>
      </c>
      <c r="H27" s="133">
        <v>3</v>
      </c>
      <c r="I27" s="133">
        <v>3</v>
      </c>
      <c r="J27" s="133">
        <v>0</v>
      </c>
      <c r="K27" s="133">
        <v>1</v>
      </c>
      <c r="L27" s="133" t="s">
        <v>65</v>
      </c>
      <c r="M27" s="133">
        <v>3</v>
      </c>
      <c r="N27" s="133" t="s">
        <v>65</v>
      </c>
      <c r="O27" s="133">
        <v>32</v>
      </c>
      <c r="P27" s="204">
        <v>0</v>
      </c>
      <c r="Q27" s="133">
        <v>50</v>
      </c>
      <c r="R27" s="133">
        <v>0</v>
      </c>
      <c r="S27" s="204" t="s">
        <v>65</v>
      </c>
      <c r="T27" s="133">
        <v>2</v>
      </c>
      <c r="U27" s="133">
        <v>93</v>
      </c>
      <c r="V27" s="133">
        <v>178</v>
      </c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</row>
    <row r="28" spans="1:43" s="200" customFormat="1" x14ac:dyDescent="0.3">
      <c r="A28" s="308"/>
      <c r="B28" s="97" t="s">
        <v>86</v>
      </c>
      <c r="C28" s="134">
        <v>1553</v>
      </c>
      <c r="D28" s="134">
        <v>72</v>
      </c>
      <c r="E28" s="134">
        <v>308</v>
      </c>
      <c r="F28" s="134">
        <v>1933</v>
      </c>
      <c r="G28" s="134">
        <v>2932</v>
      </c>
      <c r="H28" s="134">
        <v>114</v>
      </c>
      <c r="I28" s="134">
        <v>76</v>
      </c>
      <c r="J28" s="134">
        <v>174</v>
      </c>
      <c r="K28" s="134">
        <v>136</v>
      </c>
      <c r="L28" s="134">
        <v>55</v>
      </c>
      <c r="M28" s="134">
        <v>28</v>
      </c>
      <c r="N28" s="134">
        <v>14</v>
      </c>
      <c r="O28" s="134">
        <v>135</v>
      </c>
      <c r="P28" s="134">
        <v>9</v>
      </c>
      <c r="Q28" s="134">
        <v>921</v>
      </c>
      <c r="R28" s="134">
        <v>44</v>
      </c>
      <c r="S28" s="134">
        <v>5</v>
      </c>
      <c r="T28" s="134">
        <v>20</v>
      </c>
      <c r="U28" s="134">
        <v>1731</v>
      </c>
      <c r="V28" s="134">
        <v>6595</v>
      </c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</row>
    <row r="29" spans="1:43" s="200" customFormat="1" x14ac:dyDescent="0.3">
      <c r="A29" s="307" t="s">
        <v>142</v>
      </c>
      <c r="B29" s="95" t="s">
        <v>521</v>
      </c>
      <c r="C29" s="133">
        <v>228</v>
      </c>
      <c r="D29" s="133">
        <v>16</v>
      </c>
      <c r="E29" s="133">
        <v>166</v>
      </c>
      <c r="F29" s="133">
        <v>410</v>
      </c>
      <c r="G29" s="133">
        <v>140</v>
      </c>
      <c r="H29" s="133">
        <v>75</v>
      </c>
      <c r="I29" s="133">
        <v>14</v>
      </c>
      <c r="J29" s="133">
        <v>11</v>
      </c>
      <c r="K29" s="133">
        <v>110</v>
      </c>
      <c r="L29" s="133">
        <v>2</v>
      </c>
      <c r="M29" s="133">
        <v>43</v>
      </c>
      <c r="N29" s="133">
        <v>25</v>
      </c>
      <c r="O29" s="133">
        <v>44</v>
      </c>
      <c r="P29" s="133">
        <v>25</v>
      </c>
      <c r="Q29" s="133">
        <v>67</v>
      </c>
      <c r="R29" s="133">
        <v>41</v>
      </c>
      <c r="S29" s="133">
        <v>1</v>
      </c>
      <c r="T29" s="133">
        <v>4</v>
      </c>
      <c r="U29" s="133">
        <v>463</v>
      </c>
      <c r="V29" s="133">
        <v>1013</v>
      </c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</row>
    <row r="30" spans="1:43" s="200" customFormat="1" x14ac:dyDescent="0.3">
      <c r="A30" s="323"/>
      <c r="B30" s="95" t="s">
        <v>523</v>
      </c>
      <c r="C30" s="133">
        <v>8</v>
      </c>
      <c r="D30" s="133">
        <v>0</v>
      </c>
      <c r="E30" s="133">
        <v>5</v>
      </c>
      <c r="F30" s="133">
        <v>13</v>
      </c>
      <c r="G30" s="133">
        <v>11</v>
      </c>
      <c r="H30" s="133">
        <v>1</v>
      </c>
      <c r="I30" s="133">
        <v>2</v>
      </c>
      <c r="J30" s="133">
        <v>3</v>
      </c>
      <c r="K30" s="133">
        <v>2</v>
      </c>
      <c r="L30" s="133">
        <v>0</v>
      </c>
      <c r="M30" s="133">
        <v>12</v>
      </c>
      <c r="N30" s="133">
        <v>3</v>
      </c>
      <c r="O30" s="133">
        <v>2</v>
      </c>
      <c r="P30" s="204" t="s">
        <v>65</v>
      </c>
      <c r="Q30" s="133">
        <v>2</v>
      </c>
      <c r="R30" s="133">
        <v>1</v>
      </c>
      <c r="S30" s="204" t="s">
        <v>65</v>
      </c>
      <c r="T30" s="133">
        <v>1</v>
      </c>
      <c r="U30" s="133">
        <v>29</v>
      </c>
      <c r="V30" s="133">
        <v>53</v>
      </c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</row>
    <row r="31" spans="1:43" s="200" customFormat="1" x14ac:dyDescent="0.3">
      <c r="A31" s="323"/>
      <c r="B31" s="95" t="s">
        <v>519</v>
      </c>
      <c r="C31" s="133">
        <v>92</v>
      </c>
      <c r="D31" s="133">
        <v>19</v>
      </c>
      <c r="E31" s="133">
        <v>33</v>
      </c>
      <c r="F31" s="133">
        <v>144</v>
      </c>
      <c r="G31" s="133">
        <v>51</v>
      </c>
      <c r="H31" s="133">
        <v>6</v>
      </c>
      <c r="I31" s="133">
        <v>23</v>
      </c>
      <c r="J31" s="133">
        <v>8</v>
      </c>
      <c r="K31" s="133">
        <v>20</v>
      </c>
      <c r="L31" s="133">
        <v>14</v>
      </c>
      <c r="M31" s="133">
        <v>13</v>
      </c>
      <c r="N31" s="133">
        <v>4</v>
      </c>
      <c r="O31" s="204">
        <v>7</v>
      </c>
      <c r="P31" s="133">
        <v>1</v>
      </c>
      <c r="Q31" s="133">
        <v>38</v>
      </c>
      <c r="R31" s="133">
        <v>20</v>
      </c>
      <c r="S31" s="133">
        <v>0</v>
      </c>
      <c r="T31" s="133">
        <v>4</v>
      </c>
      <c r="U31" s="133">
        <v>156</v>
      </c>
      <c r="V31" s="133">
        <v>351</v>
      </c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</row>
    <row r="32" spans="1:43" s="200" customFormat="1" x14ac:dyDescent="0.3">
      <c r="A32" s="323"/>
      <c r="B32" s="95" t="s">
        <v>517</v>
      </c>
      <c r="C32" s="133">
        <v>141</v>
      </c>
      <c r="D32" s="133">
        <v>3</v>
      </c>
      <c r="E32" s="133">
        <v>9</v>
      </c>
      <c r="F32" s="133">
        <v>153</v>
      </c>
      <c r="G32" s="133">
        <v>70</v>
      </c>
      <c r="H32" s="133">
        <v>24</v>
      </c>
      <c r="I32" s="133">
        <v>9</v>
      </c>
      <c r="J32" s="133">
        <v>13</v>
      </c>
      <c r="K32" s="133">
        <v>14</v>
      </c>
      <c r="L32" s="133">
        <v>10</v>
      </c>
      <c r="M32" s="133">
        <v>7</v>
      </c>
      <c r="N32" s="133">
        <v>2</v>
      </c>
      <c r="O32" s="133">
        <v>6</v>
      </c>
      <c r="P32" s="133">
        <v>1</v>
      </c>
      <c r="Q32" s="133">
        <v>31</v>
      </c>
      <c r="R32" s="133">
        <v>21</v>
      </c>
      <c r="S32" s="133" t="s">
        <v>65</v>
      </c>
      <c r="T32" s="133">
        <v>2</v>
      </c>
      <c r="U32" s="133">
        <v>141</v>
      </c>
      <c r="V32" s="133">
        <v>365</v>
      </c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</row>
    <row r="33" spans="1:43" s="200" customFormat="1" x14ac:dyDescent="0.3">
      <c r="A33" s="323"/>
      <c r="B33" s="95" t="s">
        <v>520</v>
      </c>
      <c r="C33" s="133">
        <v>72</v>
      </c>
      <c r="D33" s="133">
        <v>2</v>
      </c>
      <c r="E33" s="133">
        <v>48</v>
      </c>
      <c r="F33" s="133">
        <v>122</v>
      </c>
      <c r="G33" s="133">
        <v>71</v>
      </c>
      <c r="H33" s="133">
        <v>14</v>
      </c>
      <c r="I33" s="133">
        <v>19</v>
      </c>
      <c r="J33" s="133">
        <v>3</v>
      </c>
      <c r="K33" s="133">
        <v>14</v>
      </c>
      <c r="L33" s="133">
        <v>18</v>
      </c>
      <c r="M33" s="133">
        <v>21</v>
      </c>
      <c r="N33" s="133">
        <v>13</v>
      </c>
      <c r="O33" s="133">
        <v>1</v>
      </c>
      <c r="P33" s="133">
        <v>6</v>
      </c>
      <c r="Q33" s="133">
        <v>18</v>
      </c>
      <c r="R33" s="133">
        <v>12</v>
      </c>
      <c r="S33" s="204">
        <v>0</v>
      </c>
      <c r="T33" s="133">
        <v>0</v>
      </c>
      <c r="U33" s="133">
        <v>140</v>
      </c>
      <c r="V33" s="133">
        <v>332</v>
      </c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</row>
    <row r="34" spans="1:43" s="200" customFormat="1" x14ac:dyDescent="0.3">
      <c r="A34" s="323"/>
      <c r="B34" s="95" t="s">
        <v>522</v>
      </c>
      <c r="C34" s="133">
        <v>20</v>
      </c>
      <c r="D34" s="133">
        <v>2</v>
      </c>
      <c r="E34" s="133">
        <v>3</v>
      </c>
      <c r="F34" s="133">
        <v>25</v>
      </c>
      <c r="G34" s="133">
        <v>41</v>
      </c>
      <c r="H34" s="133">
        <v>3</v>
      </c>
      <c r="I34" s="133">
        <v>1</v>
      </c>
      <c r="J34" s="133">
        <v>5</v>
      </c>
      <c r="K34" s="133">
        <v>3</v>
      </c>
      <c r="L34" s="133">
        <v>1</v>
      </c>
      <c r="M34" s="133">
        <v>7</v>
      </c>
      <c r="N34" s="133">
        <v>1</v>
      </c>
      <c r="O34" s="133">
        <v>2</v>
      </c>
      <c r="P34" s="133">
        <v>0</v>
      </c>
      <c r="Q34" s="133">
        <v>1</v>
      </c>
      <c r="R34" s="133">
        <v>2</v>
      </c>
      <c r="S34" s="133">
        <v>0</v>
      </c>
      <c r="T34" s="133">
        <v>3</v>
      </c>
      <c r="U34" s="133">
        <v>28</v>
      </c>
      <c r="V34" s="133">
        <v>94</v>
      </c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</row>
    <row r="35" spans="1:43" s="200" customFormat="1" x14ac:dyDescent="0.3">
      <c r="A35" s="323"/>
      <c r="B35" s="95" t="s">
        <v>518</v>
      </c>
      <c r="C35" s="133">
        <v>170</v>
      </c>
      <c r="D35" s="133">
        <v>11</v>
      </c>
      <c r="E35" s="133">
        <v>90</v>
      </c>
      <c r="F35" s="133">
        <v>271</v>
      </c>
      <c r="G35" s="133">
        <v>155</v>
      </c>
      <c r="H35" s="133">
        <v>24</v>
      </c>
      <c r="I35" s="133">
        <v>11</v>
      </c>
      <c r="J35" s="133">
        <v>17</v>
      </c>
      <c r="K35" s="133">
        <v>50</v>
      </c>
      <c r="L35" s="133">
        <v>13</v>
      </c>
      <c r="M35" s="133">
        <v>17</v>
      </c>
      <c r="N35" s="133">
        <v>7</v>
      </c>
      <c r="O35" s="133">
        <v>8</v>
      </c>
      <c r="P35" s="133">
        <v>14</v>
      </c>
      <c r="Q35" s="133">
        <v>37</v>
      </c>
      <c r="R35" s="133">
        <v>2</v>
      </c>
      <c r="S35" s="133">
        <v>5</v>
      </c>
      <c r="T35" s="133">
        <v>1</v>
      </c>
      <c r="U35" s="133">
        <v>206</v>
      </c>
      <c r="V35" s="133">
        <v>632</v>
      </c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</row>
    <row r="36" spans="1:43" s="200" customFormat="1" x14ac:dyDescent="0.3">
      <c r="A36" s="323"/>
      <c r="B36" s="95" t="s">
        <v>525</v>
      </c>
      <c r="C36" s="133">
        <v>35</v>
      </c>
      <c r="D36" s="133">
        <v>2</v>
      </c>
      <c r="E36" s="133">
        <v>11</v>
      </c>
      <c r="F36" s="133">
        <v>49</v>
      </c>
      <c r="G36" s="133">
        <v>12</v>
      </c>
      <c r="H36" s="133">
        <v>18</v>
      </c>
      <c r="I36" s="133">
        <v>1</v>
      </c>
      <c r="J36" s="133" t="s">
        <v>65</v>
      </c>
      <c r="K36" s="133">
        <v>24</v>
      </c>
      <c r="L36" s="133">
        <v>14</v>
      </c>
      <c r="M36" s="133">
        <v>25</v>
      </c>
      <c r="N36" s="133">
        <v>4</v>
      </c>
      <c r="O36" s="133" t="s">
        <v>65</v>
      </c>
      <c r="P36" s="133">
        <v>1</v>
      </c>
      <c r="Q36" s="133">
        <v>12</v>
      </c>
      <c r="R36" s="133">
        <v>0</v>
      </c>
      <c r="S36" s="133" t="s">
        <v>65</v>
      </c>
      <c r="T36" s="133" t="s">
        <v>65</v>
      </c>
      <c r="U36" s="133">
        <v>100</v>
      </c>
      <c r="V36" s="133">
        <v>160</v>
      </c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</row>
    <row r="37" spans="1:43" s="200" customFormat="1" x14ac:dyDescent="0.3">
      <c r="A37" s="323"/>
      <c r="B37" s="95" t="s">
        <v>671</v>
      </c>
      <c r="C37" s="133">
        <v>233</v>
      </c>
      <c r="D37" s="133">
        <v>23</v>
      </c>
      <c r="E37" s="133">
        <v>88</v>
      </c>
      <c r="F37" s="133">
        <v>344</v>
      </c>
      <c r="G37" s="133">
        <v>124</v>
      </c>
      <c r="H37" s="133">
        <v>11</v>
      </c>
      <c r="I37" s="133">
        <v>5</v>
      </c>
      <c r="J37" s="204">
        <v>7</v>
      </c>
      <c r="K37" s="133">
        <v>82</v>
      </c>
      <c r="L37" s="133">
        <v>5</v>
      </c>
      <c r="M37" s="133">
        <v>16</v>
      </c>
      <c r="N37" s="133">
        <v>16</v>
      </c>
      <c r="O37" s="204">
        <v>266</v>
      </c>
      <c r="P37" s="133">
        <v>0</v>
      </c>
      <c r="Q37" s="133">
        <v>30</v>
      </c>
      <c r="R37" s="133">
        <v>45</v>
      </c>
      <c r="S37" s="204">
        <v>1</v>
      </c>
      <c r="T37" s="204">
        <v>1</v>
      </c>
      <c r="U37" s="133">
        <v>484</v>
      </c>
      <c r="V37" s="133">
        <v>952</v>
      </c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</row>
    <row r="38" spans="1:43" s="200" customFormat="1" x14ac:dyDescent="0.3">
      <c r="A38" s="323"/>
      <c r="B38" s="95" t="s">
        <v>524</v>
      </c>
      <c r="C38" s="133">
        <v>150</v>
      </c>
      <c r="D38" s="133">
        <v>9</v>
      </c>
      <c r="E38" s="133">
        <v>60</v>
      </c>
      <c r="F38" s="133">
        <v>219</v>
      </c>
      <c r="G38" s="133">
        <v>71</v>
      </c>
      <c r="H38" s="133">
        <v>33</v>
      </c>
      <c r="I38" s="133">
        <v>5</v>
      </c>
      <c r="J38" s="133">
        <v>10</v>
      </c>
      <c r="K38" s="133">
        <v>13</v>
      </c>
      <c r="L38" s="133">
        <v>3</v>
      </c>
      <c r="M38" s="133">
        <v>27</v>
      </c>
      <c r="N38" s="133">
        <v>4</v>
      </c>
      <c r="O38" s="133">
        <v>3</v>
      </c>
      <c r="P38" s="133">
        <v>1</v>
      </c>
      <c r="Q38" s="133">
        <v>22</v>
      </c>
      <c r="R38" s="133">
        <v>42</v>
      </c>
      <c r="S38" s="133">
        <v>6</v>
      </c>
      <c r="T38" s="133">
        <v>11</v>
      </c>
      <c r="U38" s="133">
        <v>178</v>
      </c>
      <c r="V38" s="133">
        <v>468</v>
      </c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</row>
    <row r="39" spans="1:43" s="200" customFormat="1" x14ac:dyDescent="0.3">
      <c r="A39" s="323"/>
      <c r="B39" s="95" t="s">
        <v>526</v>
      </c>
      <c r="C39" s="133">
        <v>37</v>
      </c>
      <c r="D39" s="133">
        <v>2</v>
      </c>
      <c r="E39" s="133">
        <v>15</v>
      </c>
      <c r="F39" s="133">
        <v>53</v>
      </c>
      <c r="G39" s="133">
        <v>688</v>
      </c>
      <c r="H39" s="133">
        <v>1</v>
      </c>
      <c r="I39" s="133">
        <v>1</v>
      </c>
      <c r="J39" s="133">
        <v>24</v>
      </c>
      <c r="K39" s="133">
        <v>17</v>
      </c>
      <c r="L39" s="133">
        <v>7</v>
      </c>
      <c r="M39" s="133">
        <v>14</v>
      </c>
      <c r="N39" s="133">
        <v>3</v>
      </c>
      <c r="O39" s="133" t="s">
        <v>65</v>
      </c>
      <c r="P39" s="133">
        <v>12</v>
      </c>
      <c r="Q39" s="133">
        <v>30</v>
      </c>
      <c r="R39" s="133">
        <v>3</v>
      </c>
      <c r="S39" s="133">
        <v>4</v>
      </c>
      <c r="T39" s="133">
        <v>0</v>
      </c>
      <c r="U39" s="133">
        <v>116</v>
      </c>
      <c r="V39" s="133">
        <v>856</v>
      </c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</row>
    <row r="40" spans="1:43" s="200" customFormat="1" x14ac:dyDescent="0.3">
      <c r="A40" s="308"/>
      <c r="B40" s="97" t="s">
        <v>86</v>
      </c>
      <c r="C40" s="134">
        <v>1187</v>
      </c>
      <c r="D40" s="134">
        <v>87</v>
      </c>
      <c r="E40" s="134">
        <v>528</v>
      </c>
      <c r="F40" s="134">
        <v>1802</v>
      </c>
      <c r="G40" s="134">
        <v>1434</v>
      </c>
      <c r="H40" s="134">
        <v>209</v>
      </c>
      <c r="I40" s="134">
        <v>89</v>
      </c>
      <c r="J40" s="134">
        <v>101</v>
      </c>
      <c r="K40" s="134">
        <v>350</v>
      </c>
      <c r="L40" s="134">
        <v>87</v>
      </c>
      <c r="M40" s="134">
        <v>202</v>
      </c>
      <c r="N40" s="134">
        <v>81</v>
      </c>
      <c r="O40" s="134">
        <v>339</v>
      </c>
      <c r="P40" s="134">
        <v>62</v>
      </c>
      <c r="Q40" s="134">
        <v>287</v>
      </c>
      <c r="R40" s="134">
        <v>190</v>
      </c>
      <c r="S40" s="134">
        <v>17</v>
      </c>
      <c r="T40" s="134">
        <v>27</v>
      </c>
      <c r="U40" s="134">
        <v>2041</v>
      </c>
      <c r="V40" s="134">
        <v>5276</v>
      </c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</row>
    <row r="41" spans="1:43" s="200" customFormat="1" ht="16.5" customHeight="1" x14ac:dyDescent="0.3">
      <c r="A41" s="307" t="s">
        <v>771</v>
      </c>
      <c r="B41" s="95" t="s">
        <v>535</v>
      </c>
      <c r="C41" s="133">
        <v>5</v>
      </c>
      <c r="D41" s="133">
        <v>1518</v>
      </c>
      <c r="E41" s="133">
        <v>4</v>
      </c>
      <c r="F41" s="133">
        <v>1528</v>
      </c>
      <c r="G41" s="133">
        <v>8</v>
      </c>
      <c r="H41" s="133">
        <v>17</v>
      </c>
      <c r="I41" s="204" t="s">
        <v>65</v>
      </c>
      <c r="J41" s="133">
        <v>1</v>
      </c>
      <c r="K41" s="133">
        <v>1</v>
      </c>
      <c r="L41" s="133">
        <v>1</v>
      </c>
      <c r="M41" s="204" t="s">
        <v>65</v>
      </c>
      <c r="N41" s="133">
        <v>0</v>
      </c>
      <c r="O41" s="204" t="s">
        <v>65</v>
      </c>
      <c r="P41" s="204" t="s">
        <v>65</v>
      </c>
      <c r="Q41" s="133">
        <v>21</v>
      </c>
      <c r="R41" s="133">
        <v>4</v>
      </c>
      <c r="S41" s="133">
        <v>1</v>
      </c>
      <c r="T41" s="133">
        <v>1</v>
      </c>
      <c r="U41" s="133">
        <v>46</v>
      </c>
      <c r="V41" s="133">
        <v>1582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</row>
    <row r="42" spans="1:43" s="200" customFormat="1" x14ac:dyDescent="0.3">
      <c r="A42" s="323"/>
      <c r="B42" s="95" t="s">
        <v>531</v>
      </c>
      <c r="C42" s="133">
        <v>194</v>
      </c>
      <c r="D42" s="133">
        <v>2</v>
      </c>
      <c r="E42" s="133">
        <v>16</v>
      </c>
      <c r="F42" s="133">
        <v>212</v>
      </c>
      <c r="G42" s="133">
        <v>73</v>
      </c>
      <c r="H42" s="133">
        <v>12</v>
      </c>
      <c r="I42" s="133">
        <v>9</v>
      </c>
      <c r="J42" s="133">
        <v>1</v>
      </c>
      <c r="K42" s="133">
        <v>0</v>
      </c>
      <c r="L42" s="133">
        <v>0</v>
      </c>
      <c r="M42" s="133">
        <v>126</v>
      </c>
      <c r="N42" s="133">
        <v>5</v>
      </c>
      <c r="O42" s="204" t="s">
        <v>65</v>
      </c>
      <c r="P42" s="204" t="s">
        <v>65</v>
      </c>
      <c r="Q42" s="133">
        <v>1</v>
      </c>
      <c r="R42" s="204" t="s">
        <v>65</v>
      </c>
      <c r="S42" s="133">
        <v>328</v>
      </c>
      <c r="T42" s="204" t="s">
        <v>65</v>
      </c>
      <c r="U42" s="133">
        <v>482</v>
      </c>
      <c r="V42" s="133">
        <v>766</v>
      </c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</row>
    <row r="43" spans="1:43" s="200" customFormat="1" x14ac:dyDescent="0.3">
      <c r="A43" s="323"/>
      <c r="B43" s="95" t="s">
        <v>672</v>
      </c>
      <c r="C43" s="133">
        <v>171</v>
      </c>
      <c r="D43" s="204">
        <v>29</v>
      </c>
      <c r="E43" s="133">
        <v>17</v>
      </c>
      <c r="F43" s="133">
        <v>217</v>
      </c>
      <c r="G43" s="133">
        <v>28</v>
      </c>
      <c r="H43" s="133">
        <v>171</v>
      </c>
      <c r="I43" s="204">
        <v>2</v>
      </c>
      <c r="J43" s="133">
        <v>34</v>
      </c>
      <c r="K43" s="133">
        <v>6</v>
      </c>
      <c r="L43" s="204">
        <v>4</v>
      </c>
      <c r="M43" s="133">
        <v>0</v>
      </c>
      <c r="N43" s="204">
        <v>6</v>
      </c>
      <c r="O43" s="204">
        <v>11</v>
      </c>
      <c r="P43" s="204" t="s">
        <v>65</v>
      </c>
      <c r="Q43" s="204">
        <v>15</v>
      </c>
      <c r="R43" s="133" t="s">
        <v>65</v>
      </c>
      <c r="S43" s="204">
        <v>57</v>
      </c>
      <c r="T43" s="133">
        <v>10</v>
      </c>
      <c r="U43" s="133">
        <v>316</v>
      </c>
      <c r="V43" s="133">
        <v>562</v>
      </c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</row>
    <row r="44" spans="1:43" s="200" customFormat="1" x14ac:dyDescent="0.3">
      <c r="A44" s="323"/>
      <c r="B44" s="95" t="s">
        <v>530</v>
      </c>
      <c r="C44" s="133">
        <v>134</v>
      </c>
      <c r="D44" s="133">
        <v>19</v>
      </c>
      <c r="E44" s="133">
        <v>34</v>
      </c>
      <c r="F44" s="133">
        <v>187</v>
      </c>
      <c r="G44" s="133">
        <v>14</v>
      </c>
      <c r="H44" s="133">
        <v>38</v>
      </c>
      <c r="I44" s="133">
        <v>19</v>
      </c>
      <c r="J44" s="133">
        <v>19</v>
      </c>
      <c r="K44" s="133">
        <v>7</v>
      </c>
      <c r="L44" s="133">
        <v>1</v>
      </c>
      <c r="M44" s="133">
        <v>2</v>
      </c>
      <c r="N44" s="133">
        <v>12</v>
      </c>
      <c r="O44" s="133">
        <v>2</v>
      </c>
      <c r="P44" s="204">
        <v>5</v>
      </c>
      <c r="Q44" s="133">
        <v>2</v>
      </c>
      <c r="R44" s="204">
        <v>0</v>
      </c>
      <c r="S44" s="133">
        <v>1</v>
      </c>
      <c r="T44" s="133">
        <v>1</v>
      </c>
      <c r="U44" s="133">
        <v>109</v>
      </c>
      <c r="V44" s="133">
        <v>311</v>
      </c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</row>
    <row r="45" spans="1:43" s="200" customFormat="1" x14ac:dyDescent="0.3">
      <c r="A45" s="323"/>
      <c r="B45" s="95" t="s">
        <v>537</v>
      </c>
      <c r="C45" s="133">
        <v>41</v>
      </c>
      <c r="D45" s="133">
        <v>1</v>
      </c>
      <c r="E45" s="133">
        <v>17</v>
      </c>
      <c r="F45" s="133">
        <v>59</v>
      </c>
      <c r="G45" s="133">
        <v>556</v>
      </c>
      <c r="H45" s="133">
        <v>0</v>
      </c>
      <c r="I45" s="133" t="s">
        <v>65</v>
      </c>
      <c r="J45" s="133">
        <v>1</v>
      </c>
      <c r="K45" s="133">
        <v>1</v>
      </c>
      <c r="L45" s="133" t="s">
        <v>65</v>
      </c>
      <c r="M45" s="133">
        <v>4</v>
      </c>
      <c r="N45" s="133">
        <v>0</v>
      </c>
      <c r="O45" s="133" t="s">
        <v>65</v>
      </c>
      <c r="P45" s="133" t="s">
        <v>65</v>
      </c>
      <c r="Q45" s="133">
        <v>1</v>
      </c>
      <c r="R45" s="133" t="s">
        <v>65</v>
      </c>
      <c r="S45" s="133">
        <v>1</v>
      </c>
      <c r="T45" s="133" t="s">
        <v>65</v>
      </c>
      <c r="U45" s="133">
        <v>8</v>
      </c>
      <c r="V45" s="133">
        <v>623</v>
      </c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</row>
    <row r="46" spans="1:43" s="200" customFormat="1" x14ac:dyDescent="0.3">
      <c r="A46" s="323"/>
      <c r="B46" s="95" t="s">
        <v>673</v>
      </c>
      <c r="C46" s="133">
        <v>90</v>
      </c>
      <c r="D46" s="133">
        <v>7</v>
      </c>
      <c r="E46" s="133">
        <v>38</v>
      </c>
      <c r="F46" s="133">
        <v>135</v>
      </c>
      <c r="G46" s="133">
        <v>96</v>
      </c>
      <c r="H46" s="133">
        <v>67</v>
      </c>
      <c r="I46" s="204">
        <v>6</v>
      </c>
      <c r="J46" s="133">
        <v>6</v>
      </c>
      <c r="K46" s="133">
        <v>31</v>
      </c>
      <c r="L46" s="204">
        <v>23</v>
      </c>
      <c r="M46" s="133">
        <v>5</v>
      </c>
      <c r="N46" s="133">
        <v>12</v>
      </c>
      <c r="O46" s="204">
        <v>3</v>
      </c>
      <c r="P46" s="204">
        <v>1</v>
      </c>
      <c r="Q46" s="133">
        <v>8</v>
      </c>
      <c r="R46" s="204">
        <v>6</v>
      </c>
      <c r="S46" s="133">
        <v>76</v>
      </c>
      <c r="T46" s="204">
        <v>2</v>
      </c>
      <c r="U46" s="133">
        <v>246</v>
      </c>
      <c r="V46" s="133">
        <v>477</v>
      </c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</row>
    <row r="47" spans="1:43" s="200" customFormat="1" x14ac:dyDescent="0.3">
      <c r="A47" s="323"/>
      <c r="B47" s="95" t="s">
        <v>528</v>
      </c>
      <c r="C47" s="133">
        <v>34</v>
      </c>
      <c r="D47" s="133">
        <v>0</v>
      </c>
      <c r="E47" s="133">
        <v>1</v>
      </c>
      <c r="F47" s="133">
        <v>35</v>
      </c>
      <c r="G47" s="133">
        <v>183</v>
      </c>
      <c r="H47" s="133">
        <v>19</v>
      </c>
      <c r="I47" s="133">
        <v>1</v>
      </c>
      <c r="J47" s="133">
        <v>4</v>
      </c>
      <c r="K47" s="133">
        <v>2</v>
      </c>
      <c r="L47" s="133">
        <v>16</v>
      </c>
      <c r="M47" s="133">
        <v>0</v>
      </c>
      <c r="N47" s="133">
        <v>0</v>
      </c>
      <c r="O47" s="133">
        <v>2</v>
      </c>
      <c r="P47" s="133">
        <v>0</v>
      </c>
      <c r="Q47" s="133">
        <v>0</v>
      </c>
      <c r="R47" s="133">
        <v>3</v>
      </c>
      <c r="S47" s="133" t="s">
        <v>65</v>
      </c>
      <c r="T47" s="133" t="s">
        <v>65</v>
      </c>
      <c r="U47" s="133">
        <v>47</v>
      </c>
      <c r="V47" s="133">
        <v>266</v>
      </c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</row>
    <row r="48" spans="1:43" s="200" customFormat="1" x14ac:dyDescent="0.3">
      <c r="A48" s="323"/>
      <c r="B48" s="95" t="s">
        <v>529</v>
      </c>
      <c r="C48" s="133">
        <v>14</v>
      </c>
      <c r="D48" s="133" t="s">
        <v>65</v>
      </c>
      <c r="E48" s="133" t="s">
        <v>65</v>
      </c>
      <c r="F48" s="133">
        <v>14</v>
      </c>
      <c r="G48" s="133">
        <v>9</v>
      </c>
      <c r="H48" s="133">
        <v>9</v>
      </c>
      <c r="I48" s="133">
        <v>1</v>
      </c>
      <c r="J48" s="133">
        <v>2</v>
      </c>
      <c r="K48" s="133">
        <v>0</v>
      </c>
      <c r="L48" s="133">
        <v>1</v>
      </c>
      <c r="M48" s="133">
        <v>13</v>
      </c>
      <c r="N48" s="133">
        <v>0</v>
      </c>
      <c r="O48" s="133">
        <v>0</v>
      </c>
      <c r="P48" s="133" t="s">
        <v>65</v>
      </c>
      <c r="Q48" s="133">
        <v>0</v>
      </c>
      <c r="R48" s="133" t="s">
        <v>65</v>
      </c>
      <c r="S48" s="204" t="s">
        <v>65</v>
      </c>
      <c r="T48" s="204" t="s">
        <v>65</v>
      </c>
      <c r="U48" s="133">
        <v>26</v>
      </c>
      <c r="V48" s="133">
        <v>48</v>
      </c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</row>
    <row r="49" spans="1:43" s="200" customFormat="1" x14ac:dyDescent="0.3">
      <c r="A49" s="323"/>
      <c r="B49" s="95" t="s">
        <v>527</v>
      </c>
      <c r="C49" s="133">
        <v>56</v>
      </c>
      <c r="D49" s="204">
        <v>2</v>
      </c>
      <c r="E49" s="204">
        <v>1</v>
      </c>
      <c r="F49" s="133">
        <v>59</v>
      </c>
      <c r="G49" s="133">
        <v>544</v>
      </c>
      <c r="H49" s="133">
        <v>65</v>
      </c>
      <c r="I49" s="133">
        <v>6</v>
      </c>
      <c r="J49" s="133">
        <v>5</v>
      </c>
      <c r="K49" s="133">
        <v>0</v>
      </c>
      <c r="L49" s="133">
        <v>11</v>
      </c>
      <c r="M49" s="133">
        <v>13</v>
      </c>
      <c r="N49" s="133">
        <v>3</v>
      </c>
      <c r="O49" s="133">
        <v>3</v>
      </c>
      <c r="P49" s="204">
        <v>0</v>
      </c>
      <c r="Q49" s="133">
        <v>1</v>
      </c>
      <c r="R49" s="204">
        <v>4</v>
      </c>
      <c r="S49" s="204" t="s">
        <v>65</v>
      </c>
      <c r="T49" s="204" t="s">
        <v>65</v>
      </c>
      <c r="U49" s="133">
        <v>112</v>
      </c>
      <c r="V49" s="133">
        <v>715</v>
      </c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</row>
    <row r="50" spans="1:43" s="200" customFormat="1" x14ac:dyDescent="0.3">
      <c r="A50" s="323"/>
      <c r="B50" s="95" t="s">
        <v>538</v>
      </c>
      <c r="C50" s="133">
        <v>7</v>
      </c>
      <c r="D50" s="133" t="s">
        <v>65</v>
      </c>
      <c r="E50" s="133">
        <v>1</v>
      </c>
      <c r="F50" s="133">
        <v>8</v>
      </c>
      <c r="G50" s="133">
        <v>368</v>
      </c>
      <c r="H50" s="133" t="s">
        <v>65</v>
      </c>
      <c r="I50" s="133">
        <v>0</v>
      </c>
      <c r="J50" s="133">
        <v>0</v>
      </c>
      <c r="K50" s="133">
        <v>0</v>
      </c>
      <c r="L50" s="133" t="s">
        <v>65</v>
      </c>
      <c r="M50" s="133">
        <v>0</v>
      </c>
      <c r="N50" s="133" t="s">
        <v>65</v>
      </c>
      <c r="O50" s="133" t="s">
        <v>65</v>
      </c>
      <c r="P50" s="133" t="s">
        <v>65</v>
      </c>
      <c r="Q50" s="133" t="s">
        <v>65</v>
      </c>
      <c r="R50" s="133" t="s">
        <v>65</v>
      </c>
      <c r="S50" s="204" t="s">
        <v>65</v>
      </c>
      <c r="T50" s="204" t="s">
        <v>65</v>
      </c>
      <c r="U50" s="133">
        <v>1</v>
      </c>
      <c r="V50" s="133">
        <v>377</v>
      </c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</row>
    <row r="51" spans="1:43" s="200" customFormat="1" x14ac:dyDescent="0.3">
      <c r="A51" s="323"/>
      <c r="B51" s="95" t="s">
        <v>536</v>
      </c>
      <c r="C51" s="133">
        <v>85</v>
      </c>
      <c r="D51" s="204" t="s">
        <v>65</v>
      </c>
      <c r="E51" s="133">
        <v>7</v>
      </c>
      <c r="F51" s="133">
        <v>93</v>
      </c>
      <c r="G51" s="133">
        <v>228</v>
      </c>
      <c r="H51" s="204">
        <v>3</v>
      </c>
      <c r="I51" s="133">
        <v>13</v>
      </c>
      <c r="J51" s="133">
        <v>1</v>
      </c>
      <c r="K51" s="133">
        <v>4</v>
      </c>
      <c r="L51" s="204" t="s">
        <v>65</v>
      </c>
      <c r="M51" s="133">
        <v>8</v>
      </c>
      <c r="N51" s="204">
        <v>2</v>
      </c>
      <c r="O51" s="204">
        <v>0</v>
      </c>
      <c r="P51" s="204" t="s">
        <v>65</v>
      </c>
      <c r="Q51" s="204">
        <v>2</v>
      </c>
      <c r="R51" s="204">
        <v>0</v>
      </c>
      <c r="S51" s="204" t="s">
        <v>65</v>
      </c>
      <c r="T51" s="204" t="s">
        <v>65</v>
      </c>
      <c r="U51" s="133">
        <v>35</v>
      </c>
      <c r="V51" s="133">
        <v>355</v>
      </c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</row>
    <row r="52" spans="1:43" s="200" customFormat="1" x14ac:dyDescent="0.3">
      <c r="A52" s="323"/>
      <c r="B52" s="95" t="s">
        <v>532</v>
      </c>
      <c r="C52" s="133">
        <v>178</v>
      </c>
      <c r="D52" s="204">
        <v>12</v>
      </c>
      <c r="E52" s="133">
        <v>72</v>
      </c>
      <c r="F52" s="133">
        <v>262</v>
      </c>
      <c r="G52" s="133">
        <v>51</v>
      </c>
      <c r="H52" s="133">
        <v>310</v>
      </c>
      <c r="I52" s="133">
        <v>10</v>
      </c>
      <c r="J52" s="133">
        <v>34</v>
      </c>
      <c r="K52" s="133">
        <v>2</v>
      </c>
      <c r="L52" s="204">
        <v>5</v>
      </c>
      <c r="M52" s="133">
        <v>10</v>
      </c>
      <c r="N52" s="133">
        <v>3</v>
      </c>
      <c r="O52" s="133">
        <v>9</v>
      </c>
      <c r="P52" s="204">
        <v>8</v>
      </c>
      <c r="Q52" s="133">
        <v>16</v>
      </c>
      <c r="R52" s="133">
        <v>7</v>
      </c>
      <c r="S52" s="204">
        <v>10</v>
      </c>
      <c r="T52" s="204">
        <v>2</v>
      </c>
      <c r="U52" s="133">
        <v>426</v>
      </c>
      <c r="V52" s="133">
        <v>739</v>
      </c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</row>
    <row r="53" spans="1:43" s="200" customFormat="1" x14ac:dyDescent="0.3">
      <c r="A53" s="323"/>
      <c r="B53" s="95" t="s">
        <v>534</v>
      </c>
      <c r="C53" s="133">
        <v>26</v>
      </c>
      <c r="D53" s="133">
        <v>4</v>
      </c>
      <c r="E53" s="133">
        <v>11</v>
      </c>
      <c r="F53" s="133">
        <v>41</v>
      </c>
      <c r="G53" s="133">
        <v>3</v>
      </c>
      <c r="H53" s="133">
        <v>105</v>
      </c>
      <c r="I53" s="133">
        <v>2</v>
      </c>
      <c r="J53" s="133">
        <v>22</v>
      </c>
      <c r="K53" s="133" t="s">
        <v>65</v>
      </c>
      <c r="L53" s="133">
        <v>4</v>
      </c>
      <c r="M53" s="133">
        <v>1</v>
      </c>
      <c r="N53" s="133">
        <v>48</v>
      </c>
      <c r="O53" s="133">
        <v>3</v>
      </c>
      <c r="P53" s="133">
        <v>6</v>
      </c>
      <c r="Q53" s="133" t="s">
        <v>65</v>
      </c>
      <c r="R53" s="133">
        <v>5</v>
      </c>
      <c r="S53" s="133">
        <v>8</v>
      </c>
      <c r="T53" s="133">
        <v>1</v>
      </c>
      <c r="U53" s="133">
        <v>207</v>
      </c>
      <c r="V53" s="133">
        <v>252</v>
      </c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</row>
    <row r="54" spans="1:43" s="200" customFormat="1" x14ac:dyDescent="0.3">
      <c r="A54" s="323"/>
      <c r="B54" s="95" t="s">
        <v>533</v>
      </c>
      <c r="C54" s="133">
        <v>5</v>
      </c>
      <c r="D54" s="133">
        <v>23</v>
      </c>
      <c r="E54" s="133">
        <v>66</v>
      </c>
      <c r="F54" s="133">
        <v>94</v>
      </c>
      <c r="G54" s="133">
        <v>111</v>
      </c>
      <c r="H54" s="133">
        <v>191</v>
      </c>
      <c r="I54" s="133">
        <v>9</v>
      </c>
      <c r="J54" s="133">
        <v>2</v>
      </c>
      <c r="K54" s="204">
        <v>0</v>
      </c>
      <c r="L54" s="133" t="s">
        <v>65</v>
      </c>
      <c r="M54" s="133">
        <v>0</v>
      </c>
      <c r="N54" s="133" t="s">
        <v>65</v>
      </c>
      <c r="O54" s="133">
        <v>1</v>
      </c>
      <c r="P54" s="133">
        <v>1</v>
      </c>
      <c r="Q54" s="204">
        <v>1</v>
      </c>
      <c r="R54" s="133">
        <v>2</v>
      </c>
      <c r="S54" s="133">
        <v>1</v>
      </c>
      <c r="T54" s="133">
        <v>1</v>
      </c>
      <c r="U54" s="133">
        <v>208</v>
      </c>
      <c r="V54" s="133">
        <v>413</v>
      </c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</row>
    <row r="55" spans="1:43" s="200" customFormat="1" x14ac:dyDescent="0.3">
      <c r="A55" s="323"/>
      <c r="B55" s="95" t="s">
        <v>539</v>
      </c>
      <c r="C55" s="133">
        <v>21</v>
      </c>
      <c r="D55" s="133" t="s">
        <v>65</v>
      </c>
      <c r="E55" s="133">
        <v>0</v>
      </c>
      <c r="F55" s="133">
        <v>21</v>
      </c>
      <c r="G55" s="133">
        <v>44</v>
      </c>
      <c r="H55" s="133">
        <v>6</v>
      </c>
      <c r="I55" s="133" t="s">
        <v>65</v>
      </c>
      <c r="J55" s="133">
        <v>0</v>
      </c>
      <c r="K55" s="133">
        <v>0</v>
      </c>
      <c r="L55" s="204" t="s">
        <v>65</v>
      </c>
      <c r="M55" s="133">
        <v>1</v>
      </c>
      <c r="N55" s="204" t="s">
        <v>65</v>
      </c>
      <c r="O55" s="133" t="s">
        <v>65</v>
      </c>
      <c r="P55" s="133" t="s">
        <v>65</v>
      </c>
      <c r="Q55" s="133" t="s">
        <v>65</v>
      </c>
      <c r="R55" s="133">
        <v>1</v>
      </c>
      <c r="S55" s="133" t="s">
        <v>65</v>
      </c>
      <c r="T55" s="133">
        <v>1</v>
      </c>
      <c r="U55" s="133">
        <v>9</v>
      </c>
      <c r="V55" s="133">
        <v>73</v>
      </c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</row>
    <row r="56" spans="1:43" s="200" customFormat="1" x14ac:dyDescent="0.3">
      <c r="A56" s="308"/>
      <c r="B56" s="97" t="s">
        <v>86</v>
      </c>
      <c r="C56" s="134">
        <v>1062</v>
      </c>
      <c r="D56" s="134">
        <v>1618</v>
      </c>
      <c r="E56" s="134">
        <v>284</v>
      </c>
      <c r="F56" s="134">
        <v>2964</v>
      </c>
      <c r="G56" s="134">
        <v>2315</v>
      </c>
      <c r="H56" s="134">
        <v>1011</v>
      </c>
      <c r="I56" s="134">
        <v>79</v>
      </c>
      <c r="J56" s="134">
        <v>134</v>
      </c>
      <c r="K56" s="134">
        <v>55</v>
      </c>
      <c r="L56" s="134">
        <v>67</v>
      </c>
      <c r="M56" s="134">
        <v>185</v>
      </c>
      <c r="N56" s="134">
        <v>90</v>
      </c>
      <c r="O56" s="134">
        <v>36</v>
      </c>
      <c r="P56" s="134">
        <v>20</v>
      </c>
      <c r="Q56" s="134">
        <v>67</v>
      </c>
      <c r="R56" s="134">
        <v>32</v>
      </c>
      <c r="S56" s="134">
        <v>483</v>
      </c>
      <c r="T56" s="134">
        <v>20</v>
      </c>
      <c r="U56" s="134">
        <v>2278</v>
      </c>
      <c r="V56" s="134">
        <v>7557</v>
      </c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</row>
    <row r="57" spans="1:43" s="200" customFormat="1" x14ac:dyDescent="0.3">
      <c r="A57" s="307" t="s">
        <v>144</v>
      </c>
      <c r="B57" s="95" t="s">
        <v>674</v>
      </c>
      <c r="C57" s="133">
        <v>296</v>
      </c>
      <c r="D57" s="133">
        <v>5</v>
      </c>
      <c r="E57" s="133">
        <v>65</v>
      </c>
      <c r="F57" s="133">
        <v>366</v>
      </c>
      <c r="G57" s="133">
        <v>80</v>
      </c>
      <c r="H57" s="133">
        <v>29</v>
      </c>
      <c r="I57" s="133">
        <v>13</v>
      </c>
      <c r="J57" s="133">
        <v>23</v>
      </c>
      <c r="K57" s="133">
        <v>37</v>
      </c>
      <c r="L57" s="133">
        <v>26</v>
      </c>
      <c r="M57" s="133">
        <v>26</v>
      </c>
      <c r="N57" s="133">
        <v>11</v>
      </c>
      <c r="O57" s="133">
        <v>34</v>
      </c>
      <c r="P57" s="133">
        <v>14</v>
      </c>
      <c r="Q57" s="133">
        <v>22</v>
      </c>
      <c r="R57" s="133">
        <v>17</v>
      </c>
      <c r="S57" s="133">
        <v>3</v>
      </c>
      <c r="T57" s="133">
        <v>4</v>
      </c>
      <c r="U57" s="133">
        <v>259</v>
      </c>
      <c r="V57" s="133">
        <v>704</v>
      </c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</row>
    <row r="58" spans="1:43" s="200" customFormat="1" x14ac:dyDescent="0.3">
      <c r="A58" s="323"/>
      <c r="B58" s="95" t="s">
        <v>541</v>
      </c>
      <c r="C58" s="133">
        <v>318</v>
      </c>
      <c r="D58" s="133">
        <v>8</v>
      </c>
      <c r="E58" s="133">
        <v>61</v>
      </c>
      <c r="F58" s="133">
        <v>387</v>
      </c>
      <c r="G58" s="133">
        <v>260</v>
      </c>
      <c r="H58" s="133">
        <v>28</v>
      </c>
      <c r="I58" s="133">
        <v>87</v>
      </c>
      <c r="J58" s="133">
        <v>36</v>
      </c>
      <c r="K58" s="133">
        <v>22</v>
      </c>
      <c r="L58" s="133">
        <v>28</v>
      </c>
      <c r="M58" s="133">
        <v>22</v>
      </c>
      <c r="N58" s="133">
        <v>22</v>
      </c>
      <c r="O58" s="133">
        <v>13</v>
      </c>
      <c r="P58" s="133" t="s">
        <v>65</v>
      </c>
      <c r="Q58" s="133">
        <v>22</v>
      </c>
      <c r="R58" s="133">
        <v>6</v>
      </c>
      <c r="S58" s="133">
        <v>2</v>
      </c>
      <c r="T58" s="133" t="s">
        <v>65</v>
      </c>
      <c r="U58" s="133">
        <v>287</v>
      </c>
      <c r="V58" s="133">
        <v>935</v>
      </c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</row>
    <row r="59" spans="1:43" s="200" customFormat="1" x14ac:dyDescent="0.3">
      <c r="A59" s="323"/>
      <c r="B59" s="95" t="s">
        <v>542</v>
      </c>
      <c r="C59" s="133">
        <v>169</v>
      </c>
      <c r="D59" s="133">
        <v>146</v>
      </c>
      <c r="E59" s="133">
        <v>63</v>
      </c>
      <c r="F59" s="133">
        <v>378</v>
      </c>
      <c r="G59" s="133">
        <v>71</v>
      </c>
      <c r="H59" s="133">
        <v>13</v>
      </c>
      <c r="I59" s="133">
        <v>32</v>
      </c>
      <c r="J59" s="133">
        <v>17</v>
      </c>
      <c r="K59" s="133">
        <v>3</v>
      </c>
      <c r="L59" s="133">
        <v>24</v>
      </c>
      <c r="M59" s="133">
        <v>18</v>
      </c>
      <c r="N59" s="133">
        <v>6</v>
      </c>
      <c r="O59" s="133">
        <v>25</v>
      </c>
      <c r="P59" s="204">
        <v>18</v>
      </c>
      <c r="Q59" s="133">
        <v>33</v>
      </c>
      <c r="R59" s="133">
        <v>3</v>
      </c>
      <c r="S59" s="133">
        <v>14</v>
      </c>
      <c r="T59" s="204">
        <v>0</v>
      </c>
      <c r="U59" s="133">
        <v>207</v>
      </c>
      <c r="V59" s="133">
        <v>656</v>
      </c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</row>
    <row r="60" spans="1:43" s="200" customFormat="1" x14ac:dyDescent="0.3">
      <c r="A60" s="323"/>
      <c r="B60" s="95" t="s">
        <v>540</v>
      </c>
      <c r="C60" s="133">
        <v>714</v>
      </c>
      <c r="D60" s="133">
        <v>15</v>
      </c>
      <c r="E60" s="133">
        <v>110</v>
      </c>
      <c r="F60" s="133">
        <v>840</v>
      </c>
      <c r="G60" s="133">
        <v>235</v>
      </c>
      <c r="H60" s="133">
        <v>69</v>
      </c>
      <c r="I60" s="133">
        <v>68</v>
      </c>
      <c r="J60" s="133">
        <v>73</v>
      </c>
      <c r="K60" s="133">
        <v>108</v>
      </c>
      <c r="L60" s="133">
        <v>55</v>
      </c>
      <c r="M60" s="133">
        <v>40</v>
      </c>
      <c r="N60" s="133">
        <v>37</v>
      </c>
      <c r="O60" s="133">
        <v>31</v>
      </c>
      <c r="P60" s="133">
        <v>2</v>
      </c>
      <c r="Q60" s="133">
        <v>89</v>
      </c>
      <c r="R60" s="133">
        <v>41</v>
      </c>
      <c r="S60" s="133">
        <v>9</v>
      </c>
      <c r="T60" s="133">
        <v>1</v>
      </c>
      <c r="U60" s="133">
        <v>623</v>
      </c>
      <c r="V60" s="133">
        <v>1698</v>
      </c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</row>
    <row r="61" spans="1:43" s="200" customFormat="1" x14ac:dyDescent="0.3">
      <c r="A61" s="323"/>
      <c r="B61" s="95" t="s">
        <v>545</v>
      </c>
      <c r="C61" s="133">
        <v>215</v>
      </c>
      <c r="D61" s="133">
        <v>66</v>
      </c>
      <c r="E61" s="133">
        <v>230</v>
      </c>
      <c r="F61" s="133">
        <v>512</v>
      </c>
      <c r="G61" s="133">
        <v>129</v>
      </c>
      <c r="H61" s="133">
        <v>52</v>
      </c>
      <c r="I61" s="133">
        <v>14</v>
      </c>
      <c r="J61" s="133">
        <v>32</v>
      </c>
      <c r="K61" s="133">
        <v>10</v>
      </c>
      <c r="L61" s="133">
        <v>56</v>
      </c>
      <c r="M61" s="133">
        <v>106</v>
      </c>
      <c r="N61" s="133">
        <v>56</v>
      </c>
      <c r="O61" s="133">
        <v>139</v>
      </c>
      <c r="P61" s="133">
        <v>80</v>
      </c>
      <c r="Q61" s="133">
        <v>38</v>
      </c>
      <c r="R61" s="133">
        <v>50</v>
      </c>
      <c r="S61" s="133">
        <v>86</v>
      </c>
      <c r="T61" s="133">
        <v>20</v>
      </c>
      <c r="U61" s="133">
        <v>739</v>
      </c>
      <c r="V61" s="133">
        <v>1379</v>
      </c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</row>
    <row r="62" spans="1:43" s="200" customFormat="1" x14ac:dyDescent="0.3">
      <c r="A62" s="323"/>
      <c r="B62" s="95" t="s">
        <v>544</v>
      </c>
      <c r="C62" s="133">
        <v>245</v>
      </c>
      <c r="D62" s="133">
        <v>22</v>
      </c>
      <c r="E62" s="133">
        <v>70</v>
      </c>
      <c r="F62" s="133">
        <v>337</v>
      </c>
      <c r="G62" s="133">
        <v>174</v>
      </c>
      <c r="H62" s="133">
        <v>22</v>
      </c>
      <c r="I62" s="133">
        <v>11</v>
      </c>
      <c r="J62" s="133">
        <v>20</v>
      </c>
      <c r="K62" s="133">
        <v>18</v>
      </c>
      <c r="L62" s="133">
        <v>10</v>
      </c>
      <c r="M62" s="133">
        <v>36</v>
      </c>
      <c r="N62" s="133">
        <v>19</v>
      </c>
      <c r="O62" s="133">
        <v>33</v>
      </c>
      <c r="P62" s="133">
        <v>1</v>
      </c>
      <c r="Q62" s="133">
        <v>19</v>
      </c>
      <c r="R62" s="133">
        <v>28</v>
      </c>
      <c r="S62" s="133">
        <v>5</v>
      </c>
      <c r="T62" s="133">
        <v>7</v>
      </c>
      <c r="U62" s="133">
        <v>229</v>
      </c>
      <c r="V62" s="133">
        <v>741</v>
      </c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</row>
    <row r="63" spans="1:43" s="200" customFormat="1" x14ac:dyDescent="0.3">
      <c r="A63" s="323"/>
      <c r="B63" s="95" t="s">
        <v>546</v>
      </c>
      <c r="C63" s="133">
        <v>41</v>
      </c>
      <c r="D63" s="133">
        <v>0</v>
      </c>
      <c r="E63" s="133">
        <v>17</v>
      </c>
      <c r="F63" s="133">
        <v>58</v>
      </c>
      <c r="G63" s="133">
        <v>46</v>
      </c>
      <c r="H63" s="133">
        <v>17</v>
      </c>
      <c r="I63" s="133">
        <v>2</v>
      </c>
      <c r="J63" s="133">
        <v>0</v>
      </c>
      <c r="K63" s="133">
        <v>1</v>
      </c>
      <c r="L63" s="133">
        <v>3</v>
      </c>
      <c r="M63" s="133">
        <v>5</v>
      </c>
      <c r="N63" s="133" t="s">
        <v>65</v>
      </c>
      <c r="O63" s="133">
        <v>9</v>
      </c>
      <c r="P63" s="133">
        <v>0</v>
      </c>
      <c r="Q63" s="133">
        <v>5</v>
      </c>
      <c r="R63" s="133">
        <v>0</v>
      </c>
      <c r="S63" s="133">
        <v>0</v>
      </c>
      <c r="T63" s="133">
        <v>9</v>
      </c>
      <c r="U63" s="133">
        <v>52</v>
      </c>
      <c r="V63" s="133">
        <v>156</v>
      </c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</row>
    <row r="64" spans="1:43" s="200" customFormat="1" x14ac:dyDescent="0.3">
      <c r="A64" s="323"/>
      <c r="B64" s="95" t="s">
        <v>675</v>
      </c>
      <c r="C64" s="133">
        <v>215</v>
      </c>
      <c r="D64" s="133">
        <v>3</v>
      </c>
      <c r="E64" s="133">
        <v>44</v>
      </c>
      <c r="F64" s="133">
        <v>262</v>
      </c>
      <c r="G64" s="133">
        <v>106</v>
      </c>
      <c r="H64" s="133">
        <v>10</v>
      </c>
      <c r="I64" s="133">
        <v>23</v>
      </c>
      <c r="J64" s="133">
        <v>22</v>
      </c>
      <c r="K64" s="133">
        <v>11</v>
      </c>
      <c r="L64" s="133">
        <v>13</v>
      </c>
      <c r="M64" s="133">
        <v>30</v>
      </c>
      <c r="N64" s="204">
        <v>3</v>
      </c>
      <c r="O64" s="133">
        <v>7</v>
      </c>
      <c r="P64" s="133">
        <v>1</v>
      </c>
      <c r="Q64" s="133">
        <v>34</v>
      </c>
      <c r="R64" s="133">
        <v>11</v>
      </c>
      <c r="S64" s="133">
        <v>1</v>
      </c>
      <c r="T64" s="133">
        <v>4</v>
      </c>
      <c r="U64" s="133">
        <v>172</v>
      </c>
      <c r="V64" s="133">
        <v>540</v>
      </c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</row>
    <row r="65" spans="1:43" s="200" customFormat="1" x14ac:dyDescent="0.3">
      <c r="A65" s="323"/>
      <c r="B65" s="95" t="s">
        <v>676</v>
      </c>
      <c r="C65" s="133">
        <v>459</v>
      </c>
      <c r="D65" s="133">
        <v>14</v>
      </c>
      <c r="E65" s="133">
        <v>73</v>
      </c>
      <c r="F65" s="133">
        <v>546</v>
      </c>
      <c r="G65" s="133">
        <v>156</v>
      </c>
      <c r="H65" s="133">
        <v>22</v>
      </c>
      <c r="I65" s="133">
        <v>22</v>
      </c>
      <c r="J65" s="133">
        <v>17</v>
      </c>
      <c r="K65" s="133">
        <v>49</v>
      </c>
      <c r="L65" s="133">
        <v>21</v>
      </c>
      <c r="M65" s="133">
        <v>55</v>
      </c>
      <c r="N65" s="133">
        <v>22</v>
      </c>
      <c r="O65" s="133">
        <v>48</v>
      </c>
      <c r="P65" s="133">
        <v>5</v>
      </c>
      <c r="Q65" s="133">
        <v>34</v>
      </c>
      <c r="R65" s="133">
        <v>19</v>
      </c>
      <c r="S65" s="133">
        <v>7</v>
      </c>
      <c r="T65" s="133">
        <v>1</v>
      </c>
      <c r="U65" s="133">
        <v>321</v>
      </c>
      <c r="V65" s="133">
        <v>1023</v>
      </c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</row>
    <row r="66" spans="1:43" s="200" customFormat="1" x14ac:dyDescent="0.3">
      <c r="A66" s="323"/>
      <c r="B66" s="95" t="s">
        <v>543</v>
      </c>
      <c r="C66" s="133">
        <v>588</v>
      </c>
      <c r="D66" s="133">
        <v>36</v>
      </c>
      <c r="E66" s="133">
        <v>260</v>
      </c>
      <c r="F66" s="133">
        <v>883</v>
      </c>
      <c r="G66" s="133">
        <v>483</v>
      </c>
      <c r="H66" s="133">
        <v>37</v>
      </c>
      <c r="I66" s="133">
        <v>36</v>
      </c>
      <c r="J66" s="133">
        <v>46</v>
      </c>
      <c r="K66" s="133">
        <v>54</v>
      </c>
      <c r="L66" s="133">
        <v>31</v>
      </c>
      <c r="M66" s="133">
        <v>109</v>
      </c>
      <c r="N66" s="133">
        <v>54</v>
      </c>
      <c r="O66" s="133">
        <v>33</v>
      </c>
      <c r="P66" s="133">
        <v>14</v>
      </c>
      <c r="Q66" s="133">
        <v>33</v>
      </c>
      <c r="R66" s="133">
        <v>29</v>
      </c>
      <c r="S66" s="133">
        <v>5</v>
      </c>
      <c r="T66" s="133">
        <v>17</v>
      </c>
      <c r="U66" s="133">
        <v>498</v>
      </c>
      <c r="V66" s="133">
        <v>1864</v>
      </c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</row>
    <row r="67" spans="1:43" s="200" customFormat="1" x14ac:dyDescent="0.3">
      <c r="A67" s="323"/>
      <c r="B67" s="95" t="s">
        <v>547</v>
      </c>
      <c r="C67" s="133">
        <v>190</v>
      </c>
      <c r="D67" s="133">
        <v>18</v>
      </c>
      <c r="E67" s="133">
        <v>27</v>
      </c>
      <c r="F67" s="133">
        <v>235</v>
      </c>
      <c r="G67" s="133">
        <v>907</v>
      </c>
      <c r="H67" s="133">
        <v>19</v>
      </c>
      <c r="I67" s="133">
        <v>119</v>
      </c>
      <c r="J67" s="133">
        <v>18</v>
      </c>
      <c r="K67" s="133">
        <v>2</v>
      </c>
      <c r="L67" s="133">
        <v>14</v>
      </c>
      <c r="M67" s="133">
        <v>11</v>
      </c>
      <c r="N67" s="133">
        <v>8</v>
      </c>
      <c r="O67" s="133">
        <v>18</v>
      </c>
      <c r="P67" s="133">
        <v>2</v>
      </c>
      <c r="Q67" s="133">
        <v>15</v>
      </c>
      <c r="R67" s="133">
        <v>6</v>
      </c>
      <c r="S67" s="133">
        <v>5</v>
      </c>
      <c r="T67" s="133">
        <v>2</v>
      </c>
      <c r="U67" s="133">
        <v>238</v>
      </c>
      <c r="V67" s="133">
        <v>1380</v>
      </c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</row>
    <row r="68" spans="1:43" s="200" customFormat="1" x14ac:dyDescent="0.3">
      <c r="A68" s="308"/>
      <c r="B68" s="97" t="s">
        <v>86</v>
      </c>
      <c r="C68" s="134">
        <v>3451</v>
      </c>
      <c r="D68" s="134">
        <v>333</v>
      </c>
      <c r="E68" s="134">
        <v>1020</v>
      </c>
      <c r="F68" s="134">
        <v>4803</v>
      </c>
      <c r="G68" s="134">
        <v>2646</v>
      </c>
      <c r="H68" s="134">
        <v>318</v>
      </c>
      <c r="I68" s="134">
        <v>427</v>
      </c>
      <c r="J68" s="134">
        <v>305</v>
      </c>
      <c r="K68" s="134">
        <v>315</v>
      </c>
      <c r="L68" s="134">
        <v>280</v>
      </c>
      <c r="M68" s="134">
        <v>457</v>
      </c>
      <c r="N68" s="134">
        <v>239</v>
      </c>
      <c r="O68" s="134">
        <v>389</v>
      </c>
      <c r="P68" s="134">
        <v>140</v>
      </c>
      <c r="Q68" s="134">
        <v>344</v>
      </c>
      <c r="R68" s="134">
        <v>210</v>
      </c>
      <c r="S68" s="134">
        <v>138</v>
      </c>
      <c r="T68" s="134">
        <v>66</v>
      </c>
      <c r="U68" s="134">
        <v>3626</v>
      </c>
      <c r="V68" s="134">
        <v>11075</v>
      </c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</row>
    <row r="69" spans="1:43" s="200" customFormat="1" x14ac:dyDescent="0.3">
      <c r="A69" s="307" t="s">
        <v>548</v>
      </c>
      <c r="B69" s="95" t="s">
        <v>677</v>
      </c>
      <c r="C69" s="133">
        <v>17</v>
      </c>
      <c r="D69" s="133">
        <v>2</v>
      </c>
      <c r="E69" s="133">
        <v>15</v>
      </c>
      <c r="F69" s="133">
        <v>34</v>
      </c>
      <c r="G69" s="133">
        <v>2</v>
      </c>
      <c r="H69" s="133">
        <v>4</v>
      </c>
      <c r="I69" s="133">
        <v>1</v>
      </c>
      <c r="J69" s="133">
        <v>3</v>
      </c>
      <c r="K69" s="204" t="s">
        <v>65</v>
      </c>
      <c r="L69" s="133">
        <v>10</v>
      </c>
      <c r="M69" s="133">
        <v>1</v>
      </c>
      <c r="N69" s="133">
        <v>5</v>
      </c>
      <c r="O69" s="133">
        <v>89</v>
      </c>
      <c r="P69" s="133">
        <v>12</v>
      </c>
      <c r="Q69" s="133">
        <v>2</v>
      </c>
      <c r="R69" s="133">
        <v>7</v>
      </c>
      <c r="S69" s="133">
        <v>2</v>
      </c>
      <c r="T69" s="204">
        <v>2</v>
      </c>
      <c r="U69" s="133">
        <v>137</v>
      </c>
      <c r="V69" s="133">
        <v>174</v>
      </c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</row>
    <row r="70" spans="1:43" s="200" customFormat="1" ht="16.5" customHeight="1" x14ac:dyDescent="0.3">
      <c r="A70" s="323"/>
      <c r="B70" s="95" t="s">
        <v>678</v>
      </c>
      <c r="C70" s="133">
        <v>113</v>
      </c>
      <c r="D70" s="133">
        <v>14</v>
      </c>
      <c r="E70" s="133">
        <v>94</v>
      </c>
      <c r="F70" s="133">
        <v>221</v>
      </c>
      <c r="G70" s="133">
        <v>47</v>
      </c>
      <c r="H70" s="133">
        <v>34</v>
      </c>
      <c r="I70" s="133">
        <v>47</v>
      </c>
      <c r="J70" s="133">
        <v>24</v>
      </c>
      <c r="K70" s="204" t="s">
        <v>65</v>
      </c>
      <c r="L70" s="133">
        <v>36</v>
      </c>
      <c r="M70" s="133">
        <v>20</v>
      </c>
      <c r="N70" s="133">
        <v>9</v>
      </c>
      <c r="O70" s="133">
        <v>503</v>
      </c>
      <c r="P70" s="133">
        <v>24</v>
      </c>
      <c r="Q70" s="133">
        <v>49</v>
      </c>
      <c r="R70" s="133">
        <v>30</v>
      </c>
      <c r="S70" s="133">
        <v>7</v>
      </c>
      <c r="T70" s="133" t="s">
        <v>65</v>
      </c>
      <c r="U70" s="133">
        <v>784</v>
      </c>
      <c r="V70" s="133">
        <v>1052</v>
      </c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</row>
    <row r="71" spans="1:43" s="200" customFormat="1" x14ac:dyDescent="0.3">
      <c r="A71" s="323"/>
      <c r="B71" s="95" t="s">
        <v>679</v>
      </c>
      <c r="C71" s="133">
        <v>55</v>
      </c>
      <c r="D71" s="133">
        <v>2</v>
      </c>
      <c r="E71" s="133">
        <v>30</v>
      </c>
      <c r="F71" s="133">
        <v>86</v>
      </c>
      <c r="G71" s="133">
        <v>17</v>
      </c>
      <c r="H71" s="133">
        <v>59</v>
      </c>
      <c r="I71" s="133">
        <v>13</v>
      </c>
      <c r="J71" s="133">
        <v>12</v>
      </c>
      <c r="K71" s="204" t="s">
        <v>65</v>
      </c>
      <c r="L71" s="133">
        <v>8</v>
      </c>
      <c r="M71" s="133">
        <v>18</v>
      </c>
      <c r="N71" s="133">
        <v>3</v>
      </c>
      <c r="O71" s="133">
        <v>100</v>
      </c>
      <c r="P71" s="133">
        <v>4</v>
      </c>
      <c r="Q71" s="133">
        <v>15</v>
      </c>
      <c r="R71" s="133">
        <v>4</v>
      </c>
      <c r="S71" s="133">
        <v>4</v>
      </c>
      <c r="T71" s="204">
        <v>2</v>
      </c>
      <c r="U71" s="133">
        <v>242</v>
      </c>
      <c r="V71" s="133">
        <v>345</v>
      </c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</row>
    <row r="72" spans="1:43" s="200" customFormat="1" x14ac:dyDescent="0.3">
      <c r="A72" s="323"/>
      <c r="B72" s="95" t="s">
        <v>680</v>
      </c>
      <c r="C72" s="133">
        <v>60</v>
      </c>
      <c r="D72" s="133">
        <v>13</v>
      </c>
      <c r="E72" s="133">
        <v>84</v>
      </c>
      <c r="F72" s="133">
        <v>156</v>
      </c>
      <c r="G72" s="133">
        <v>91</v>
      </c>
      <c r="H72" s="133">
        <v>5</v>
      </c>
      <c r="I72" s="133">
        <v>53</v>
      </c>
      <c r="J72" s="133">
        <v>55</v>
      </c>
      <c r="K72" s="204">
        <v>20</v>
      </c>
      <c r="L72" s="133">
        <v>32</v>
      </c>
      <c r="M72" s="133">
        <v>45</v>
      </c>
      <c r="N72" s="133">
        <v>56</v>
      </c>
      <c r="O72" s="133">
        <v>350</v>
      </c>
      <c r="P72" s="133">
        <v>32</v>
      </c>
      <c r="Q72" s="133">
        <v>71</v>
      </c>
      <c r="R72" s="133">
        <v>54</v>
      </c>
      <c r="S72" s="133">
        <v>11</v>
      </c>
      <c r="T72" s="133">
        <v>7</v>
      </c>
      <c r="U72" s="133">
        <v>790</v>
      </c>
      <c r="V72" s="133">
        <v>1037</v>
      </c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</row>
    <row r="73" spans="1:43" s="200" customFormat="1" x14ac:dyDescent="0.3">
      <c r="A73" s="323"/>
      <c r="B73" s="95" t="s">
        <v>555</v>
      </c>
      <c r="C73" s="133">
        <v>23</v>
      </c>
      <c r="D73" s="133">
        <v>3</v>
      </c>
      <c r="E73" s="133">
        <v>15</v>
      </c>
      <c r="F73" s="133">
        <v>41</v>
      </c>
      <c r="G73" s="133">
        <v>10</v>
      </c>
      <c r="H73" s="133">
        <v>3</v>
      </c>
      <c r="I73" s="133">
        <v>2</v>
      </c>
      <c r="J73" s="133">
        <v>9</v>
      </c>
      <c r="K73" s="133" t="s">
        <v>65</v>
      </c>
      <c r="L73" s="133">
        <v>6</v>
      </c>
      <c r="M73" s="133">
        <v>3</v>
      </c>
      <c r="N73" s="133">
        <v>191</v>
      </c>
      <c r="O73" s="133">
        <v>55</v>
      </c>
      <c r="P73" s="133">
        <v>4</v>
      </c>
      <c r="Q73" s="133">
        <v>1</v>
      </c>
      <c r="R73" s="133">
        <v>8</v>
      </c>
      <c r="S73" s="133">
        <v>2</v>
      </c>
      <c r="T73" s="133">
        <v>4</v>
      </c>
      <c r="U73" s="133">
        <v>287</v>
      </c>
      <c r="V73" s="133">
        <v>338</v>
      </c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</row>
    <row r="74" spans="1:43" s="200" customFormat="1" x14ac:dyDescent="0.3">
      <c r="A74" s="323"/>
      <c r="B74" s="95" t="s">
        <v>552</v>
      </c>
      <c r="C74" s="133">
        <v>41</v>
      </c>
      <c r="D74" s="133">
        <v>3</v>
      </c>
      <c r="E74" s="133">
        <v>18</v>
      </c>
      <c r="F74" s="133">
        <v>62</v>
      </c>
      <c r="G74" s="133">
        <v>26</v>
      </c>
      <c r="H74" s="133">
        <v>2</v>
      </c>
      <c r="I74" s="133">
        <v>2</v>
      </c>
      <c r="J74" s="133">
        <v>12</v>
      </c>
      <c r="K74" s="204">
        <v>1</v>
      </c>
      <c r="L74" s="133">
        <v>20</v>
      </c>
      <c r="M74" s="133">
        <v>10</v>
      </c>
      <c r="N74" s="133">
        <v>7</v>
      </c>
      <c r="O74" s="133">
        <v>514</v>
      </c>
      <c r="P74" s="133">
        <v>20</v>
      </c>
      <c r="Q74" s="133">
        <v>2</v>
      </c>
      <c r="R74" s="133">
        <v>36</v>
      </c>
      <c r="S74" s="133">
        <v>1</v>
      </c>
      <c r="T74" s="133">
        <v>0</v>
      </c>
      <c r="U74" s="133">
        <v>627</v>
      </c>
      <c r="V74" s="133">
        <v>716</v>
      </c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</row>
    <row r="75" spans="1:43" s="200" customFormat="1" x14ac:dyDescent="0.3">
      <c r="A75" s="323"/>
      <c r="B75" s="95" t="s">
        <v>551</v>
      </c>
      <c r="C75" s="133">
        <v>27</v>
      </c>
      <c r="D75" s="133" t="s">
        <v>65</v>
      </c>
      <c r="E75" s="133">
        <v>74</v>
      </c>
      <c r="F75" s="133">
        <v>101</v>
      </c>
      <c r="G75" s="133">
        <v>51</v>
      </c>
      <c r="H75" s="133">
        <v>9</v>
      </c>
      <c r="I75" s="133">
        <v>39</v>
      </c>
      <c r="J75" s="133">
        <v>16</v>
      </c>
      <c r="K75" s="133" t="s">
        <v>65</v>
      </c>
      <c r="L75" s="133">
        <v>6</v>
      </c>
      <c r="M75" s="133">
        <v>13</v>
      </c>
      <c r="N75" s="133">
        <v>4</v>
      </c>
      <c r="O75" s="133">
        <v>84</v>
      </c>
      <c r="P75" s="133">
        <v>9</v>
      </c>
      <c r="Q75" s="133">
        <v>11</v>
      </c>
      <c r="R75" s="133">
        <v>8</v>
      </c>
      <c r="S75" s="133">
        <v>7</v>
      </c>
      <c r="T75" s="133">
        <v>0</v>
      </c>
      <c r="U75" s="133">
        <v>205</v>
      </c>
      <c r="V75" s="133">
        <v>358</v>
      </c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</row>
    <row r="76" spans="1:43" s="200" customFormat="1" x14ac:dyDescent="0.3">
      <c r="A76" s="323"/>
      <c r="B76" s="95" t="s">
        <v>553</v>
      </c>
      <c r="C76" s="133">
        <v>120</v>
      </c>
      <c r="D76" s="204">
        <v>5</v>
      </c>
      <c r="E76" s="133">
        <v>49</v>
      </c>
      <c r="F76" s="133">
        <v>174</v>
      </c>
      <c r="G76" s="133">
        <v>51</v>
      </c>
      <c r="H76" s="133">
        <v>8</v>
      </c>
      <c r="I76" s="133">
        <v>6</v>
      </c>
      <c r="J76" s="133">
        <v>14</v>
      </c>
      <c r="K76" s="204" t="s">
        <v>65</v>
      </c>
      <c r="L76" s="133">
        <v>135</v>
      </c>
      <c r="M76" s="133">
        <v>45</v>
      </c>
      <c r="N76" s="133">
        <v>175</v>
      </c>
      <c r="O76" s="133">
        <v>462</v>
      </c>
      <c r="P76" s="133">
        <v>23</v>
      </c>
      <c r="Q76" s="133">
        <v>16</v>
      </c>
      <c r="R76" s="133">
        <v>111</v>
      </c>
      <c r="S76" s="133">
        <v>75</v>
      </c>
      <c r="T76" s="133">
        <v>10</v>
      </c>
      <c r="U76" s="133">
        <v>1081</v>
      </c>
      <c r="V76" s="133">
        <v>1305</v>
      </c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</row>
    <row r="77" spans="1:43" s="200" customFormat="1" x14ac:dyDescent="0.3">
      <c r="A77" s="323"/>
      <c r="B77" s="95" t="s">
        <v>556</v>
      </c>
      <c r="C77" s="133">
        <v>768</v>
      </c>
      <c r="D77" s="133">
        <v>8</v>
      </c>
      <c r="E77" s="133">
        <v>239</v>
      </c>
      <c r="F77" s="133">
        <v>1015</v>
      </c>
      <c r="G77" s="133">
        <v>32</v>
      </c>
      <c r="H77" s="133" t="s">
        <v>65</v>
      </c>
      <c r="I77" s="133">
        <v>2</v>
      </c>
      <c r="J77" s="133">
        <v>9</v>
      </c>
      <c r="K77" s="204" t="s">
        <v>65</v>
      </c>
      <c r="L77" s="133">
        <v>40</v>
      </c>
      <c r="M77" s="133">
        <v>2</v>
      </c>
      <c r="N77" s="133">
        <v>12</v>
      </c>
      <c r="O77" s="133">
        <v>6</v>
      </c>
      <c r="P77" s="133">
        <v>7</v>
      </c>
      <c r="Q77" s="133">
        <v>49</v>
      </c>
      <c r="R77" s="133">
        <v>34</v>
      </c>
      <c r="S77" s="133">
        <v>23</v>
      </c>
      <c r="T77" s="133">
        <v>2</v>
      </c>
      <c r="U77" s="133">
        <v>186</v>
      </c>
      <c r="V77" s="133">
        <v>1233</v>
      </c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</row>
    <row r="78" spans="1:43" s="200" customFormat="1" x14ac:dyDescent="0.3">
      <c r="A78" s="323"/>
      <c r="B78" s="95" t="s">
        <v>559</v>
      </c>
      <c r="C78" s="133">
        <v>21</v>
      </c>
      <c r="D78" s="133">
        <v>6</v>
      </c>
      <c r="E78" s="133">
        <v>23</v>
      </c>
      <c r="F78" s="133">
        <v>50</v>
      </c>
      <c r="G78" s="133">
        <v>27</v>
      </c>
      <c r="H78" s="204">
        <v>182</v>
      </c>
      <c r="I78" s="133">
        <v>1</v>
      </c>
      <c r="J78" s="133">
        <v>17</v>
      </c>
      <c r="K78" s="204">
        <v>0</v>
      </c>
      <c r="L78" s="133">
        <v>26</v>
      </c>
      <c r="M78" s="133">
        <v>2</v>
      </c>
      <c r="N78" s="133">
        <v>26</v>
      </c>
      <c r="O78" s="133">
        <v>39</v>
      </c>
      <c r="P78" s="133">
        <v>70</v>
      </c>
      <c r="Q78" s="133">
        <v>15</v>
      </c>
      <c r="R78" s="133">
        <v>66</v>
      </c>
      <c r="S78" s="133">
        <v>93</v>
      </c>
      <c r="T78" s="133" t="s">
        <v>65</v>
      </c>
      <c r="U78" s="133">
        <v>537</v>
      </c>
      <c r="V78" s="133">
        <v>614</v>
      </c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</row>
    <row r="79" spans="1:43" s="200" customFormat="1" x14ac:dyDescent="0.3">
      <c r="A79" s="323"/>
      <c r="B79" s="95" t="s">
        <v>560</v>
      </c>
      <c r="C79" s="133">
        <v>14</v>
      </c>
      <c r="D79" s="133">
        <v>8</v>
      </c>
      <c r="E79" s="133">
        <v>15</v>
      </c>
      <c r="F79" s="133">
        <v>37</v>
      </c>
      <c r="G79" s="133">
        <v>19</v>
      </c>
      <c r="H79" s="133">
        <v>110</v>
      </c>
      <c r="I79" s="133">
        <v>1</v>
      </c>
      <c r="J79" s="133">
        <v>1</v>
      </c>
      <c r="K79" s="133">
        <v>12</v>
      </c>
      <c r="L79" s="133">
        <v>11</v>
      </c>
      <c r="M79" s="133">
        <v>0</v>
      </c>
      <c r="N79" s="133">
        <v>13</v>
      </c>
      <c r="O79" s="133">
        <v>3</v>
      </c>
      <c r="P79" s="133">
        <v>26</v>
      </c>
      <c r="Q79" s="133">
        <v>9</v>
      </c>
      <c r="R79" s="133">
        <v>12</v>
      </c>
      <c r="S79" s="133">
        <v>15</v>
      </c>
      <c r="T79" s="204" t="s">
        <v>65</v>
      </c>
      <c r="U79" s="133">
        <v>212</v>
      </c>
      <c r="V79" s="133">
        <v>269</v>
      </c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</row>
    <row r="80" spans="1:43" s="200" customFormat="1" x14ac:dyDescent="0.3">
      <c r="A80" s="323"/>
      <c r="B80" s="95" t="s">
        <v>554</v>
      </c>
      <c r="C80" s="133">
        <v>113</v>
      </c>
      <c r="D80" s="133">
        <v>3</v>
      </c>
      <c r="E80" s="133">
        <v>36</v>
      </c>
      <c r="F80" s="133">
        <v>151</v>
      </c>
      <c r="G80" s="133">
        <v>66</v>
      </c>
      <c r="H80" s="133">
        <v>3</v>
      </c>
      <c r="I80" s="133">
        <v>31</v>
      </c>
      <c r="J80" s="133">
        <v>93</v>
      </c>
      <c r="K80" s="133">
        <v>4</v>
      </c>
      <c r="L80" s="133">
        <v>56</v>
      </c>
      <c r="M80" s="133">
        <v>66</v>
      </c>
      <c r="N80" s="133">
        <v>6</v>
      </c>
      <c r="O80" s="133">
        <v>111</v>
      </c>
      <c r="P80" s="133">
        <v>3</v>
      </c>
      <c r="Q80" s="133">
        <v>392</v>
      </c>
      <c r="R80" s="133">
        <v>33</v>
      </c>
      <c r="S80" s="133">
        <v>10</v>
      </c>
      <c r="T80" s="204">
        <v>1</v>
      </c>
      <c r="U80" s="133">
        <v>807</v>
      </c>
      <c r="V80" s="133">
        <v>1024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</row>
    <row r="81" spans="1:43" s="200" customFormat="1" x14ac:dyDescent="0.3">
      <c r="A81" s="323"/>
      <c r="B81" s="95" t="s">
        <v>549</v>
      </c>
      <c r="C81" s="133">
        <v>65</v>
      </c>
      <c r="D81" s="133">
        <v>1</v>
      </c>
      <c r="E81" s="133">
        <v>221</v>
      </c>
      <c r="F81" s="133">
        <v>286</v>
      </c>
      <c r="G81" s="133">
        <v>30</v>
      </c>
      <c r="H81" s="133">
        <v>23</v>
      </c>
      <c r="I81" s="133">
        <v>27</v>
      </c>
      <c r="J81" s="133">
        <v>20</v>
      </c>
      <c r="K81" s="133">
        <v>0</v>
      </c>
      <c r="L81" s="133">
        <v>91</v>
      </c>
      <c r="M81" s="133">
        <v>12</v>
      </c>
      <c r="N81" s="133">
        <v>17</v>
      </c>
      <c r="O81" s="133">
        <v>922</v>
      </c>
      <c r="P81" s="133">
        <v>50</v>
      </c>
      <c r="Q81" s="133">
        <v>4</v>
      </c>
      <c r="R81" s="133">
        <v>199</v>
      </c>
      <c r="S81" s="133">
        <v>8</v>
      </c>
      <c r="T81" s="133" t="s">
        <v>65</v>
      </c>
      <c r="U81" s="133">
        <v>1373</v>
      </c>
      <c r="V81" s="133">
        <v>1690</v>
      </c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</row>
    <row r="82" spans="1:43" s="200" customFormat="1" x14ac:dyDescent="0.3">
      <c r="A82" s="323"/>
      <c r="B82" s="95" t="s">
        <v>562</v>
      </c>
      <c r="C82" s="133">
        <v>279</v>
      </c>
      <c r="D82" s="133">
        <v>7</v>
      </c>
      <c r="E82" s="133">
        <v>109</v>
      </c>
      <c r="F82" s="133">
        <v>395</v>
      </c>
      <c r="G82" s="133">
        <v>21</v>
      </c>
      <c r="H82" s="133">
        <v>38</v>
      </c>
      <c r="I82" s="133">
        <v>25</v>
      </c>
      <c r="J82" s="133">
        <v>112</v>
      </c>
      <c r="K82" s="133">
        <v>1</v>
      </c>
      <c r="L82" s="133">
        <v>36</v>
      </c>
      <c r="M82" s="133">
        <v>55</v>
      </c>
      <c r="N82" s="133">
        <v>37</v>
      </c>
      <c r="O82" s="133">
        <v>256</v>
      </c>
      <c r="P82" s="133">
        <v>11</v>
      </c>
      <c r="Q82" s="133">
        <v>41</v>
      </c>
      <c r="R82" s="133">
        <v>31</v>
      </c>
      <c r="S82" s="133">
        <v>15</v>
      </c>
      <c r="T82" s="204">
        <v>6</v>
      </c>
      <c r="U82" s="133">
        <v>664</v>
      </c>
      <c r="V82" s="133">
        <v>1080</v>
      </c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</row>
    <row r="83" spans="1:43" s="200" customFormat="1" x14ac:dyDescent="0.3">
      <c r="A83" s="323"/>
      <c r="B83" s="95" t="s">
        <v>563</v>
      </c>
      <c r="C83" s="133">
        <v>146</v>
      </c>
      <c r="D83" s="133">
        <v>4</v>
      </c>
      <c r="E83" s="133">
        <v>102</v>
      </c>
      <c r="F83" s="133">
        <v>253</v>
      </c>
      <c r="G83" s="133">
        <v>22</v>
      </c>
      <c r="H83" s="133">
        <v>30</v>
      </c>
      <c r="I83" s="133">
        <v>25</v>
      </c>
      <c r="J83" s="133">
        <v>36</v>
      </c>
      <c r="K83" s="133">
        <v>0</v>
      </c>
      <c r="L83" s="133">
        <v>47</v>
      </c>
      <c r="M83" s="133">
        <v>29</v>
      </c>
      <c r="N83" s="133">
        <v>18</v>
      </c>
      <c r="O83" s="133">
        <v>142</v>
      </c>
      <c r="P83" s="133">
        <v>11</v>
      </c>
      <c r="Q83" s="133">
        <v>24</v>
      </c>
      <c r="R83" s="133">
        <v>25</v>
      </c>
      <c r="S83" s="133">
        <v>21</v>
      </c>
      <c r="T83" s="133">
        <v>6</v>
      </c>
      <c r="U83" s="133">
        <v>415</v>
      </c>
      <c r="V83" s="133">
        <v>690</v>
      </c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</row>
    <row r="84" spans="1:43" s="200" customFormat="1" x14ac:dyDescent="0.3">
      <c r="A84" s="323"/>
      <c r="B84" s="95" t="s">
        <v>681</v>
      </c>
      <c r="C84" s="133">
        <v>14</v>
      </c>
      <c r="D84" s="133">
        <v>1</v>
      </c>
      <c r="E84" s="133">
        <v>7</v>
      </c>
      <c r="F84" s="133">
        <v>21</v>
      </c>
      <c r="G84" s="133">
        <v>2</v>
      </c>
      <c r="H84" s="133">
        <v>1</v>
      </c>
      <c r="I84" s="133">
        <v>3</v>
      </c>
      <c r="J84" s="133">
        <v>25</v>
      </c>
      <c r="K84" s="133" t="s">
        <v>65</v>
      </c>
      <c r="L84" s="133">
        <v>2</v>
      </c>
      <c r="M84" s="133" t="s">
        <v>65</v>
      </c>
      <c r="N84" s="133">
        <v>3</v>
      </c>
      <c r="O84" s="133">
        <v>5</v>
      </c>
      <c r="P84" s="133">
        <v>1</v>
      </c>
      <c r="Q84" s="133">
        <v>2</v>
      </c>
      <c r="R84" s="133">
        <v>1</v>
      </c>
      <c r="S84" s="133">
        <v>1</v>
      </c>
      <c r="T84" s="133" t="s">
        <v>65</v>
      </c>
      <c r="U84" s="133">
        <v>44</v>
      </c>
      <c r="V84" s="133">
        <v>66</v>
      </c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</row>
    <row r="85" spans="1:43" s="200" customFormat="1" x14ac:dyDescent="0.3">
      <c r="A85" s="323"/>
      <c r="B85" s="95" t="s">
        <v>561</v>
      </c>
      <c r="C85" s="133">
        <v>20</v>
      </c>
      <c r="D85" s="133">
        <v>10</v>
      </c>
      <c r="E85" s="133">
        <v>33</v>
      </c>
      <c r="F85" s="133">
        <v>63</v>
      </c>
      <c r="G85" s="133">
        <v>3</v>
      </c>
      <c r="H85" s="133">
        <v>88</v>
      </c>
      <c r="I85" s="133" t="s">
        <v>65</v>
      </c>
      <c r="J85" s="133">
        <v>0</v>
      </c>
      <c r="K85" s="204" t="s">
        <v>65</v>
      </c>
      <c r="L85" s="133">
        <v>2</v>
      </c>
      <c r="M85" s="204">
        <v>1</v>
      </c>
      <c r="N85" s="133">
        <v>8</v>
      </c>
      <c r="O85" s="133">
        <v>3</v>
      </c>
      <c r="P85" s="133">
        <v>11</v>
      </c>
      <c r="Q85" s="133">
        <v>7</v>
      </c>
      <c r="R85" s="133">
        <v>11</v>
      </c>
      <c r="S85" s="133">
        <v>5</v>
      </c>
      <c r="T85" s="204">
        <v>7</v>
      </c>
      <c r="U85" s="133">
        <v>145</v>
      </c>
      <c r="V85" s="133">
        <v>210</v>
      </c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</row>
    <row r="86" spans="1:43" s="200" customFormat="1" x14ac:dyDescent="0.3">
      <c r="A86" s="323"/>
      <c r="B86" s="95" t="s">
        <v>550</v>
      </c>
      <c r="C86" s="133">
        <v>82</v>
      </c>
      <c r="D86" s="133">
        <v>0</v>
      </c>
      <c r="E86" s="133">
        <v>131</v>
      </c>
      <c r="F86" s="133">
        <v>213</v>
      </c>
      <c r="G86" s="133">
        <v>49</v>
      </c>
      <c r="H86" s="133">
        <v>2</v>
      </c>
      <c r="I86" s="204">
        <v>22</v>
      </c>
      <c r="J86" s="133">
        <v>24</v>
      </c>
      <c r="K86" s="204" t="s">
        <v>65</v>
      </c>
      <c r="L86" s="133">
        <v>125</v>
      </c>
      <c r="M86" s="133">
        <v>287</v>
      </c>
      <c r="N86" s="133">
        <v>39</v>
      </c>
      <c r="O86" s="133">
        <v>1060</v>
      </c>
      <c r="P86" s="133">
        <v>130</v>
      </c>
      <c r="Q86" s="133">
        <v>82</v>
      </c>
      <c r="R86" s="133">
        <v>91</v>
      </c>
      <c r="S86" s="133">
        <v>149</v>
      </c>
      <c r="T86" s="133">
        <v>16</v>
      </c>
      <c r="U86" s="133">
        <v>2027</v>
      </c>
      <c r="V86" s="133">
        <v>2289</v>
      </c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</row>
    <row r="87" spans="1:43" s="200" customFormat="1" x14ac:dyDescent="0.3">
      <c r="A87" s="323"/>
      <c r="B87" s="95" t="s">
        <v>558</v>
      </c>
      <c r="C87" s="133">
        <v>38</v>
      </c>
      <c r="D87" s="133">
        <v>1</v>
      </c>
      <c r="E87" s="133">
        <v>21</v>
      </c>
      <c r="F87" s="133">
        <v>59</v>
      </c>
      <c r="G87" s="133">
        <v>21</v>
      </c>
      <c r="H87" s="133">
        <v>6</v>
      </c>
      <c r="I87" s="133">
        <v>8</v>
      </c>
      <c r="J87" s="133">
        <v>3</v>
      </c>
      <c r="K87" s="204">
        <v>1</v>
      </c>
      <c r="L87" s="133">
        <v>29</v>
      </c>
      <c r="M87" s="133">
        <v>7</v>
      </c>
      <c r="N87" s="133">
        <v>2</v>
      </c>
      <c r="O87" s="133">
        <v>7</v>
      </c>
      <c r="P87" s="133">
        <v>4</v>
      </c>
      <c r="Q87" s="133">
        <v>11</v>
      </c>
      <c r="R87" s="133">
        <v>8</v>
      </c>
      <c r="S87" s="133" t="s">
        <v>65</v>
      </c>
      <c r="T87" s="133">
        <v>1</v>
      </c>
      <c r="U87" s="133">
        <v>85</v>
      </c>
      <c r="V87" s="133">
        <v>165</v>
      </c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</row>
    <row r="88" spans="1:43" s="200" customFormat="1" x14ac:dyDescent="0.3">
      <c r="A88" s="323"/>
      <c r="B88" s="95" t="s">
        <v>557</v>
      </c>
      <c r="C88" s="133">
        <v>3</v>
      </c>
      <c r="D88" s="133" t="s">
        <v>65</v>
      </c>
      <c r="E88" s="133">
        <v>22</v>
      </c>
      <c r="F88" s="133">
        <v>25</v>
      </c>
      <c r="G88" s="133">
        <v>4</v>
      </c>
      <c r="H88" s="133">
        <v>0</v>
      </c>
      <c r="I88" s="133">
        <v>2</v>
      </c>
      <c r="J88" s="133">
        <v>0</v>
      </c>
      <c r="K88" s="133" t="s">
        <v>65</v>
      </c>
      <c r="L88" s="133">
        <v>3</v>
      </c>
      <c r="M88" s="133">
        <v>0</v>
      </c>
      <c r="N88" s="133">
        <v>0</v>
      </c>
      <c r="O88" s="133">
        <v>10</v>
      </c>
      <c r="P88" s="133">
        <v>0</v>
      </c>
      <c r="Q88" s="133">
        <v>1</v>
      </c>
      <c r="R88" s="133">
        <v>0</v>
      </c>
      <c r="S88" s="204">
        <v>0</v>
      </c>
      <c r="T88" s="133" t="s">
        <v>65</v>
      </c>
      <c r="U88" s="133">
        <v>17</v>
      </c>
      <c r="V88" s="133">
        <v>46</v>
      </c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</row>
    <row r="89" spans="1:43" s="200" customFormat="1" x14ac:dyDescent="0.3">
      <c r="A89" s="323"/>
      <c r="B89" s="95" t="s">
        <v>564</v>
      </c>
      <c r="C89" s="133">
        <v>106</v>
      </c>
      <c r="D89" s="204">
        <v>1</v>
      </c>
      <c r="E89" s="133">
        <v>28</v>
      </c>
      <c r="F89" s="133">
        <v>135</v>
      </c>
      <c r="G89" s="133">
        <v>6</v>
      </c>
      <c r="H89" s="133">
        <v>988</v>
      </c>
      <c r="I89" s="133">
        <v>11</v>
      </c>
      <c r="J89" s="133">
        <v>25</v>
      </c>
      <c r="K89" s="204" t="s">
        <v>65</v>
      </c>
      <c r="L89" s="133">
        <v>3</v>
      </c>
      <c r="M89" s="133">
        <v>7</v>
      </c>
      <c r="N89" s="133">
        <v>2</v>
      </c>
      <c r="O89" s="133">
        <v>859</v>
      </c>
      <c r="P89" s="133">
        <v>216</v>
      </c>
      <c r="Q89" s="133">
        <v>4</v>
      </c>
      <c r="R89" s="133">
        <v>5</v>
      </c>
      <c r="S89" s="133">
        <v>3</v>
      </c>
      <c r="T89" s="204" t="s">
        <v>65</v>
      </c>
      <c r="U89" s="133">
        <v>2122</v>
      </c>
      <c r="V89" s="133">
        <v>2263</v>
      </c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</row>
    <row r="90" spans="1:43" s="200" customFormat="1" x14ac:dyDescent="0.3">
      <c r="A90" s="308"/>
      <c r="B90" s="97" t="s">
        <v>86</v>
      </c>
      <c r="C90" s="134">
        <v>2124</v>
      </c>
      <c r="D90" s="134">
        <v>91</v>
      </c>
      <c r="E90" s="134">
        <v>1365</v>
      </c>
      <c r="F90" s="134">
        <v>3579</v>
      </c>
      <c r="G90" s="134">
        <v>596</v>
      </c>
      <c r="H90" s="134">
        <v>1594</v>
      </c>
      <c r="I90" s="134">
        <v>321</v>
      </c>
      <c r="J90" s="134">
        <v>512</v>
      </c>
      <c r="K90" s="134">
        <v>38</v>
      </c>
      <c r="L90" s="134">
        <v>725</v>
      </c>
      <c r="M90" s="134">
        <v>625</v>
      </c>
      <c r="N90" s="134">
        <v>633</v>
      </c>
      <c r="O90" s="134">
        <v>5580</v>
      </c>
      <c r="P90" s="134">
        <v>667</v>
      </c>
      <c r="Q90" s="134">
        <v>806</v>
      </c>
      <c r="R90" s="134">
        <v>774</v>
      </c>
      <c r="S90" s="134">
        <v>451</v>
      </c>
      <c r="T90" s="134">
        <v>63</v>
      </c>
      <c r="U90" s="134">
        <v>12790</v>
      </c>
      <c r="V90" s="134">
        <v>16965</v>
      </c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</row>
    <row r="91" spans="1:43" s="200" customFormat="1" x14ac:dyDescent="0.3">
      <c r="A91" s="307" t="s">
        <v>145</v>
      </c>
      <c r="B91" s="95" t="s">
        <v>569</v>
      </c>
      <c r="C91" s="133">
        <v>123</v>
      </c>
      <c r="D91" s="133">
        <v>5</v>
      </c>
      <c r="E91" s="133">
        <v>22</v>
      </c>
      <c r="F91" s="133">
        <v>151</v>
      </c>
      <c r="G91" s="133">
        <v>15</v>
      </c>
      <c r="H91" s="133">
        <v>15</v>
      </c>
      <c r="I91" s="133">
        <v>10</v>
      </c>
      <c r="J91" s="133">
        <v>9</v>
      </c>
      <c r="K91" s="133">
        <v>1</v>
      </c>
      <c r="L91" s="133">
        <v>9</v>
      </c>
      <c r="M91" s="133">
        <v>5</v>
      </c>
      <c r="N91" s="133">
        <v>15</v>
      </c>
      <c r="O91" s="133">
        <v>8</v>
      </c>
      <c r="P91" s="133">
        <v>2</v>
      </c>
      <c r="Q91" s="133">
        <v>6</v>
      </c>
      <c r="R91" s="133">
        <v>6</v>
      </c>
      <c r="S91" s="133">
        <v>1</v>
      </c>
      <c r="T91" s="204" t="s">
        <v>65</v>
      </c>
      <c r="U91" s="133">
        <v>86</v>
      </c>
      <c r="V91" s="133">
        <v>251</v>
      </c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</row>
    <row r="92" spans="1:43" s="200" customFormat="1" x14ac:dyDescent="0.3">
      <c r="A92" s="323"/>
      <c r="B92" s="95" t="s">
        <v>682</v>
      </c>
      <c r="C92" s="133">
        <v>158</v>
      </c>
      <c r="D92" s="133">
        <v>4</v>
      </c>
      <c r="E92" s="133">
        <v>82</v>
      </c>
      <c r="F92" s="133">
        <v>244</v>
      </c>
      <c r="G92" s="133">
        <v>269</v>
      </c>
      <c r="H92" s="133">
        <v>20</v>
      </c>
      <c r="I92" s="133">
        <v>5</v>
      </c>
      <c r="J92" s="133">
        <v>2</v>
      </c>
      <c r="K92" s="133">
        <v>4</v>
      </c>
      <c r="L92" s="133">
        <v>6</v>
      </c>
      <c r="M92" s="133">
        <v>75</v>
      </c>
      <c r="N92" s="133">
        <v>16</v>
      </c>
      <c r="O92" s="133">
        <v>107</v>
      </c>
      <c r="P92" s="133">
        <v>19</v>
      </c>
      <c r="Q92" s="133">
        <v>4</v>
      </c>
      <c r="R92" s="133">
        <v>5</v>
      </c>
      <c r="S92" s="133" t="s">
        <v>65</v>
      </c>
      <c r="T92" s="133">
        <v>13</v>
      </c>
      <c r="U92" s="133">
        <v>277</v>
      </c>
      <c r="V92" s="133">
        <v>790</v>
      </c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</row>
    <row r="93" spans="1:43" s="200" customFormat="1" x14ac:dyDescent="0.3">
      <c r="A93" s="323"/>
      <c r="B93" s="95" t="s">
        <v>568</v>
      </c>
      <c r="C93" s="133">
        <v>291</v>
      </c>
      <c r="D93" s="133">
        <v>7</v>
      </c>
      <c r="E93" s="133">
        <v>108</v>
      </c>
      <c r="F93" s="133">
        <v>405</v>
      </c>
      <c r="G93" s="133">
        <v>42</v>
      </c>
      <c r="H93" s="133">
        <v>17</v>
      </c>
      <c r="I93" s="133">
        <v>6</v>
      </c>
      <c r="J93" s="133">
        <v>8</v>
      </c>
      <c r="K93" s="133">
        <v>3</v>
      </c>
      <c r="L93" s="133">
        <v>19</v>
      </c>
      <c r="M93" s="133">
        <v>45</v>
      </c>
      <c r="N93" s="133">
        <v>16</v>
      </c>
      <c r="O93" s="133">
        <v>23</v>
      </c>
      <c r="P93" s="133">
        <v>1</v>
      </c>
      <c r="Q93" s="133">
        <v>12</v>
      </c>
      <c r="R93" s="133">
        <v>2</v>
      </c>
      <c r="S93" s="204">
        <v>0</v>
      </c>
      <c r="T93" s="133">
        <v>3</v>
      </c>
      <c r="U93" s="133">
        <v>156</v>
      </c>
      <c r="V93" s="133">
        <v>604</v>
      </c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</row>
    <row r="94" spans="1:43" s="200" customFormat="1" x14ac:dyDescent="0.3">
      <c r="A94" s="323"/>
      <c r="B94" s="95" t="s">
        <v>571</v>
      </c>
      <c r="C94" s="133">
        <v>38</v>
      </c>
      <c r="D94" s="133">
        <v>1</v>
      </c>
      <c r="E94" s="133">
        <v>29</v>
      </c>
      <c r="F94" s="133">
        <v>68</v>
      </c>
      <c r="G94" s="133">
        <v>12</v>
      </c>
      <c r="H94" s="133">
        <v>5</v>
      </c>
      <c r="I94" s="133">
        <v>2</v>
      </c>
      <c r="J94" s="133">
        <v>3</v>
      </c>
      <c r="K94" s="133" t="s">
        <v>65</v>
      </c>
      <c r="L94" s="133">
        <v>1</v>
      </c>
      <c r="M94" s="133">
        <v>62</v>
      </c>
      <c r="N94" s="133">
        <v>2</v>
      </c>
      <c r="O94" s="133">
        <v>0</v>
      </c>
      <c r="P94" s="133">
        <v>1</v>
      </c>
      <c r="Q94" s="133">
        <v>4</v>
      </c>
      <c r="R94" s="133">
        <v>4</v>
      </c>
      <c r="S94" s="133" t="s">
        <v>65</v>
      </c>
      <c r="T94" s="133">
        <v>4</v>
      </c>
      <c r="U94" s="133">
        <v>87</v>
      </c>
      <c r="V94" s="133">
        <v>168</v>
      </c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</row>
    <row r="95" spans="1:43" s="200" customFormat="1" x14ac:dyDescent="0.3">
      <c r="A95" s="323"/>
      <c r="B95" s="95" t="s">
        <v>683</v>
      </c>
      <c r="C95" s="133">
        <v>2495</v>
      </c>
      <c r="D95" s="133">
        <v>90</v>
      </c>
      <c r="E95" s="133">
        <v>1261</v>
      </c>
      <c r="F95" s="133">
        <v>3845</v>
      </c>
      <c r="G95" s="133">
        <v>930</v>
      </c>
      <c r="H95" s="133">
        <v>89</v>
      </c>
      <c r="I95" s="133">
        <v>257</v>
      </c>
      <c r="J95" s="133">
        <v>159</v>
      </c>
      <c r="K95" s="204">
        <v>53</v>
      </c>
      <c r="L95" s="133">
        <v>218</v>
      </c>
      <c r="M95" s="133">
        <v>479</v>
      </c>
      <c r="N95" s="133">
        <v>59</v>
      </c>
      <c r="O95" s="133">
        <v>119</v>
      </c>
      <c r="P95" s="133">
        <v>72</v>
      </c>
      <c r="Q95" s="133">
        <v>227</v>
      </c>
      <c r="R95" s="133">
        <v>89</v>
      </c>
      <c r="S95" s="204">
        <v>23</v>
      </c>
      <c r="T95" s="133">
        <v>39</v>
      </c>
      <c r="U95" s="133">
        <v>1884</v>
      </c>
      <c r="V95" s="133">
        <v>6660</v>
      </c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</row>
    <row r="96" spans="1:43" s="200" customFormat="1" x14ac:dyDescent="0.3">
      <c r="A96" s="323"/>
      <c r="B96" s="95" t="s">
        <v>572</v>
      </c>
      <c r="C96" s="133">
        <v>22</v>
      </c>
      <c r="D96" s="133" t="s">
        <v>65</v>
      </c>
      <c r="E96" s="133">
        <v>7</v>
      </c>
      <c r="F96" s="133">
        <v>29</v>
      </c>
      <c r="G96" s="133">
        <v>0</v>
      </c>
      <c r="H96" s="133">
        <v>1</v>
      </c>
      <c r="I96" s="133">
        <v>0</v>
      </c>
      <c r="J96" s="133" t="s">
        <v>65</v>
      </c>
      <c r="K96" s="133" t="s">
        <v>65</v>
      </c>
      <c r="L96" s="133">
        <v>2</v>
      </c>
      <c r="M96" s="133">
        <v>4</v>
      </c>
      <c r="N96" s="133">
        <v>1</v>
      </c>
      <c r="O96" s="133">
        <v>3</v>
      </c>
      <c r="P96" s="133" t="s">
        <v>65</v>
      </c>
      <c r="Q96" s="133">
        <v>0</v>
      </c>
      <c r="R96" s="133">
        <v>3</v>
      </c>
      <c r="S96" s="133">
        <v>0</v>
      </c>
      <c r="T96" s="133" t="s">
        <v>65</v>
      </c>
      <c r="U96" s="133">
        <v>14</v>
      </c>
      <c r="V96" s="133">
        <v>44</v>
      </c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</row>
    <row r="97" spans="1:43" s="200" customFormat="1" x14ac:dyDescent="0.3">
      <c r="A97" s="323"/>
      <c r="B97" s="95" t="s">
        <v>684</v>
      </c>
      <c r="C97" s="133">
        <v>1480</v>
      </c>
      <c r="D97" s="204">
        <v>109</v>
      </c>
      <c r="E97" s="133">
        <v>903</v>
      </c>
      <c r="F97" s="133">
        <v>2492</v>
      </c>
      <c r="G97" s="133">
        <v>370</v>
      </c>
      <c r="H97" s="133">
        <v>148</v>
      </c>
      <c r="I97" s="133">
        <v>277</v>
      </c>
      <c r="J97" s="204">
        <v>217</v>
      </c>
      <c r="K97" s="204">
        <v>71</v>
      </c>
      <c r="L97" s="133">
        <v>302</v>
      </c>
      <c r="M97" s="133">
        <v>113</v>
      </c>
      <c r="N97" s="133">
        <v>160</v>
      </c>
      <c r="O97" s="133">
        <v>73</v>
      </c>
      <c r="P97" s="204">
        <v>11</v>
      </c>
      <c r="Q97" s="133">
        <v>103</v>
      </c>
      <c r="R97" s="133">
        <v>82</v>
      </c>
      <c r="S97" s="133">
        <v>3</v>
      </c>
      <c r="T97" s="204">
        <v>14</v>
      </c>
      <c r="U97" s="133">
        <v>1573</v>
      </c>
      <c r="V97" s="133">
        <v>4435</v>
      </c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</row>
    <row r="98" spans="1:43" s="200" customFormat="1" x14ac:dyDescent="0.3">
      <c r="A98" s="323"/>
      <c r="B98" s="95" t="s">
        <v>685</v>
      </c>
      <c r="C98" s="133">
        <v>126</v>
      </c>
      <c r="D98" s="133">
        <v>3</v>
      </c>
      <c r="E98" s="133">
        <v>52</v>
      </c>
      <c r="F98" s="133">
        <v>181</v>
      </c>
      <c r="G98" s="133">
        <v>55</v>
      </c>
      <c r="H98" s="133">
        <v>14</v>
      </c>
      <c r="I98" s="133">
        <v>16</v>
      </c>
      <c r="J98" s="133">
        <v>8</v>
      </c>
      <c r="K98" s="133">
        <v>0</v>
      </c>
      <c r="L98" s="133">
        <v>12</v>
      </c>
      <c r="M98" s="133">
        <v>46</v>
      </c>
      <c r="N98" s="133">
        <v>3</v>
      </c>
      <c r="O98" s="133" t="s">
        <v>65</v>
      </c>
      <c r="P98" s="133" t="s">
        <v>65</v>
      </c>
      <c r="Q98" s="133">
        <v>5</v>
      </c>
      <c r="R98" s="133">
        <v>45</v>
      </c>
      <c r="S98" s="133" t="s">
        <v>65</v>
      </c>
      <c r="T98" s="133" t="s">
        <v>65</v>
      </c>
      <c r="U98" s="133">
        <v>149</v>
      </c>
      <c r="V98" s="133">
        <v>386</v>
      </c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</row>
    <row r="99" spans="1:43" s="200" customFormat="1" x14ac:dyDescent="0.3">
      <c r="A99" s="323"/>
      <c r="B99" s="95" t="s">
        <v>686</v>
      </c>
      <c r="C99" s="133">
        <v>616</v>
      </c>
      <c r="D99" s="133">
        <v>22</v>
      </c>
      <c r="E99" s="133">
        <v>233</v>
      </c>
      <c r="F99" s="133">
        <v>871</v>
      </c>
      <c r="G99" s="133">
        <v>57</v>
      </c>
      <c r="H99" s="133">
        <v>45</v>
      </c>
      <c r="I99" s="133">
        <v>40</v>
      </c>
      <c r="J99" s="133">
        <v>47</v>
      </c>
      <c r="K99" s="133">
        <v>13</v>
      </c>
      <c r="L99" s="133">
        <v>86</v>
      </c>
      <c r="M99" s="133">
        <v>22</v>
      </c>
      <c r="N99" s="133">
        <v>21</v>
      </c>
      <c r="O99" s="204">
        <v>21</v>
      </c>
      <c r="P99" s="204">
        <v>0</v>
      </c>
      <c r="Q99" s="133">
        <v>4</v>
      </c>
      <c r="R99" s="133">
        <v>64</v>
      </c>
      <c r="S99" s="204">
        <v>4</v>
      </c>
      <c r="T99" s="204">
        <v>2</v>
      </c>
      <c r="U99" s="133">
        <v>368</v>
      </c>
      <c r="V99" s="133">
        <v>1295</v>
      </c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</row>
    <row r="100" spans="1:43" s="200" customFormat="1" x14ac:dyDescent="0.3">
      <c r="A100" s="323"/>
      <c r="B100" s="95" t="s">
        <v>565</v>
      </c>
      <c r="C100" s="133">
        <v>1521</v>
      </c>
      <c r="D100" s="133">
        <v>66</v>
      </c>
      <c r="E100" s="133">
        <v>455</v>
      </c>
      <c r="F100" s="133">
        <v>2041</v>
      </c>
      <c r="G100" s="133">
        <v>376</v>
      </c>
      <c r="H100" s="133">
        <v>112</v>
      </c>
      <c r="I100" s="133">
        <v>182</v>
      </c>
      <c r="J100" s="133">
        <v>155</v>
      </c>
      <c r="K100" s="133">
        <v>81</v>
      </c>
      <c r="L100" s="133">
        <v>95</v>
      </c>
      <c r="M100" s="133">
        <v>135</v>
      </c>
      <c r="N100" s="133">
        <v>66</v>
      </c>
      <c r="O100" s="133">
        <v>94</v>
      </c>
      <c r="P100" s="133">
        <v>19</v>
      </c>
      <c r="Q100" s="133">
        <v>71</v>
      </c>
      <c r="R100" s="133">
        <v>103</v>
      </c>
      <c r="S100" s="133">
        <v>20</v>
      </c>
      <c r="T100" s="133">
        <v>16</v>
      </c>
      <c r="U100" s="133">
        <v>1150</v>
      </c>
      <c r="V100" s="133">
        <v>3567</v>
      </c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</row>
    <row r="101" spans="1:43" s="200" customFormat="1" x14ac:dyDescent="0.3">
      <c r="A101" s="323"/>
      <c r="B101" s="95" t="s">
        <v>573</v>
      </c>
      <c r="C101" s="133">
        <v>88</v>
      </c>
      <c r="D101" s="133">
        <v>2</v>
      </c>
      <c r="E101" s="133">
        <v>61</v>
      </c>
      <c r="F101" s="133">
        <v>151</v>
      </c>
      <c r="G101" s="133">
        <v>10</v>
      </c>
      <c r="H101" s="133">
        <v>1</v>
      </c>
      <c r="I101" s="133">
        <v>7</v>
      </c>
      <c r="J101" s="133" t="s">
        <v>65</v>
      </c>
      <c r="K101" s="133" t="s">
        <v>65</v>
      </c>
      <c r="L101" s="133">
        <v>3</v>
      </c>
      <c r="M101" s="133">
        <v>64</v>
      </c>
      <c r="N101" s="133">
        <v>4</v>
      </c>
      <c r="O101" s="133">
        <v>3</v>
      </c>
      <c r="P101" s="133">
        <v>3</v>
      </c>
      <c r="Q101" s="133">
        <v>6</v>
      </c>
      <c r="R101" s="133">
        <v>5</v>
      </c>
      <c r="S101" s="133">
        <v>2</v>
      </c>
      <c r="T101" s="133">
        <v>2</v>
      </c>
      <c r="U101" s="133">
        <v>99</v>
      </c>
      <c r="V101" s="133">
        <v>260</v>
      </c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</row>
    <row r="102" spans="1:43" s="200" customFormat="1" x14ac:dyDescent="0.3">
      <c r="A102" s="323"/>
      <c r="B102" s="95" t="s">
        <v>566</v>
      </c>
      <c r="C102" s="133">
        <v>1847</v>
      </c>
      <c r="D102" s="133">
        <v>35</v>
      </c>
      <c r="E102" s="133">
        <v>590</v>
      </c>
      <c r="F102" s="133">
        <v>2472</v>
      </c>
      <c r="G102" s="133">
        <v>125</v>
      </c>
      <c r="H102" s="133">
        <v>90</v>
      </c>
      <c r="I102" s="133">
        <v>103</v>
      </c>
      <c r="J102" s="204">
        <v>135</v>
      </c>
      <c r="K102" s="204">
        <v>72</v>
      </c>
      <c r="L102" s="133">
        <v>185</v>
      </c>
      <c r="M102" s="133">
        <v>46</v>
      </c>
      <c r="N102" s="133">
        <v>99</v>
      </c>
      <c r="O102" s="133">
        <v>57</v>
      </c>
      <c r="P102" s="133">
        <v>22</v>
      </c>
      <c r="Q102" s="133">
        <v>25</v>
      </c>
      <c r="R102" s="133">
        <v>64</v>
      </c>
      <c r="S102" s="133">
        <v>1</v>
      </c>
      <c r="T102" s="133">
        <v>7</v>
      </c>
      <c r="U102" s="133">
        <v>907</v>
      </c>
      <c r="V102" s="133">
        <v>3504</v>
      </c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</row>
    <row r="103" spans="1:43" s="200" customFormat="1" x14ac:dyDescent="0.3">
      <c r="A103" s="323"/>
      <c r="B103" s="95" t="s">
        <v>570</v>
      </c>
      <c r="C103" s="133">
        <v>184</v>
      </c>
      <c r="D103" s="133">
        <v>5</v>
      </c>
      <c r="E103" s="133">
        <v>54</v>
      </c>
      <c r="F103" s="133">
        <v>243</v>
      </c>
      <c r="G103" s="133">
        <v>4</v>
      </c>
      <c r="H103" s="133">
        <v>34</v>
      </c>
      <c r="I103" s="133">
        <v>40</v>
      </c>
      <c r="J103" s="133">
        <v>83</v>
      </c>
      <c r="K103" s="133" t="s">
        <v>65</v>
      </c>
      <c r="L103" s="133">
        <v>12</v>
      </c>
      <c r="M103" s="133">
        <v>14</v>
      </c>
      <c r="N103" s="133">
        <v>28</v>
      </c>
      <c r="O103" s="133">
        <v>25</v>
      </c>
      <c r="P103" s="133" t="s">
        <v>65</v>
      </c>
      <c r="Q103" s="133">
        <v>1</v>
      </c>
      <c r="R103" s="133">
        <v>6</v>
      </c>
      <c r="S103" s="133" t="s">
        <v>65</v>
      </c>
      <c r="T103" s="133">
        <v>1</v>
      </c>
      <c r="U103" s="133">
        <v>245</v>
      </c>
      <c r="V103" s="133">
        <v>492</v>
      </c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</row>
    <row r="104" spans="1:43" s="200" customFormat="1" x14ac:dyDescent="0.3">
      <c r="A104" s="323"/>
      <c r="B104" s="95" t="s">
        <v>567</v>
      </c>
      <c r="C104" s="133">
        <v>124</v>
      </c>
      <c r="D104" s="133">
        <v>4</v>
      </c>
      <c r="E104" s="133">
        <v>38</v>
      </c>
      <c r="F104" s="133">
        <v>166</v>
      </c>
      <c r="G104" s="133">
        <v>537</v>
      </c>
      <c r="H104" s="133">
        <v>46</v>
      </c>
      <c r="I104" s="133">
        <v>21</v>
      </c>
      <c r="J104" s="133">
        <v>1</v>
      </c>
      <c r="K104" s="204" t="s">
        <v>65</v>
      </c>
      <c r="L104" s="133">
        <v>9</v>
      </c>
      <c r="M104" s="133">
        <v>11</v>
      </c>
      <c r="N104" s="133">
        <v>3</v>
      </c>
      <c r="O104" s="133">
        <v>58</v>
      </c>
      <c r="P104" s="204">
        <v>80</v>
      </c>
      <c r="Q104" s="133">
        <v>75</v>
      </c>
      <c r="R104" s="133">
        <v>6</v>
      </c>
      <c r="S104" s="204">
        <v>1</v>
      </c>
      <c r="T104" s="133" t="s">
        <v>65</v>
      </c>
      <c r="U104" s="133">
        <v>310</v>
      </c>
      <c r="V104" s="133">
        <v>1013</v>
      </c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</row>
    <row r="105" spans="1:43" s="200" customFormat="1" x14ac:dyDescent="0.3">
      <c r="A105" s="323"/>
      <c r="B105" s="95" t="s">
        <v>574</v>
      </c>
      <c r="C105" s="133">
        <v>1086</v>
      </c>
      <c r="D105" s="133">
        <v>26</v>
      </c>
      <c r="E105" s="133">
        <v>566</v>
      </c>
      <c r="F105" s="133">
        <v>1679</v>
      </c>
      <c r="G105" s="133">
        <v>113</v>
      </c>
      <c r="H105" s="133">
        <v>231</v>
      </c>
      <c r="I105" s="133">
        <v>57</v>
      </c>
      <c r="J105" s="133">
        <v>27</v>
      </c>
      <c r="K105" s="204">
        <v>15</v>
      </c>
      <c r="L105" s="133">
        <v>68</v>
      </c>
      <c r="M105" s="133">
        <v>1194</v>
      </c>
      <c r="N105" s="133">
        <v>98</v>
      </c>
      <c r="O105" s="133">
        <v>38</v>
      </c>
      <c r="P105" s="133">
        <v>5</v>
      </c>
      <c r="Q105" s="133">
        <v>21</v>
      </c>
      <c r="R105" s="133">
        <v>30</v>
      </c>
      <c r="S105" s="133">
        <v>3</v>
      </c>
      <c r="T105" s="204">
        <v>9</v>
      </c>
      <c r="U105" s="133">
        <v>1796</v>
      </c>
      <c r="V105" s="133">
        <v>3587</v>
      </c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</row>
    <row r="106" spans="1:43" s="200" customFormat="1" x14ac:dyDescent="0.3">
      <c r="A106" s="308"/>
      <c r="B106" s="97" t="s">
        <v>86</v>
      </c>
      <c r="C106" s="134">
        <v>10199</v>
      </c>
      <c r="D106" s="134">
        <v>380</v>
      </c>
      <c r="E106" s="134">
        <v>4459</v>
      </c>
      <c r="F106" s="134">
        <v>15038</v>
      </c>
      <c r="G106" s="134">
        <v>2914</v>
      </c>
      <c r="H106" s="134">
        <v>867</v>
      </c>
      <c r="I106" s="134">
        <v>1026</v>
      </c>
      <c r="J106" s="134">
        <v>856</v>
      </c>
      <c r="K106" s="134">
        <v>313</v>
      </c>
      <c r="L106" s="134">
        <v>1026</v>
      </c>
      <c r="M106" s="134">
        <v>2315</v>
      </c>
      <c r="N106" s="134">
        <v>593</v>
      </c>
      <c r="O106" s="134">
        <v>628</v>
      </c>
      <c r="P106" s="134">
        <v>235</v>
      </c>
      <c r="Q106" s="134">
        <v>565</v>
      </c>
      <c r="R106" s="134">
        <v>513</v>
      </c>
      <c r="S106" s="134">
        <v>58</v>
      </c>
      <c r="T106" s="134">
        <v>110</v>
      </c>
      <c r="U106" s="134">
        <v>9103</v>
      </c>
      <c r="V106" s="134">
        <v>27055</v>
      </c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</row>
    <row r="107" spans="1:43" s="200" customFormat="1" x14ac:dyDescent="0.3">
      <c r="A107" s="307" t="s">
        <v>146</v>
      </c>
      <c r="B107" s="95" t="s">
        <v>687</v>
      </c>
      <c r="C107" s="133">
        <v>139</v>
      </c>
      <c r="D107" s="133">
        <v>2</v>
      </c>
      <c r="E107" s="133">
        <v>768</v>
      </c>
      <c r="F107" s="133">
        <v>908</v>
      </c>
      <c r="G107" s="133">
        <v>6397</v>
      </c>
      <c r="H107" s="133">
        <v>160</v>
      </c>
      <c r="I107" s="133">
        <v>1</v>
      </c>
      <c r="J107" s="133">
        <v>1</v>
      </c>
      <c r="K107" s="133">
        <v>1</v>
      </c>
      <c r="L107" s="133">
        <v>0</v>
      </c>
      <c r="M107" s="133">
        <v>85</v>
      </c>
      <c r="N107" s="133">
        <v>164</v>
      </c>
      <c r="O107" s="133">
        <v>2</v>
      </c>
      <c r="P107" s="133">
        <v>7</v>
      </c>
      <c r="Q107" s="133">
        <v>25</v>
      </c>
      <c r="R107" s="133">
        <v>4817</v>
      </c>
      <c r="S107" s="204" t="s">
        <v>65</v>
      </c>
      <c r="T107" s="133">
        <v>3</v>
      </c>
      <c r="U107" s="133">
        <v>5265</v>
      </c>
      <c r="V107" s="133">
        <v>12571</v>
      </c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</row>
    <row r="108" spans="1:43" s="200" customFormat="1" x14ac:dyDescent="0.3">
      <c r="A108" s="323"/>
      <c r="B108" s="95" t="s">
        <v>580</v>
      </c>
      <c r="C108" s="133">
        <v>223</v>
      </c>
      <c r="D108" s="133">
        <v>8</v>
      </c>
      <c r="E108" s="133">
        <v>119</v>
      </c>
      <c r="F108" s="133">
        <v>349</v>
      </c>
      <c r="G108" s="133">
        <v>208</v>
      </c>
      <c r="H108" s="133">
        <v>18</v>
      </c>
      <c r="I108" s="133">
        <v>24</v>
      </c>
      <c r="J108" s="133">
        <v>46</v>
      </c>
      <c r="K108" s="133">
        <v>26</v>
      </c>
      <c r="L108" s="133">
        <v>3</v>
      </c>
      <c r="M108" s="133">
        <v>5</v>
      </c>
      <c r="N108" s="133">
        <v>11</v>
      </c>
      <c r="O108" s="133">
        <v>13</v>
      </c>
      <c r="P108" s="133">
        <v>1</v>
      </c>
      <c r="Q108" s="133">
        <v>34</v>
      </c>
      <c r="R108" s="133">
        <v>48</v>
      </c>
      <c r="S108" s="133">
        <v>10</v>
      </c>
      <c r="T108" s="204">
        <v>3</v>
      </c>
      <c r="U108" s="133">
        <v>242</v>
      </c>
      <c r="V108" s="133">
        <v>799</v>
      </c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</row>
    <row r="109" spans="1:43" s="200" customFormat="1" x14ac:dyDescent="0.3">
      <c r="A109" s="323"/>
      <c r="B109" s="95" t="s">
        <v>579</v>
      </c>
      <c r="C109" s="133">
        <v>691</v>
      </c>
      <c r="D109" s="133">
        <v>120</v>
      </c>
      <c r="E109" s="133">
        <v>997</v>
      </c>
      <c r="F109" s="133">
        <v>1808</v>
      </c>
      <c r="G109" s="133">
        <v>607</v>
      </c>
      <c r="H109" s="133">
        <v>216</v>
      </c>
      <c r="I109" s="133">
        <v>264</v>
      </c>
      <c r="J109" s="133">
        <v>92</v>
      </c>
      <c r="K109" s="133">
        <v>29</v>
      </c>
      <c r="L109" s="133">
        <v>11</v>
      </c>
      <c r="M109" s="133">
        <v>38</v>
      </c>
      <c r="N109" s="133">
        <v>133</v>
      </c>
      <c r="O109" s="133">
        <v>63</v>
      </c>
      <c r="P109" s="133">
        <v>24</v>
      </c>
      <c r="Q109" s="133">
        <v>285</v>
      </c>
      <c r="R109" s="133">
        <v>182</v>
      </c>
      <c r="S109" s="133">
        <v>6</v>
      </c>
      <c r="T109" s="133">
        <v>15</v>
      </c>
      <c r="U109" s="133">
        <v>1358</v>
      </c>
      <c r="V109" s="133">
        <v>3773</v>
      </c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</row>
    <row r="110" spans="1:43" s="200" customFormat="1" x14ac:dyDescent="0.3">
      <c r="A110" s="323"/>
      <c r="B110" s="95" t="s">
        <v>582</v>
      </c>
      <c r="C110" s="133">
        <v>102</v>
      </c>
      <c r="D110" s="133">
        <v>65</v>
      </c>
      <c r="E110" s="133">
        <v>205</v>
      </c>
      <c r="F110" s="133">
        <v>372</v>
      </c>
      <c r="G110" s="133">
        <v>70</v>
      </c>
      <c r="H110" s="133">
        <v>73</v>
      </c>
      <c r="I110" s="133">
        <v>37</v>
      </c>
      <c r="J110" s="133">
        <v>29</v>
      </c>
      <c r="K110" s="133">
        <v>16</v>
      </c>
      <c r="L110" s="133">
        <v>14</v>
      </c>
      <c r="M110" s="133">
        <v>41</v>
      </c>
      <c r="N110" s="133">
        <v>152</v>
      </c>
      <c r="O110" s="133">
        <v>106</v>
      </c>
      <c r="P110" s="133">
        <v>26</v>
      </c>
      <c r="Q110" s="133">
        <v>72</v>
      </c>
      <c r="R110" s="133">
        <v>139</v>
      </c>
      <c r="S110" s="133">
        <v>2</v>
      </c>
      <c r="T110" s="133">
        <v>1</v>
      </c>
      <c r="U110" s="133">
        <v>709</v>
      </c>
      <c r="V110" s="133">
        <v>1150</v>
      </c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</row>
    <row r="111" spans="1:43" s="200" customFormat="1" x14ac:dyDescent="0.3">
      <c r="A111" s="323"/>
      <c r="B111" s="95" t="s">
        <v>576</v>
      </c>
      <c r="C111" s="133">
        <v>233</v>
      </c>
      <c r="D111" s="133">
        <v>39</v>
      </c>
      <c r="E111" s="133">
        <v>223</v>
      </c>
      <c r="F111" s="133">
        <v>495</v>
      </c>
      <c r="G111" s="133">
        <v>151</v>
      </c>
      <c r="H111" s="133">
        <v>63</v>
      </c>
      <c r="I111" s="133">
        <v>323</v>
      </c>
      <c r="J111" s="133">
        <v>19</v>
      </c>
      <c r="K111" s="133">
        <v>18</v>
      </c>
      <c r="L111" s="133">
        <v>4</v>
      </c>
      <c r="M111" s="133">
        <v>17</v>
      </c>
      <c r="N111" s="133">
        <v>99</v>
      </c>
      <c r="O111" s="133">
        <v>18</v>
      </c>
      <c r="P111" s="133">
        <v>20</v>
      </c>
      <c r="Q111" s="133">
        <v>83</v>
      </c>
      <c r="R111" s="133">
        <v>103</v>
      </c>
      <c r="S111" s="133">
        <v>6</v>
      </c>
      <c r="T111" s="133">
        <v>1</v>
      </c>
      <c r="U111" s="133">
        <v>777</v>
      </c>
      <c r="V111" s="133">
        <v>1423</v>
      </c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</row>
    <row r="112" spans="1:43" s="200" customFormat="1" x14ac:dyDescent="0.3">
      <c r="A112" s="323"/>
      <c r="B112" s="95" t="s">
        <v>581</v>
      </c>
      <c r="C112" s="133">
        <v>467</v>
      </c>
      <c r="D112" s="133">
        <v>36</v>
      </c>
      <c r="E112" s="133">
        <v>386</v>
      </c>
      <c r="F112" s="133">
        <v>890</v>
      </c>
      <c r="G112" s="133">
        <v>591</v>
      </c>
      <c r="H112" s="133">
        <v>97</v>
      </c>
      <c r="I112" s="133">
        <v>52</v>
      </c>
      <c r="J112" s="133">
        <v>26</v>
      </c>
      <c r="K112" s="133">
        <v>58</v>
      </c>
      <c r="L112" s="133">
        <v>12</v>
      </c>
      <c r="M112" s="133">
        <v>52</v>
      </c>
      <c r="N112" s="133">
        <v>130</v>
      </c>
      <c r="O112" s="133">
        <v>35</v>
      </c>
      <c r="P112" s="133">
        <v>64</v>
      </c>
      <c r="Q112" s="133">
        <v>53</v>
      </c>
      <c r="R112" s="133">
        <v>191</v>
      </c>
      <c r="S112" s="133">
        <v>28</v>
      </c>
      <c r="T112" s="133">
        <v>6</v>
      </c>
      <c r="U112" s="133">
        <v>804</v>
      </c>
      <c r="V112" s="133">
        <v>2284</v>
      </c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</row>
    <row r="113" spans="1:43" s="200" customFormat="1" x14ac:dyDescent="0.3">
      <c r="A113" s="323"/>
      <c r="B113" s="95" t="s">
        <v>577</v>
      </c>
      <c r="C113" s="133">
        <v>37</v>
      </c>
      <c r="D113" s="133">
        <v>32</v>
      </c>
      <c r="E113" s="133">
        <v>129</v>
      </c>
      <c r="F113" s="133">
        <v>198</v>
      </c>
      <c r="G113" s="133">
        <v>39</v>
      </c>
      <c r="H113" s="133">
        <v>156</v>
      </c>
      <c r="I113" s="133">
        <v>60</v>
      </c>
      <c r="J113" s="133">
        <v>10</v>
      </c>
      <c r="K113" s="133">
        <v>24</v>
      </c>
      <c r="L113" s="133">
        <v>2</v>
      </c>
      <c r="M113" s="133">
        <v>7</v>
      </c>
      <c r="N113" s="133">
        <v>42</v>
      </c>
      <c r="O113" s="133">
        <v>26</v>
      </c>
      <c r="P113" s="133">
        <v>1</v>
      </c>
      <c r="Q113" s="133">
        <v>32</v>
      </c>
      <c r="R113" s="133">
        <v>119</v>
      </c>
      <c r="S113" s="133">
        <v>0</v>
      </c>
      <c r="T113" s="133">
        <v>11</v>
      </c>
      <c r="U113" s="133">
        <v>489</v>
      </c>
      <c r="V113" s="133">
        <v>726</v>
      </c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</row>
    <row r="114" spans="1:43" s="200" customFormat="1" x14ac:dyDescent="0.3">
      <c r="A114" s="323"/>
      <c r="B114" s="95" t="s">
        <v>688</v>
      </c>
      <c r="C114" s="133">
        <v>106</v>
      </c>
      <c r="D114" s="133">
        <v>18</v>
      </c>
      <c r="E114" s="133">
        <v>150</v>
      </c>
      <c r="F114" s="133">
        <v>275</v>
      </c>
      <c r="G114" s="133">
        <v>3933</v>
      </c>
      <c r="H114" s="133">
        <v>23</v>
      </c>
      <c r="I114" s="133">
        <v>4</v>
      </c>
      <c r="J114" s="133">
        <v>2</v>
      </c>
      <c r="K114" s="133">
        <v>3</v>
      </c>
      <c r="L114" s="133">
        <v>11</v>
      </c>
      <c r="M114" s="133">
        <v>31</v>
      </c>
      <c r="N114" s="133">
        <v>27</v>
      </c>
      <c r="O114" s="133">
        <v>13</v>
      </c>
      <c r="P114" s="133">
        <v>216</v>
      </c>
      <c r="Q114" s="133">
        <v>2</v>
      </c>
      <c r="R114" s="133">
        <v>360</v>
      </c>
      <c r="S114" s="133" t="s">
        <v>65</v>
      </c>
      <c r="T114" s="133">
        <v>34</v>
      </c>
      <c r="U114" s="133">
        <v>725</v>
      </c>
      <c r="V114" s="133">
        <v>4932</v>
      </c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</row>
    <row r="115" spans="1:43" s="200" customFormat="1" x14ac:dyDescent="0.3">
      <c r="A115" s="323"/>
      <c r="B115" s="95" t="s">
        <v>583</v>
      </c>
      <c r="C115" s="133">
        <v>543</v>
      </c>
      <c r="D115" s="133">
        <v>340</v>
      </c>
      <c r="E115" s="133">
        <v>1303</v>
      </c>
      <c r="F115" s="133">
        <v>2186</v>
      </c>
      <c r="G115" s="133">
        <v>208</v>
      </c>
      <c r="H115" s="133">
        <v>223</v>
      </c>
      <c r="I115" s="133">
        <v>337</v>
      </c>
      <c r="J115" s="133">
        <v>98</v>
      </c>
      <c r="K115" s="133">
        <v>152</v>
      </c>
      <c r="L115" s="133">
        <v>19</v>
      </c>
      <c r="M115" s="133">
        <v>151</v>
      </c>
      <c r="N115" s="133">
        <v>1228</v>
      </c>
      <c r="O115" s="133">
        <v>426</v>
      </c>
      <c r="P115" s="133">
        <v>57</v>
      </c>
      <c r="Q115" s="133">
        <v>590</v>
      </c>
      <c r="R115" s="133">
        <v>528</v>
      </c>
      <c r="S115" s="204">
        <v>2</v>
      </c>
      <c r="T115" s="133">
        <v>35</v>
      </c>
      <c r="U115" s="133">
        <v>3845</v>
      </c>
      <c r="V115" s="133">
        <v>6239</v>
      </c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</row>
    <row r="116" spans="1:43" s="200" customFormat="1" x14ac:dyDescent="0.3">
      <c r="A116" s="323"/>
      <c r="B116" s="95" t="s">
        <v>689</v>
      </c>
      <c r="C116" s="133">
        <v>58</v>
      </c>
      <c r="D116" s="133">
        <v>9</v>
      </c>
      <c r="E116" s="133">
        <v>139</v>
      </c>
      <c r="F116" s="133">
        <v>206</v>
      </c>
      <c r="G116" s="133">
        <v>109</v>
      </c>
      <c r="H116" s="133">
        <v>21</v>
      </c>
      <c r="I116" s="133">
        <v>7</v>
      </c>
      <c r="J116" s="133">
        <v>10</v>
      </c>
      <c r="K116" s="133">
        <v>12</v>
      </c>
      <c r="L116" s="133">
        <v>7</v>
      </c>
      <c r="M116" s="133">
        <v>50</v>
      </c>
      <c r="N116" s="133">
        <v>65</v>
      </c>
      <c r="O116" s="133">
        <v>52</v>
      </c>
      <c r="P116" s="133">
        <v>7</v>
      </c>
      <c r="Q116" s="133">
        <v>21</v>
      </c>
      <c r="R116" s="133">
        <v>4</v>
      </c>
      <c r="S116" s="133" t="s">
        <v>65</v>
      </c>
      <c r="T116" s="133">
        <v>1</v>
      </c>
      <c r="U116" s="133">
        <v>256</v>
      </c>
      <c r="V116" s="133">
        <v>571</v>
      </c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</row>
    <row r="117" spans="1:43" s="200" customFormat="1" x14ac:dyDescent="0.3">
      <c r="A117" s="323"/>
      <c r="B117" s="95" t="s">
        <v>578</v>
      </c>
      <c r="C117" s="133">
        <v>96</v>
      </c>
      <c r="D117" s="133">
        <v>17</v>
      </c>
      <c r="E117" s="133">
        <v>244</v>
      </c>
      <c r="F117" s="133">
        <v>357</v>
      </c>
      <c r="G117" s="133">
        <v>210</v>
      </c>
      <c r="H117" s="133">
        <v>44</v>
      </c>
      <c r="I117" s="133">
        <v>74</v>
      </c>
      <c r="J117" s="133">
        <v>10</v>
      </c>
      <c r="K117" s="133">
        <v>20</v>
      </c>
      <c r="L117" s="133">
        <v>1</v>
      </c>
      <c r="M117" s="133">
        <v>14</v>
      </c>
      <c r="N117" s="133">
        <v>107</v>
      </c>
      <c r="O117" s="133">
        <v>28</v>
      </c>
      <c r="P117" s="133">
        <v>7</v>
      </c>
      <c r="Q117" s="133">
        <v>30</v>
      </c>
      <c r="R117" s="133">
        <v>240</v>
      </c>
      <c r="S117" s="204" t="s">
        <v>65</v>
      </c>
      <c r="T117" s="133">
        <v>1</v>
      </c>
      <c r="U117" s="133">
        <v>575</v>
      </c>
      <c r="V117" s="133">
        <v>1141</v>
      </c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</row>
    <row r="118" spans="1:43" s="200" customFormat="1" x14ac:dyDescent="0.3">
      <c r="A118" s="323"/>
      <c r="B118" s="95" t="s">
        <v>584</v>
      </c>
      <c r="C118" s="133">
        <v>194</v>
      </c>
      <c r="D118" s="133">
        <v>16</v>
      </c>
      <c r="E118" s="133">
        <v>163</v>
      </c>
      <c r="F118" s="133">
        <v>373</v>
      </c>
      <c r="G118" s="133">
        <v>774</v>
      </c>
      <c r="H118" s="133">
        <v>971</v>
      </c>
      <c r="I118" s="133">
        <v>30</v>
      </c>
      <c r="J118" s="133">
        <v>8</v>
      </c>
      <c r="K118" s="133">
        <v>149</v>
      </c>
      <c r="L118" s="133">
        <v>3</v>
      </c>
      <c r="M118" s="133" t="s">
        <v>65</v>
      </c>
      <c r="N118" s="133">
        <v>7</v>
      </c>
      <c r="O118" s="133">
        <v>39</v>
      </c>
      <c r="P118" s="133">
        <v>183</v>
      </c>
      <c r="Q118" s="133">
        <v>99</v>
      </c>
      <c r="R118" s="133">
        <v>328</v>
      </c>
      <c r="S118" s="204">
        <v>2</v>
      </c>
      <c r="T118" s="133">
        <v>11</v>
      </c>
      <c r="U118" s="133">
        <v>1830</v>
      </c>
      <c r="V118" s="133">
        <v>2977</v>
      </c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</row>
    <row r="119" spans="1:43" s="200" customFormat="1" x14ac:dyDescent="0.3">
      <c r="A119" s="323"/>
      <c r="B119" s="95" t="s">
        <v>575</v>
      </c>
      <c r="C119" s="133">
        <v>138</v>
      </c>
      <c r="D119" s="133">
        <v>2</v>
      </c>
      <c r="E119" s="133">
        <v>67</v>
      </c>
      <c r="F119" s="133">
        <v>207</v>
      </c>
      <c r="G119" s="133">
        <v>933</v>
      </c>
      <c r="H119" s="133">
        <v>23</v>
      </c>
      <c r="I119" s="133">
        <v>6</v>
      </c>
      <c r="J119" s="133">
        <v>14</v>
      </c>
      <c r="K119" s="133">
        <v>6</v>
      </c>
      <c r="L119" s="133">
        <v>12</v>
      </c>
      <c r="M119" s="204">
        <v>14</v>
      </c>
      <c r="N119" s="133">
        <v>53</v>
      </c>
      <c r="O119" s="133">
        <v>26</v>
      </c>
      <c r="P119" s="133">
        <v>13</v>
      </c>
      <c r="Q119" s="133">
        <v>19</v>
      </c>
      <c r="R119" s="133">
        <v>57</v>
      </c>
      <c r="S119" s="133" t="s">
        <v>65</v>
      </c>
      <c r="T119" s="133">
        <v>32</v>
      </c>
      <c r="U119" s="133">
        <v>275</v>
      </c>
      <c r="V119" s="133">
        <v>1415</v>
      </c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</row>
    <row r="120" spans="1:43" s="200" customFormat="1" x14ac:dyDescent="0.3">
      <c r="A120" s="323"/>
      <c r="B120" s="95" t="s">
        <v>585</v>
      </c>
      <c r="C120" s="133">
        <v>171</v>
      </c>
      <c r="D120" s="133">
        <v>147</v>
      </c>
      <c r="E120" s="133">
        <v>348</v>
      </c>
      <c r="F120" s="133">
        <v>667</v>
      </c>
      <c r="G120" s="133">
        <v>641</v>
      </c>
      <c r="H120" s="133">
        <v>45</v>
      </c>
      <c r="I120" s="133">
        <v>12</v>
      </c>
      <c r="J120" s="133">
        <v>7</v>
      </c>
      <c r="K120" s="133">
        <v>3</v>
      </c>
      <c r="L120" s="133" t="s">
        <v>65</v>
      </c>
      <c r="M120" s="133">
        <v>3</v>
      </c>
      <c r="N120" s="133">
        <v>12</v>
      </c>
      <c r="O120" s="133">
        <v>8</v>
      </c>
      <c r="P120" s="133">
        <v>49</v>
      </c>
      <c r="Q120" s="133">
        <v>84</v>
      </c>
      <c r="R120" s="133">
        <v>1648</v>
      </c>
      <c r="S120" s="204" t="s">
        <v>65</v>
      </c>
      <c r="T120" s="133">
        <v>15</v>
      </c>
      <c r="U120" s="133">
        <v>1888</v>
      </c>
      <c r="V120" s="133">
        <v>3195</v>
      </c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</row>
    <row r="121" spans="1:43" s="200" customFormat="1" x14ac:dyDescent="0.3">
      <c r="A121" s="323"/>
      <c r="B121" s="95" t="s">
        <v>586</v>
      </c>
      <c r="C121" s="133">
        <v>147</v>
      </c>
      <c r="D121" s="133">
        <v>9</v>
      </c>
      <c r="E121" s="133">
        <v>32</v>
      </c>
      <c r="F121" s="133">
        <v>188</v>
      </c>
      <c r="G121" s="133">
        <v>1632</v>
      </c>
      <c r="H121" s="133">
        <v>22</v>
      </c>
      <c r="I121" s="133">
        <v>434</v>
      </c>
      <c r="J121" s="133">
        <v>14</v>
      </c>
      <c r="K121" s="133">
        <v>23</v>
      </c>
      <c r="L121" s="204">
        <v>5</v>
      </c>
      <c r="M121" s="133">
        <v>0</v>
      </c>
      <c r="N121" s="133">
        <v>30</v>
      </c>
      <c r="O121" s="133">
        <v>6</v>
      </c>
      <c r="P121" s="133">
        <v>9</v>
      </c>
      <c r="Q121" s="133">
        <v>6</v>
      </c>
      <c r="R121" s="133">
        <v>21</v>
      </c>
      <c r="S121" s="204">
        <v>0</v>
      </c>
      <c r="T121" s="133" t="s">
        <v>65</v>
      </c>
      <c r="U121" s="133">
        <v>568</v>
      </c>
      <c r="V121" s="133">
        <v>2388</v>
      </c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</row>
    <row r="122" spans="1:43" s="200" customFormat="1" x14ac:dyDescent="0.3">
      <c r="A122" s="308"/>
      <c r="B122" s="97" t="s">
        <v>86</v>
      </c>
      <c r="C122" s="134">
        <v>3344</v>
      </c>
      <c r="D122" s="134">
        <v>860</v>
      </c>
      <c r="E122" s="134">
        <v>5273</v>
      </c>
      <c r="F122" s="134">
        <v>9478</v>
      </c>
      <c r="G122" s="134">
        <v>16503</v>
      </c>
      <c r="H122" s="134">
        <v>2154</v>
      </c>
      <c r="I122" s="134">
        <v>1665</v>
      </c>
      <c r="J122" s="134">
        <v>387</v>
      </c>
      <c r="K122" s="134">
        <v>539</v>
      </c>
      <c r="L122" s="134">
        <v>104</v>
      </c>
      <c r="M122" s="134">
        <v>509</v>
      </c>
      <c r="N122" s="134">
        <v>2260</v>
      </c>
      <c r="O122" s="134">
        <v>861</v>
      </c>
      <c r="P122" s="134">
        <v>684</v>
      </c>
      <c r="Q122" s="134">
        <v>1433</v>
      </c>
      <c r="R122" s="134">
        <v>8786</v>
      </c>
      <c r="S122" s="134">
        <v>57</v>
      </c>
      <c r="T122" s="134">
        <v>167</v>
      </c>
      <c r="U122" s="134">
        <v>19606</v>
      </c>
      <c r="V122" s="134">
        <v>45587</v>
      </c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</row>
    <row r="123" spans="1:43" s="200" customFormat="1" x14ac:dyDescent="0.3">
      <c r="A123" s="307" t="s">
        <v>147</v>
      </c>
      <c r="B123" s="95" t="s">
        <v>589</v>
      </c>
      <c r="C123" s="133">
        <v>418</v>
      </c>
      <c r="D123" s="133">
        <v>92</v>
      </c>
      <c r="E123" s="133">
        <v>372</v>
      </c>
      <c r="F123" s="133">
        <v>882</v>
      </c>
      <c r="G123" s="133">
        <v>284</v>
      </c>
      <c r="H123" s="133">
        <v>99</v>
      </c>
      <c r="I123" s="133">
        <v>57</v>
      </c>
      <c r="J123" s="133">
        <v>60</v>
      </c>
      <c r="K123" s="133">
        <v>149</v>
      </c>
      <c r="L123" s="133">
        <v>17</v>
      </c>
      <c r="M123" s="133">
        <v>56</v>
      </c>
      <c r="N123" s="133">
        <v>79</v>
      </c>
      <c r="O123" s="133">
        <v>181</v>
      </c>
      <c r="P123" s="133">
        <v>45</v>
      </c>
      <c r="Q123" s="133">
        <v>207</v>
      </c>
      <c r="R123" s="133">
        <v>151</v>
      </c>
      <c r="S123" s="133">
        <v>2</v>
      </c>
      <c r="T123" s="133">
        <v>17</v>
      </c>
      <c r="U123" s="133">
        <v>1122</v>
      </c>
      <c r="V123" s="133">
        <v>2288</v>
      </c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</row>
    <row r="124" spans="1:43" s="200" customFormat="1" x14ac:dyDescent="0.3">
      <c r="A124" s="323"/>
      <c r="B124" s="95" t="s">
        <v>593</v>
      </c>
      <c r="C124" s="133">
        <v>43</v>
      </c>
      <c r="D124" s="133">
        <v>3</v>
      </c>
      <c r="E124" s="133">
        <v>42</v>
      </c>
      <c r="F124" s="133">
        <v>89</v>
      </c>
      <c r="G124" s="133">
        <v>320</v>
      </c>
      <c r="H124" s="133">
        <v>49</v>
      </c>
      <c r="I124" s="133">
        <v>10</v>
      </c>
      <c r="J124" s="133">
        <v>1</v>
      </c>
      <c r="K124" s="133">
        <v>1</v>
      </c>
      <c r="L124" s="133">
        <v>1</v>
      </c>
      <c r="M124" s="133">
        <v>4</v>
      </c>
      <c r="N124" s="133">
        <v>0</v>
      </c>
      <c r="O124" s="133">
        <v>26</v>
      </c>
      <c r="P124" s="204" t="s">
        <v>65</v>
      </c>
      <c r="Q124" s="133">
        <v>10</v>
      </c>
      <c r="R124" s="133">
        <v>55</v>
      </c>
      <c r="S124" s="204" t="s">
        <v>65</v>
      </c>
      <c r="T124" s="133">
        <v>5</v>
      </c>
      <c r="U124" s="133">
        <v>161</v>
      </c>
      <c r="V124" s="133">
        <v>570</v>
      </c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</row>
    <row r="125" spans="1:43" s="200" customFormat="1" x14ac:dyDescent="0.3">
      <c r="A125" s="323"/>
      <c r="B125" s="95" t="s">
        <v>587</v>
      </c>
      <c r="C125" s="133">
        <v>417</v>
      </c>
      <c r="D125" s="133">
        <v>198</v>
      </c>
      <c r="E125" s="133">
        <v>367</v>
      </c>
      <c r="F125" s="133">
        <v>982</v>
      </c>
      <c r="G125" s="133">
        <v>466</v>
      </c>
      <c r="H125" s="133">
        <v>121</v>
      </c>
      <c r="I125" s="133">
        <v>59</v>
      </c>
      <c r="J125" s="133">
        <v>50</v>
      </c>
      <c r="K125" s="133">
        <v>61</v>
      </c>
      <c r="L125" s="133">
        <v>9</v>
      </c>
      <c r="M125" s="133">
        <v>42</v>
      </c>
      <c r="N125" s="133">
        <v>149</v>
      </c>
      <c r="O125" s="133">
        <v>115</v>
      </c>
      <c r="P125" s="133">
        <v>56</v>
      </c>
      <c r="Q125" s="133">
        <v>261</v>
      </c>
      <c r="R125" s="133">
        <v>1177</v>
      </c>
      <c r="S125" s="133">
        <v>0</v>
      </c>
      <c r="T125" s="133">
        <v>38</v>
      </c>
      <c r="U125" s="133">
        <v>2138</v>
      </c>
      <c r="V125" s="133">
        <v>3585</v>
      </c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</row>
    <row r="126" spans="1:43" s="200" customFormat="1" x14ac:dyDescent="0.3">
      <c r="A126" s="323"/>
      <c r="B126" s="95" t="s">
        <v>690</v>
      </c>
      <c r="C126" s="133">
        <v>69</v>
      </c>
      <c r="D126" s="133">
        <v>3</v>
      </c>
      <c r="E126" s="133">
        <v>26</v>
      </c>
      <c r="F126" s="133">
        <v>98</v>
      </c>
      <c r="G126" s="133">
        <v>113</v>
      </c>
      <c r="H126" s="133">
        <v>20</v>
      </c>
      <c r="I126" s="133">
        <v>2</v>
      </c>
      <c r="J126" s="133">
        <v>13</v>
      </c>
      <c r="K126" s="133">
        <v>10</v>
      </c>
      <c r="L126" s="133">
        <v>1</v>
      </c>
      <c r="M126" s="133">
        <v>10</v>
      </c>
      <c r="N126" s="133">
        <v>7</v>
      </c>
      <c r="O126" s="133">
        <v>9</v>
      </c>
      <c r="P126" s="133">
        <v>0</v>
      </c>
      <c r="Q126" s="133">
        <v>43</v>
      </c>
      <c r="R126" s="133">
        <v>81</v>
      </c>
      <c r="S126" s="133">
        <v>3</v>
      </c>
      <c r="T126" s="204" t="s">
        <v>65</v>
      </c>
      <c r="U126" s="133">
        <v>198</v>
      </c>
      <c r="V126" s="133">
        <v>409</v>
      </c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</row>
    <row r="127" spans="1:43" s="200" customFormat="1" x14ac:dyDescent="0.3">
      <c r="A127" s="323"/>
      <c r="B127" s="95" t="s">
        <v>588</v>
      </c>
      <c r="C127" s="133">
        <v>315</v>
      </c>
      <c r="D127" s="133">
        <v>13</v>
      </c>
      <c r="E127" s="133">
        <v>204</v>
      </c>
      <c r="F127" s="133">
        <v>532</v>
      </c>
      <c r="G127" s="133">
        <v>114</v>
      </c>
      <c r="H127" s="133">
        <v>24</v>
      </c>
      <c r="I127" s="133">
        <v>46</v>
      </c>
      <c r="J127" s="133">
        <v>64</v>
      </c>
      <c r="K127" s="133">
        <v>13</v>
      </c>
      <c r="L127" s="133">
        <v>92</v>
      </c>
      <c r="M127" s="133">
        <v>71</v>
      </c>
      <c r="N127" s="133">
        <v>80</v>
      </c>
      <c r="O127" s="133">
        <v>32</v>
      </c>
      <c r="P127" s="133">
        <v>56</v>
      </c>
      <c r="Q127" s="133">
        <v>74</v>
      </c>
      <c r="R127" s="133">
        <v>436</v>
      </c>
      <c r="S127" s="133">
        <v>0</v>
      </c>
      <c r="T127" s="204">
        <v>14</v>
      </c>
      <c r="U127" s="133">
        <v>1002</v>
      </c>
      <c r="V127" s="133">
        <v>1648</v>
      </c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</row>
    <row r="128" spans="1:43" s="200" customFormat="1" x14ac:dyDescent="0.3">
      <c r="A128" s="323"/>
      <c r="B128" s="95" t="s">
        <v>591</v>
      </c>
      <c r="C128" s="133">
        <v>32</v>
      </c>
      <c r="D128" s="133">
        <v>105</v>
      </c>
      <c r="E128" s="133">
        <v>168</v>
      </c>
      <c r="F128" s="133">
        <v>305</v>
      </c>
      <c r="G128" s="133">
        <v>147</v>
      </c>
      <c r="H128" s="133">
        <v>46</v>
      </c>
      <c r="I128" s="133">
        <v>49</v>
      </c>
      <c r="J128" s="133">
        <v>32</v>
      </c>
      <c r="K128" s="133">
        <v>32</v>
      </c>
      <c r="L128" s="133">
        <v>3</v>
      </c>
      <c r="M128" s="133">
        <v>12</v>
      </c>
      <c r="N128" s="133">
        <v>52</v>
      </c>
      <c r="O128" s="133">
        <v>21</v>
      </c>
      <c r="P128" s="133">
        <v>9</v>
      </c>
      <c r="Q128" s="133">
        <v>102</v>
      </c>
      <c r="R128" s="133">
        <v>100</v>
      </c>
      <c r="S128" s="133" t="s">
        <v>65</v>
      </c>
      <c r="T128" s="133">
        <v>23</v>
      </c>
      <c r="U128" s="133">
        <v>481</v>
      </c>
      <c r="V128" s="133">
        <v>933</v>
      </c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</row>
    <row r="129" spans="1:43" s="200" customFormat="1" x14ac:dyDescent="0.3">
      <c r="A129" s="323"/>
      <c r="B129" s="95" t="s">
        <v>592</v>
      </c>
      <c r="C129" s="133">
        <v>62</v>
      </c>
      <c r="D129" s="133">
        <v>18</v>
      </c>
      <c r="E129" s="133">
        <v>177</v>
      </c>
      <c r="F129" s="133">
        <v>257</v>
      </c>
      <c r="G129" s="133">
        <v>57</v>
      </c>
      <c r="H129" s="133">
        <v>22</v>
      </c>
      <c r="I129" s="133">
        <v>31</v>
      </c>
      <c r="J129" s="133">
        <v>4</v>
      </c>
      <c r="K129" s="133">
        <v>9</v>
      </c>
      <c r="L129" s="133">
        <v>2</v>
      </c>
      <c r="M129" s="133">
        <v>12</v>
      </c>
      <c r="N129" s="133">
        <v>15</v>
      </c>
      <c r="O129" s="133">
        <v>19</v>
      </c>
      <c r="P129" s="133">
        <v>38</v>
      </c>
      <c r="Q129" s="133">
        <v>83</v>
      </c>
      <c r="R129" s="133">
        <v>62</v>
      </c>
      <c r="S129" s="204" t="s">
        <v>65</v>
      </c>
      <c r="T129" s="133" t="s">
        <v>65</v>
      </c>
      <c r="U129" s="133">
        <v>296</v>
      </c>
      <c r="V129" s="133">
        <v>610</v>
      </c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</row>
    <row r="130" spans="1:43" s="200" customFormat="1" x14ac:dyDescent="0.3">
      <c r="A130" s="323"/>
      <c r="B130" s="95" t="s">
        <v>590</v>
      </c>
      <c r="C130" s="133">
        <v>21</v>
      </c>
      <c r="D130" s="133">
        <v>72</v>
      </c>
      <c r="E130" s="133">
        <v>117</v>
      </c>
      <c r="F130" s="133">
        <v>210</v>
      </c>
      <c r="G130" s="133">
        <v>56</v>
      </c>
      <c r="H130" s="133">
        <v>67</v>
      </c>
      <c r="I130" s="133">
        <v>18</v>
      </c>
      <c r="J130" s="133">
        <v>16</v>
      </c>
      <c r="K130" s="133">
        <v>68</v>
      </c>
      <c r="L130" s="133">
        <v>3</v>
      </c>
      <c r="M130" s="133">
        <v>4</v>
      </c>
      <c r="N130" s="133">
        <v>82</v>
      </c>
      <c r="O130" s="133">
        <v>2</v>
      </c>
      <c r="P130" s="133">
        <v>3</v>
      </c>
      <c r="Q130" s="133">
        <v>82</v>
      </c>
      <c r="R130" s="133">
        <v>71</v>
      </c>
      <c r="S130" s="204" t="s">
        <v>65</v>
      </c>
      <c r="T130" s="204" t="s">
        <v>65</v>
      </c>
      <c r="U130" s="133">
        <v>416</v>
      </c>
      <c r="V130" s="133">
        <v>682</v>
      </c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</row>
    <row r="131" spans="1:43" s="200" customFormat="1" x14ac:dyDescent="0.3">
      <c r="A131" s="323"/>
      <c r="B131" s="95" t="s">
        <v>594</v>
      </c>
      <c r="C131" s="133">
        <v>481</v>
      </c>
      <c r="D131" s="133">
        <v>10</v>
      </c>
      <c r="E131" s="133">
        <v>19</v>
      </c>
      <c r="F131" s="133">
        <v>510</v>
      </c>
      <c r="G131" s="133">
        <v>50</v>
      </c>
      <c r="H131" s="133">
        <v>14</v>
      </c>
      <c r="I131" s="133">
        <v>20</v>
      </c>
      <c r="J131" s="133">
        <v>9</v>
      </c>
      <c r="K131" s="133">
        <v>9</v>
      </c>
      <c r="L131" s="133">
        <v>2</v>
      </c>
      <c r="M131" s="133">
        <v>1</v>
      </c>
      <c r="N131" s="133">
        <v>8</v>
      </c>
      <c r="O131" s="133">
        <v>12</v>
      </c>
      <c r="P131" s="133">
        <v>1</v>
      </c>
      <c r="Q131" s="133">
        <v>18</v>
      </c>
      <c r="R131" s="133">
        <v>98</v>
      </c>
      <c r="S131" s="204">
        <v>0</v>
      </c>
      <c r="T131" s="204" t="s">
        <v>65</v>
      </c>
      <c r="U131" s="133">
        <v>191</v>
      </c>
      <c r="V131" s="133">
        <v>751</v>
      </c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</row>
    <row r="132" spans="1:43" s="200" customFormat="1" x14ac:dyDescent="0.3">
      <c r="A132" s="308"/>
      <c r="B132" s="97" t="s">
        <v>86</v>
      </c>
      <c r="C132" s="134">
        <v>1859</v>
      </c>
      <c r="D132" s="134">
        <v>513</v>
      </c>
      <c r="E132" s="134">
        <v>1492</v>
      </c>
      <c r="F132" s="134">
        <v>3863</v>
      </c>
      <c r="G132" s="134">
        <v>1608</v>
      </c>
      <c r="H132" s="134">
        <v>462</v>
      </c>
      <c r="I132" s="134">
        <v>293</v>
      </c>
      <c r="J132" s="134">
        <v>247</v>
      </c>
      <c r="K132" s="134">
        <v>352</v>
      </c>
      <c r="L132" s="134">
        <v>130</v>
      </c>
      <c r="M132" s="134">
        <v>211</v>
      </c>
      <c r="N132" s="134">
        <v>472</v>
      </c>
      <c r="O132" s="134">
        <v>416</v>
      </c>
      <c r="P132" s="134">
        <v>209</v>
      </c>
      <c r="Q132" s="134">
        <v>879</v>
      </c>
      <c r="R132" s="134">
        <v>2232</v>
      </c>
      <c r="S132" s="134">
        <v>5</v>
      </c>
      <c r="T132" s="134">
        <v>96</v>
      </c>
      <c r="U132" s="134">
        <v>6005</v>
      </c>
      <c r="V132" s="134">
        <v>11477</v>
      </c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</row>
    <row r="133" spans="1:43" s="200" customFormat="1" x14ac:dyDescent="0.3">
      <c r="A133" s="307" t="s">
        <v>148</v>
      </c>
      <c r="B133" s="95" t="s">
        <v>597</v>
      </c>
      <c r="C133" s="133">
        <v>132</v>
      </c>
      <c r="D133" s="133">
        <v>23</v>
      </c>
      <c r="E133" s="133">
        <v>58</v>
      </c>
      <c r="F133" s="133">
        <v>213</v>
      </c>
      <c r="G133" s="133">
        <v>86</v>
      </c>
      <c r="H133" s="133">
        <v>27</v>
      </c>
      <c r="I133" s="133">
        <v>17</v>
      </c>
      <c r="J133" s="133">
        <v>13</v>
      </c>
      <c r="K133" s="133">
        <v>41</v>
      </c>
      <c r="L133" s="133">
        <v>6</v>
      </c>
      <c r="M133" s="133">
        <v>39</v>
      </c>
      <c r="N133" s="133">
        <v>42</v>
      </c>
      <c r="O133" s="133">
        <v>30</v>
      </c>
      <c r="P133" s="133">
        <v>16</v>
      </c>
      <c r="Q133" s="133">
        <v>90</v>
      </c>
      <c r="R133" s="133">
        <v>52</v>
      </c>
      <c r="S133" s="204" t="s">
        <v>65</v>
      </c>
      <c r="T133" s="204" t="s">
        <v>65</v>
      </c>
      <c r="U133" s="133">
        <v>373</v>
      </c>
      <c r="V133" s="133">
        <v>672</v>
      </c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</row>
    <row r="134" spans="1:43" s="200" customFormat="1" x14ac:dyDescent="0.3">
      <c r="A134" s="323"/>
      <c r="B134" s="95" t="s">
        <v>596</v>
      </c>
      <c r="C134" s="133">
        <v>374</v>
      </c>
      <c r="D134" s="133">
        <v>28</v>
      </c>
      <c r="E134" s="133">
        <v>117</v>
      </c>
      <c r="F134" s="133">
        <v>519</v>
      </c>
      <c r="G134" s="133">
        <v>169</v>
      </c>
      <c r="H134" s="133">
        <v>21</v>
      </c>
      <c r="I134" s="133">
        <v>11</v>
      </c>
      <c r="J134" s="133">
        <v>28</v>
      </c>
      <c r="K134" s="133">
        <v>46</v>
      </c>
      <c r="L134" s="133">
        <v>8</v>
      </c>
      <c r="M134" s="133">
        <v>14</v>
      </c>
      <c r="N134" s="133">
        <v>38</v>
      </c>
      <c r="O134" s="133">
        <v>72</v>
      </c>
      <c r="P134" s="204">
        <v>4</v>
      </c>
      <c r="Q134" s="133">
        <v>79</v>
      </c>
      <c r="R134" s="133">
        <v>34</v>
      </c>
      <c r="S134" s="204">
        <v>2</v>
      </c>
      <c r="T134" s="204">
        <v>2</v>
      </c>
      <c r="U134" s="133">
        <v>357</v>
      </c>
      <c r="V134" s="133">
        <v>1045</v>
      </c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</row>
    <row r="135" spans="1:43" s="200" customFormat="1" x14ac:dyDescent="0.3">
      <c r="A135" s="323"/>
      <c r="B135" s="95" t="s">
        <v>605</v>
      </c>
      <c r="C135" s="133">
        <v>3</v>
      </c>
      <c r="D135" s="133">
        <v>0</v>
      </c>
      <c r="E135" s="133">
        <v>168</v>
      </c>
      <c r="F135" s="133">
        <v>171</v>
      </c>
      <c r="G135" s="133">
        <v>389</v>
      </c>
      <c r="H135" s="133">
        <v>3</v>
      </c>
      <c r="I135" s="133">
        <v>15</v>
      </c>
      <c r="J135" s="133">
        <v>8</v>
      </c>
      <c r="K135" s="133">
        <v>3</v>
      </c>
      <c r="L135" s="133">
        <v>2</v>
      </c>
      <c r="M135" s="133" t="s">
        <v>65</v>
      </c>
      <c r="N135" s="133">
        <v>13</v>
      </c>
      <c r="O135" s="133">
        <v>2</v>
      </c>
      <c r="P135" s="133">
        <v>34</v>
      </c>
      <c r="Q135" s="133">
        <v>12</v>
      </c>
      <c r="R135" s="133">
        <v>1</v>
      </c>
      <c r="S135" s="133" t="s">
        <v>65</v>
      </c>
      <c r="T135" s="133">
        <v>82</v>
      </c>
      <c r="U135" s="133">
        <v>175</v>
      </c>
      <c r="V135" s="133">
        <v>734</v>
      </c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</row>
    <row r="136" spans="1:43" s="200" customFormat="1" x14ac:dyDescent="0.3">
      <c r="A136" s="323"/>
      <c r="B136" s="95" t="s">
        <v>598</v>
      </c>
      <c r="C136" s="133">
        <v>155</v>
      </c>
      <c r="D136" s="133">
        <v>12</v>
      </c>
      <c r="E136" s="133">
        <v>45</v>
      </c>
      <c r="F136" s="133">
        <v>212</v>
      </c>
      <c r="G136" s="133">
        <v>65</v>
      </c>
      <c r="H136" s="133">
        <v>13</v>
      </c>
      <c r="I136" s="133">
        <v>7</v>
      </c>
      <c r="J136" s="133">
        <v>7</v>
      </c>
      <c r="K136" s="133">
        <v>65</v>
      </c>
      <c r="L136" s="133">
        <v>5</v>
      </c>
      <c r="M136" s="204">
        <v>5</v>
      </c>
      <c r="N136" s="133">
        <v>6</v>
      </c>
      <c r="O136" s="133">
        <v>4</v>
      </c>
      <c r="P136" s="133">
        <v>3</v>
      </c>
      <c r="Q136" s="133">
        <v>27</v>
      </c>
      <c r="R136" s="133">
        <v>0</v>
      </c>
      <c r="S136" s="204">
        <v>1</v>
      </c>
      <c r="T136" s="133">
        <v>2</v>
      </c>
      <c r="U136" s="133">
        <v>146</v>
      </c>
      <c r="V136" s="133">
        <v>423</v>
      </c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</row>
    <row r="137" spans="1:43" s="200" customFormat="1" x14ac:dyDescent="0.3">
      <c r="A137" s="323"/>
      <c r="B137" s="95" t="s">
        <v>601</v>
      </c>
      <c r="C137" s="133">
        <v>77</v>
      </c>
      <c r="D137" s="133">
        <v>13</v>
      </c>
      <c r="E137" s="133">
        <v>92</v>
      </c>
      <c r="F137" s="133">
        <v>182</v>
      </c>
      <c r="G137" s="133">
        <v>11</v>
      </c>
      <c r="H137" s="133">
        <v>23</v>
      </c>
      <c r="I137" s="133">
        <v>59</v>
      </c>
      <c r="J137" s="133">
        <v>0</v>
      </c>
      <c r="K137" s="133">
        <v>33</v>
      </c>
      <c r="L137" s="133">
        <v>0</v>
      </c>
      <c r="M137" s="133">
        <v>1</v>
      </c>
      <c r="N137" s="133">
        <v>11</v>
      </c>
      <c r="O137" s="133">
        <v>11</v>
      </c>
      <c r="P137" s="133" t="s">
        <v>65</v>
      </c>
      <c r="Q137" s="133">
        <v>91</v>
      </c>
      <c r="R137" s="133">
        <v>52</v>
      </c>
      <c r="S137" s="133" t="s">
        <v>65</v>
      </c>
      <c r="T137" s="133" t="s">
        <v>65</v>
      </c>
      <c r="U137" s="133">
        <v>281</v>
      </c>
      <c r="V137" s="133">
        <v>474</v>
      </c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</row>
    <row r="138" spans="1:43" s="200" customFormat="1" x14ac:dyDescent="0.3">
      <c r="A138" s="323"/>
      <c r="B138" s="95" t="s">
        <v>603</v>
      </c>
      <c r="C138" s="133">
        <v>152</v>
      </c>
      <c r="D138" s="133">
        <v>16</v>
      </c>
      <c r="E138" s="133">
        <v>117</v>
      </c>
      <c r="F138" s="133">
        <v>284</v>
      </c>
      <c r="G138" s="133">
        <v>15</v>
      </c>
      <c r="H138" s="133">
        <v>99</v>
      </c>
      <c r="I138" s="133">
        <v>119</v>
      </c>
      <c r="J138" s="133">
        <v>8</v>
      </c>
      <c r="K138" s="133">
        <v>33</v>
      </c>
      <c r="L138" s="133">
        <v>1</v>
      </c>
      <c r="M138" s="133">
        <v>24</v>
      </c>
      <c r="N138" s="133">
        <v>11</v>
      </c>
      <c r="O138" s="133">
        <v>94</v>
      </c>
      <c r="P138" s="204" t="s">
        <v>65</v>
      </c>
      <c r="Q138" s="133">
        <v>173</v>
      </c>
      <c r="R138" s="133">
        <v>103</v>
      </c>
      <c r="S138" s="204" t="s">
        <v>65</v>
      </c>
      <c r="T138" s="204">
        <v>1</v>
      </c>
      <c r="U138" s="133">
        <v>667</v>
      </c>
      <c r="V138" s="133">
        <v>966</v>
      </c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</row>
    <row r="139" spans="1:43" s="200" customFormat="1" x14ac:dyDescent="0.3">
      <c r="A139" s="323"/>
      <c r="B139" s="95" t="s">
        <v>602</v>
      </c>
      <c r="C139" s="133">
        <v>11</v>
      </c>
      <c r="D139" s="133">
        <v>15</v>
      </c>
      <c r="E139" s="133">
        <v>28</v>
      </c>
      <c r="F139" s="133">
        <v>54</v>
      </c>
      <c r="G139" s="133">
        <v>2</v>
      </c>
      <c r="H139" s="133">
        <v>4</v>
      </c>
      <c r="I139" s="133">
        <v>16</v>
      </c>
      <c r="J139" s="133" t="s">
        <v>65</v>
      </c>
      <c r="K139" s="133" t="s">
        <v>65</v>
      </c>
      <c r="L139" s="133" t="s">
        <v>65</v>
      </c>
      <c r="M139" s="133" t="s">
        <v>65</v>
      </c>
      <c r="N139" s="133">
        <v>1</v>
      </c>
      <c r="O139" s="133">
        <v>1</v>
      </c>
      <c r="P139" s="204" t="s">
        <v>65</v>
      </c>
      <c r="Q139" s="133">
        <v>3</v>
      </c>
      <c r="R139" s="133">
        <v>5</v>
      </c>
      <c r="S139" s="204">
        <v>0</v>
      </c>
      <c r="T139" s="133" t="s">
        <v>65</v>
      </c>
      <c r="U139" s="133">
        <v>29</v>
      </c>
      <c r="V139" s="133">
        <v>85</v>
      </c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</row>
    <row r="140" spans="1:43" s="200" customFormat="1" x14ac:dyDescent="0.3">
      <c r="A140" s="323"/>
      <c r="B140" s="95" t="s">
        <v>599</v>
      </c>
      <c r="C140" s="133">
        <v>121</v>
      </c>
      <c r="D140" s="133">
        <v>72</v>
      </c>
      <c r="E140" s="133">
        <v>214</v>
      </c>
      <c r="F140" s="133">
        <v>407</v>
      </c>
      <c r="G140" s="133">
        <v>76</v>
      </c>
      <c r="H140" s="133">
        <v>49</v>
      </c>
      <c r="I140" s="133">
        <v>19</v>
      </c>
      <c r="J140" s="204">
        <v>20</v>
      </c>
      <c r="K140" s="204">
        <v>52</v>
      </c>
      <c r="L140" s="204">
        <v>11</v>
      </c>
      <c r="M140" s="204">
        <v>38</v>
      </c>
      <c r="N140" s="133">
        <v>57</v>
      </c>
      <c r="O140" s="133">
        <v>18</v>
      </c>
      <c r="P140" s="204">
        <v>35</v>
      </c>
      <c r="Q140" s="133">
        <v>59</v>
      </c>
      <c r="R140" s="133">
        <v>31</v>
      </c>
      <c r="S140" s="133">
        <v>63</v>
      </c>
      <c r="T140" s="204">
        <v>3</v>
      </c>
      <c r="U140" s="133">
        <v>455</v>
      </c>
      <c r="V140" s="133">
        <v>939</v>
      </c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</row>
    <row r="141" spans="1:43" s="200" customFormat="1" x14ac:dyDescent="0.3">
      <c r="A141" s="323"/>
      <c r="B141" s="95" t="s">
        <v>595</v>
      </c>
      <c r="C141" s="133">
        <v>309</v>
      </c>
      <c r="D141" s="133">
        <v>21</v>
      </c>
      <c r="E141" s="133">
        <v>265</v>
      </c>
      <c r="F141" s="133">
        <v>595</v>
      </c>
      <c r="G141" s="133">
        <v>640</v>
      </c>
      <c r="H141" s="133">
        <v>27</v>
      </c>
      <c r="I141" s="133">
        <v>24</v>
      </c>
      <c r="J141" s="133">
        <v>33</v>
      </c>
      <c r="K141" s="133">
        <v>51</v>
      </c>
      <c r="L141" s="133">
        <v>34</v>
      </c>
      <c r="M141" s="133">
        <v>53</v>
      </c>
      <c r="N141" s="133">
        <v>77</v>
      </c>
      <c r="O141" s="133">
        <v>26</v>
      </c>
      <c r="P141" s="133">
        <v>17</v>
      </c>
      <c r="Q141" s="133">
        <v>76</v>
      </c>
      <c r="R141" s="133">
        <v>13</v>
      </c>
      <c r="S141" s="133">
        <v>4</v>
      </c>
      <c r="T141" s="133">
        <v>0</v>
      </c>
      <c r="U141" s="133">
        <v>434</v>
      </c>
      <c r="V141" s="133">
        <v>1668</v>
      </c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</row>
    <row r="142" spans="1:43" s="200" customFormat="1" x14ac:dyDescent="0.3">
      <c r="A142" s="323"/>
      <c r="B142" s="95" t="s">
        <v>604</v>
      </c>
      <c r="C142" s="133">
        <v>15</v>
      </c>
      <c r="D142" s="133" t="s">
        <v>65</v>
      </c>
      <c r="E142" s="133">
        <v>17</v>
      </c>
      <c r="F142" s="133">
        <v>32</v>
      </c>
      <c r="G142" s="133">
        <v>10</v>
      </c>
      <c r="H142" s="133">
        <v>7</v>
      </c>
      <c r="I142" s="133">
        <v>2</v>
      </c>
      <c r="J142" s="133">
        <v>1</v>
      </c>
      <c r="K142" s="133" t="s">
        <v>65</v>
      </c>
      <c r="L142" s="133">
        <v>14</v>
      </c>
      <c r="M142" s="133">
        <v>0</v>
      </c>
      <c r="N142" s="133">
        <v>30</v>
      </c>
      <c r="O142" s="133" t="s">
        <v>65</v>
      </c>
      <c r="P142" s="133" t="s">
        <v>65</v>
      </c>
      <c r="Q142" s="133" t="s">
        <v>65</v>
      </c>
      <c r="R142" s="133">
        <v>0</v>
      </c>
      <c r="S142" s="133" t="s">
        <v>65</v>
      </c>
      <c r="T142" s="133" t="s">
        <v>65</v>
      </c>
      <c r="U142" s="133">
        <v>55</v>
      </c>
      <c r="V142" s="133">
        <v>96</v>
      </c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</row>
    <row r="143" spans="1:43" s="200" customFormat="1" x14ac:dyDescent="0.3">
      <c r="A143" s="323"/>
      <c r="B143" s="95" t="s">
        <v>600</v>
      </c>
      <c r="C143" s="133">
        <v>6</v>
      </c>
      <c r="D143" s="204">
        <v>3</v>
      </c>
      <c r="E143" s="133">
        <v>19</v>
      </c>
      <c r="F143" s="133">
        <v>28</v>
      </c>
      <c r="G143" s="133">
        <v>10</v>
      </c>
      <c r="H143" s="133">
        <v>37</v>
      </c>
      <c r="I143" s="133">
        <v>17</v>
      </c>
      <c r="J143" s="133">
        <v>19</v>
      </c>
      <c r="K143" s="204">
        <v>14</v>
      </c>
      <c r="L143" s="133">
        <v>3</v>
      </c>
      <c r="M143" s="133">
        <v>9</v>
      </c>
      <c r="N143" s="133">
        <v>53</v>
      </c>
      <c r="O143" s="204">
        <v>5</v>
      </c>
      <c r="P143" s="204">
        <v>4</v>
      </c>
      <c r="Q143" s="204">
        <v>25</v>
      </c>
      <c r="R143" s="133">
        <v>8</v>
      </c>
      <c r="S143" s="204">
        <v>0</v>
      </c>
      <c r="T143" s="204" t="s">
        <v>65</v>
      </c>
      <c r="U143" s="133">
        <v>194</v>
      </c>
      <c r="V143" s="133">
        <v>232</v>
      </c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</row>
    <row r="144" spans="1:43" s="200" customFormat="1" x14ac:dyDescent="0.3">
      <c r="A144" s="323"/>
      <c r="B144" s="95" t="s">
        <v>606</v>
      </c>
      <c r="C144" s="133">
        <v>34</v>
      </c>
      <c r="D144" s="133">
        <v>1</v>
      </c>
      <c r="E144" s="133">
        <v>3</v>
      </c>
      <c r="F144" s="133">
        <v>38</v>
      </c>
      <c r="G144" s="133">
        <v>110</v>
      </c>
      <c r="H144" s="133">
        <v>1</v>
      </c>
      <c r="I144" s="133">
        <v>2</v>
      </c>
      <c r="J144" s="133">
        <v>3</v>
      </c>
      <c r="K144" s="133">
        <v>4</v>
      </c>
      <c r="L144" s="133">
        <v>1</v>
      </c>
      <c r="M144" s="133">
        <v>0</v>
      </c>
      <c r="N144" s="133">
        <v>0</v>
      </c>
      <c r="O144" s="133">
        <v>9</v>
      </c>
      <c r="P144" s="133" t="s">
        <v>65</v>
      </c>
      <c r="Q144" s="133">
        <v>4</v>
      </c>
      <c r="R144" s="133">
        <v>1</v>
      </c>
      <c r="S144" s="133" t="s">
        <v>65</v>
      </c>
      <c r="T144" s="204" t="s">
        <v>65</v>
      </c>
      <c r="U144" s="133">
        <v>25</v>
      </c>
      <c r="V144" s="133">
        <v>173</v>
      </c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</row>
    <row r="145" spans="1:43" s="200" customFormat="1" x14ac:dyDescent="0.3">
      <c r="A145" s="308"/>
      <c r="B145" s="97" t="s">
        <v>86</v>
      </c>
      <c r="C145" s="134">
        <v>1390</v>
      </c>
      <c r="D145" s="134">
        <v>204</v>
      </c>
      <c r="E145" s="134">
        <v>1140</v>
      </c>
      <c r="F145" s="134">
        <v>2735</v>
      </c>
      <c r="G145" s="134">
        <v>1581</v>
      </c>
      <c r="H145" s="134">
        <v>310</v>
      </c>
      <c r="I145" s="134">
        <v>307</v>
      </c>
      <c r="J145" s="134">
        <v>140</v>
      </c>
      <c r="K145" s="134">
        <v>343</v>
      </c>
      <c r="L145" s="134">
        <v>85</v>
      </c>
      <c r="M145" s="134">
        <v>183</v>
      </c>
      <c r="N145" s="134">
        <v>338</v>
      </c>
      <c r="O145" s="134">
        <v>272</v>
      </c>
      <c r="P145" s="134">
        <v>112</v>
      </c>
      <c r="Q145" s="134">
        <v>639</v>
      </c>
      <c r="R145" s="134">
        <v>300</v>
      </c>
      <c r="S145" s="134">
        <v>71</v>
      </c>
      <c r="T145" s="134">
        <v>91</v>
      </c>
      <c r="U145" s="134">
        <v>3191</v>
      </c>
      <c r="V145" s="134">
        <v>7507</v>
      </c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</row>
    <row r="146" spans="1:43" s="200" customFormat="1" x14ac:dyDescent="0.3">
      <c r="A146" s="307" t="s">
        <v>152</v>
      </c>
      <c r="B146" s="95" t="s">
        <v>691</v>
      </c>
      <c r="C146" s="133">
        <v>113</v>
      </c>
      <c r="D146" s="133">
        <v>11</v>
      </c>
      <c r="E146" s="133">
        <v>201</v>
      </c>
      <c r="F146" s="133">
        <v>325</v>
      </c>
      <c r="G146" s="133">
        <v>68</v>
      </c>
      <c r="H146" s="133">
        <v>12</v>
      </c>
      <c r="I146" s="133">
        <v>9</v>
      </c>
      <c r="J146" s="133">
        <v>33</v>
      </c>
      <c r="K146" s="133">
        <v>1</v>
      </c>
      <c r="L146" s="133">
        <v>8</v>
      </c>
      <c r="M146" s="133">
        <v>29</v>
      </c>
      <c r="N146" s="133">
        <v>10</v>
      </c>
      <c r="O146" s="133">
        <v>10</v>
      </c>
      <c r="P146" s="133">
        <v>1</v>
      </c>
      <c r="Q146" s="133">
        <v>24</v>
      </c>
      <c r="R146" s="133">
        <v>13</v>
      </c>
      <c r="S146" s="133">
        <v>0</v>
      </c>
      <c r="T146" s="133">
        <v>3</v>
      </c>
      <c r="U146" s="133">
        <v>153</v>
      </c>
      <c r="V146" s="133">
        <v>546</v>
      </c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</row>
    <row r="147" spans="1:43" s="200" customFormat="1" x14ac:dyDescent="0.3">
      <c r="A147" s="323"/>
      <c r="B147" s="95" t="s">
        <v>611</v>
      </c>
      <c r="C147" s="133">
        <v>161</v>
      </c>
      <c r="D147" s="133">
        <v>8</v>
      </c>
      <c r="E147" s="133">
        <v>253</v>
      </c>
      <c r="F147" s="133">
        <v>423</v>
      </c>
      <c r="G147" s="133">
        <v>207</v>
      </c>
      <c r="H147" s="133">
        <v>33</v>
      </c>
      <c r="I147" s="133">
        <v>18</v>
      </c>
      <c r="J147" s="133">
        <v>53</v>
      </c>
      <c r="K147" s="133">
        <v>18</v>
      </c>
      <c r="L147" s="133">
        <v>15</v>
      </c>
      <c r="M147" s="133">
        <v>7</v>
      </c>
      <c r="N147" s="133">
        <v>36</v>
      </c>
      <c r="O147" s="133">
        <v>6</v>
      </c>
      <c r="P147" s="133">
        <v>4</v>
      </c>
      <c r="Q147" s="133">
        <v>28</v>
      </c>
      <c r="R147" s="133">
        <v>57</v>
      </c>
      <c r="S147" s="133">
        <v>2</v>
      </c>
      <c r="T147" s="133">
        <v>1</v>
      </c>
      <c r="U147" s="133">
        <v>277</v>
      </c>
      <c r="V147" s="133">
        <v>907</v>
      </c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</row>
    <row r="148" spans="1:43" s="200" customFormat="1" x14ac:dyDescent="0.3">
      <c r="A148" s="323"/>
      <c r="B148" s="95" t="s">
        <v>607</v>
      </c>
      <c r="C148" s="133">
        <v>170</v>
      </c>
      <c r="D148" s="133">
        <v>41</v>
      </c>
      <c r="E148" s="133">
        <v>333</v>
      </c>
      <c r="F148" s="133">
        <v>545</v>
      </c>
      <c r="G148" s="133">
        <v>313</v>
      </c>
      <c r="H148" s="133">
        <v>60</v>
      </c>
      <c r="I148" s="133">
        <v>19</v>
      </c>
      <c r="J148" s="133">
        <v>186</v>
      </c>
      <c r="K148" s="133">
        <v>16</v>
      </c>
      <c r="L148" s="133">
        <v>6</v>
      </c>
      <c r="M148" s="133">
        <v>9</v>
      </c>
      <c r="N148" s="133">
        <v>54</v>
      </c>
      <c r="O148" s="133">
        <v>29</v>
      </c>
      <c r="P148" s="133">
        <v>20</v>
      </c>
      <c r="Q148" s="133">
        <v>51</v>
      </c>
      <c r="R148" s="133">
        <v>55</v>
      </c>
      <c r="S148" s="133">
        <v>0</v>
      </c>
      <c r="T148" s="133">
        <v>4</v>
      </c>
      <c r="U148" s="133">
        <v>509</v>
      </c>
      <c r="V148" s="133">
        <v>1367</v>
      </c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</row>
    <row r="149" spans="1:43" s="200" customFormat="1" x14ac:dyDescent="0.3">
      <c r="A149" s="323"/>
      <c r="B149" s="95" t="s">
        <v>614</v>
      </c>
      <c r="C149" s="133">
        <v>381</v>
      </c>
      <c r="D149" s="133">
        <v>104</v>
      </c>
      <c r="E149" s="133">
        <v>1065</v>
      </c>
      <c r="F149" s="133">
        <v>1550</v>
      </c>
      <c r="G149" s="133">
        <v>229</v>
      </c>
      <c r="H149" s="133">
        <v>16</v>
      </c>
      <c r="I149" s="133">
        <v>46</v>
      </c>
      <c r="J149" s="133">
        <v>57</v>
      </c>
      <c r="K149" s="133">
        <v>25</v>
      </c>
      <c r="L149" s="133">
        <v>1</v>
      </c>
      <c r="M149" s="133">
        <v>138</v>
      </c>
      <c r="N149" s="133">
        <v>498</v>
      </c>
      <c r="O149" s="133">
        <v>61</v>
      </c>
      <c r="P149" s="133">
        <v>2</v>
      </c>
      <c r="Q149" s="133">
        <v>26</v>
      </c>
      <c r="R149" s="133">
        <v>19</v>
      </c>
      <c r="S149" s="133">
        <v>2</v>
      </c>
      <c r="T149" s="133">
        <v>22</v>
      </c>
      <c r="U149" s="133">
        <v>913</v>
      </c>
      <c r="V149" s="133">
        <v>2692</v>
      </c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</row>
    <row r="150" spans="1:43" s="200" customFormat="1" x14ac:dyDescent="0.3">
      <c r="A150" s="323"/>
      <c r="B150" s="95" t="s">
        <v>615</v>
      </c>
      <c r="C150" s="133">
        <v>127</v>
      </c>
      <c r="D150" s="133">
        <v>44</v>
      </c>
      <c r="E150" s="133">
        <v>2491</v>
      </c>
      <c r="F150" s="133">
        <v>2661</v>
      </c>
      <c r="G150" s="133">
        <v>2165</v>
      </c>
      <c r="H150" s="133">
        <v>39</v>
      </c>
      <c r="I150" s="133">
        <v>12</v>
      </c>
      <c r="J150" s="133">
        <v>11</v>
      </c>
      <c r="K150" s="133">
        <v>8</v>
      </c>
      <c r="L150" s="133">
        <v>1</v>
      </c>
      <c r="M150" s="133">
        <v>2</v>
      </c>
      <c r="N150" s="133">
        <v>32</v>
      </c>
      <c r="O150" s="133">
        <v>2</v>
      </c>
      <c r="P150" s="133">
        <v>0</v>
      </c>
      <c r="Q150" s="133">
        <v>28</v>
      </c>
      <c r="R150" s="133">
        <v>1419</v>
      </c>
      <c r="S150" s="133">
        <v>2</v>
      </c>
      <c r="T150" s="133">
        <v>0</v>
      </c>
      <c r="U150" s="133">
        <v>1554</v>
      </c>
      <c r="V150" s="133">
        <v>6380</v>
      </c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</row>
    <row r="151" spans="1:43" s="200" customFormat="1" x14ac:dyDescent="0.3">
      <c r="A151" s="323"/>
      <c r="B151" s="95" t="s">
        <v>692</v>
      </c>
      <c r="C151" s="133">
        <v>1322</v>
      </c>
      <c r="D151" s="133">
        <v>120</v>
      </c>
      <c r="E151" s="133">
        <v>1694</v>
      </c>
      <c r="F151" s="133">
        <v>3136</v>
      </c>
      <c r="G151" s="133">
        <v>1159</v>
      </c>
      <c r="H151" s="133">
        <v>45</v>
      </c>
      <c r="I151" s="133">
        <v>153</v>
      </c>
      <c r="J151" s="133">
        <v>59</v>
      </c>
      <c r="K151" s="133">
        <v>140</v>
      </c>
      <c r="L151" s="133">
        <v>5</v>
      </c>
      <c r="M151" s="133">
        <v>211</v>
      </c>
      <c r="N151" s="133">
        <v>71</v>
      </c>
      <c r="O151" s="133">
        <v>67</v>
      </c>
      <c r="P151" s="133">
        <v>14</v>
      </c>
      <c r="Q151" s="133">
        <v>211</v>
      </c>
      <c r="R151" s="133">
        <v>61</v>
      </c>
      <c r="S151" s="133">
        <v>4</v>
      </c>
      <c r="T151" s="133">
        <v>8</v>
      </c>
      <c r="U151" s="133">
        <v>1049</v>
      </c>
      <c r="V151" s="133">
        <v>5344</v>
      </c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</row>
    <row r="152" spans="1:43" s="200" customFormat="1" x14ac:dyDescent="0.3">
      <c r="A152" s="323"/>
      <c r="B152" s="95" t="s">
        <v>608</v>
      </c>
      <c r="C152" s="133">
        <v>176</v>
      </c>
      <c r="D152" s="133">
        <v>88</v>
      </c>
      <c r="E152" s="133">
        <v>1054</v>
      </c>
      <c r="F152" s="133">
        <v>1318</v>
      </c>
      <c r="G152" s="133">
        <v>309</v>
      </c>
      <c r="H152" s="133">
        <v>18</v>
      </c>
      <c r="I152" s="133">
        <v>26</v>
      </c>
      <c r="J152" s="133">
        <v>26</v>
      </c>
      <c r="K152" s="133">
        <v>23</v>
      </c>
      <c r="L152" s="133">
        <v>7</v>
      </c>
      <c r="M152" s="133">
        <v>82</v>
      </c>
      <c r="N152" s="133">
        <v>107</v>
      </c>
      <c r="O152" s="133">
        <v>42</v>
      </c>
      <c r="P152" s="133" t="s">
        <v>65</v>
      </c>
      <c r="Q152" s="133">
        <v>69</v>
      </c>
      <c r="R152" s="133">
        <v>24</v>
      </c>
      <c r="S152" s="133">
        <v>0</v>
      </c>
      <c r="T152" s="133">
        <v>1</v>
      </c>
      <c r="U152" s="133">
        <v>425</v>
      </c>
      <c r="V152" s="133">
        <v>2052</v>
      </c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</row>
    <row r="153" spans="1:43" s="200" customFormat="1" x14ac:dyDescent="0.3">
      <c r="A153" s="323"/>
      <c r="B153" s="95" t="s">
        <v>612</v>
      </c>
      <c r="C153" s="133">
        <v>113</v>
      </c>
      <c r="D153" s="133">
        <v>23</v>
      </c>
      <c r="E153" s="133">
        <v>121</v>
      </c>
      <c r="F153" s="133">
        <v>258</v>
      </c>
      <c r="G153" s="133">
        <v>142</v>
      </c>
      <c r="H153" s="133">
        <v>14</v>
      </c>
      <c r="I153" s="133">
        <v>4</v>
      </c>
      <c r="J153" s="133">
        <v>19</v>
      </c>
      <c r="K153" s="133">
        <v>2</v>
      </c>
      <c r="L153" s="133">
        <v>1</v>
      </c>
      <c r="M153" s="133">
        <v>4</v>
      </c>
      <c r="N153" s="133">
        <v>2</v>
      </c>
      <c r="O153" s="133">
        <v>2</v>
      </c>
      <c r="P153" s="204">
        <v>0</v>
      </c>
      <c r="Q153" s="133">
        <v>3</v>
      </c>
      <c r="R153" s="133">
        <v>6</v>
      </c>
      <c r="S153" s="133">
        <v>0</v>
      </c>
      <c r="T153" s="133">
        <v>1</v>
      </c>
      <c r="U153" s="133">
        <v>59</v>
      </c>
      <c r="V153" s="133">
        <v>458</v>
      </c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</row>
    <row r="154" spans="1:43" s="200" customFormat="1" x14ac:dyDescent="0.3">
      <c r="A154" s="323"/>
      <c r="B154" s="95" t="s">
        <v>610</v>
      </c>
      <c r="C154" s="133">
        <v>168</v>
      </c>
      <c r="D154" s="133">
        <v>79</v>
      </c>
      <c r="E154" s="133">
        <v>749</v>
      </c>
      <c r="F154" s="133">
        <v>996</v>
      </c>
      <c r="G154" s="133">
        <v>284</v>
      </c>
      <c r="H154" s="133">
        <v>27</v>
      </c>
      <c r="I154" s="133">
        <v>29</v>
      </c>
      <c r="J154" s="133">
        <v>14</v>
      </c>
      <c r="K154" s="133">
        <v>35</v>
      </c>
      <c r="L154" s="133">
        <v>8</v>
      </c>
      <c r="M154" s="133">
        <v>44</v>
      </c>
      <c r="N154" s="133">
        <v>91</v>
      </c>
      <c r="O154" s="133">
        <v>38</v>
      </c>
      <c r="P154" s="133">
        <v>9</v>
      </c>
      <c r="Q154" s="133">
        <v>46</v>
      </c>
      <c r="R154" s="133">
        <v>114</v>
      </c>
      <c r="S154" s="133">
        <v>2</v>
      </c>
      <c r="T154" s="133">
        <v>15</v>
      </c>
      <c r="U154" s="133">
        <v>472</v>
      </c>
      <c r="V154" s="133">
        <v>1751</v>
      </c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</row>
    <row r="155" spans="1:43" s="200" customFormat="1" x14ac:dyDescent="0.3">
      <c r="A155" s="323"/>
      <c r="B155" s="95" t="s">
        <v>613</v>
      </c>
      <c r="C155" s="133">
        <v>357</v>
      </c>
      <c r="D155" s="133">
        <v>65</v>
      </c>
      <c r="E155" s="133">
        <v>526</v>
      </c>
      <c r="F155" s="133">
        <v>948</v>
      </c>
      <c r="G155" s="133">
        <v>365</v>
      </c>
      <c r="H155" s="133">
        <v>44</v>
      </c>
      <c r="I155" s="133">
        <v>79</v>
      </c>
      <c r="J155" s="133">
        <v>39</v>
      </c>
      <c r="K155" s="133">
        <v>86</v>
      </c>
      <c r="L155" s="133">
        <v>12</v>
      </c>
      <c r="M155" s="133">
        <v>213</v>
      </c>
      <c r="N155" s="133">
        <v>167</v>
      </c>
      <c r="O155" s="133">
        <v>138</v>
      </c>
      <c r="P155" s="133">
        <v>12</v>
      </c>
      <c r="Q155" s="133">
        <v>142</v>
      </c>
      <c r="R155" s="133">
        <v>236</v>
      </c>
      <c r="S155" s="133">
        <v>16</v>
      </c>
      <c r="T155" s="133">
        <v>33</v>
      </c>
      <c r="U155" s="133">
        <v>1217</v>
      </c>
      <c r="V155" s="133">
        <v>2531</v>
      </c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</row>
    <row r="156" spans="1:43" s="200" customFormat="1" x14ac:dyDescent="0.3">
      <c r="A156" s="323"/>
      <c r="B156" s="95" t="s">
        <v>609</v>
      </c>
      <c r="C156" s="133">
        <v>155</v>
      </c>
      <c r="D156" s="133">
        <v>12</v>
      </c>
      <c r="E156" s="133">
        <v>701</v>
      </c>
      <c r="F156" s="133">
        <v>868</v>
      </c>
      <c r="G156" s="133">
        <v>169</v>
      </c>
      <c r="H156" s="133">
        <v>77</v>
      </c>
      <c r="I156" s="133">
        <v>63</v>
      </c>
      <c r="J156" s="133">
        <v>19</v>
      </c>
      <c r="K156" s="133">
        <v>29</v>
      </c>
      <c r="L156" s="133">
        <v>1</v>
      </c>
      <c r="M156" s="133">
        <v>25</v>
      </c>
      <c r="N156" s="133">
        <v>59</v>
      </c>
      <c r="O156" s="133">
        <v>30</v>
      </c>
      <c r="P156" s="133">
        <v>69</v>
      </c>
      <c r="Q156" s="133">
        <v>95</v>
      </c>
      <c r="R156" s="133">
        <v>299</v>
      </c>
      <c r="S156" s="133">
        <v>5</v>
      </c>
      <c r="T156" s="133">
        <v>2</v>
      </c>
      <c r="U156" s="133">
        <v>773</v>
      </c>
      <c r="V156" s="133">
        <v>1810</v>
      </c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</row>
    <row r="157" spans="1:43" s="200" customFormat="1" x14ac:dyDescent="0.3">
      <c r="A157" s="323"/>
      <c r="B157" s="95" t="s">
        <v>616</v>
      </c>
      <c r="C157" s="133">
        <v>120</v>
      </c>
      <c r="D157" s="133">
        <v>14</v>
      </c>
      <c r="E157" s="133">
        <v>157</v>
      </c>
      <c r="F157" s="133">
        <v>291</v>
      </c>
      <c r="G157" s="133">
        <v>9106</v>
      </c>
      <c r="H157" s="133">
        <v>14</v>
      </c>
      <c r="I157" s="133">
        <v>50</v>
      </c>
      <c r="J157" s="133">
        <v>15</v>
      </c>
      <c r="K157" s="133">
        <v>17</v>
      </c>
      <c r="L157" s="133">
        <v>3</v>
      </c>
      <c r="M157" s="133">
        <v>14</v>
      </c>
      <c r="N157" s="133">
        <v>20</v>
      </c>
      <c r="O157" s="133">
        <v>8</v>
      </c>
      <c r="P157" s="133">
        <v>90</v>
      </c>
      <c r="Q157" s="133">
        <v>22</v>
      </c>
      <c r="R157" s="133">
        <v>119</v>
      </c>
      <c r="S157" s="133">
        <v>15</v>
      </c>
      <c r="T157" s="133">
        <v>3</v>
      </c>
      <c r="U157" s="133">
        <v>388</v>
      </c>
      <c r="V157" s="133">
        <v>9785</v>
      </c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</row>
    <row r="158" spans="1:43" s="200" customFormat="1" x14ac:dyDescent="0.3">
      <c r="A158" s="308"/>
      <c r="B158" s="97" t="s">
        <v>86</v>
      </c>
      <c r="C158" s="134">
        <v>3362</v>
      </c>
      <c r="D158" s="134">
        <v>610</v>
      </c>
      <c r="E158" s="134">
        <v>9346</v>
      </c>
      <c r="F158" s="134">
        <v>13319</v>
      </c>
      <c r="G158" s="134">
        <v>14514</v>
      </c>
      <c r="H158" s="134">
        <v>398</v>
      </c>
      <c r="I158" s="134">
        <v>508</v>
      </c>
      <c r="J158" s="134">
        <v>533</v>
      </c>
      <c r="K158" s="134">
        <v>398</v>
      </c>
      <c r="L158" s="134">
        <v>68</v>
      </c>
      <c r="M158" s="134">
        <v>777</v>
      </c>
      <c r="N158" s="134">
        <v>1146</v>
      </c>
      <c r="O158" s="134">
        <v>431</v>
      </c>
      <c r="P158" s="134">
        <v>222</v>
      </c>
      <c r="Q158" s="134">
        <v>744</v>
      </c>
      <c r="R158" s="134">
        <v>2421</v>
      </c>
      <c r="S158" s="134">
        <v>48</v>
      </c>
      <c r="T158" s="134">
        <v>94</v>
      </c>
      <c r="U158" s="134">
        <v>7790</v>
      </c>
      <c r="V158" s="134">
        <v>35623</v>
      </c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</row>
    <row r="159" spans="1:43" s="200" customFormat="1" x14ac:dyDescent="0.3">
      <c r="A159" s="307" t="s">
        <v>153</v>
      </c>
      <c r="B159" s="95" t="s">
        <v>620</v>
      </c>
      <c r="C159" s="133">
        <v>851</v>
      </c>
      <c r="D159" s="133">
        <v>2</v>
      </c>
      <c r="E159" s="133">
        <v>685</v>
      </c>
      <c r="F159" s="133">
        <v>1538</v>
      </c>
      <c r="G159" s="133">
        <v>1271</v>
      </c>
      <c r="H159" s="133">
        <v>69</v>
      </c>
      <c r="I159" s="133">
        <v>16</v>
      </c>
      <c r="J159" s="133">
        <v>0</v>
      </c>
      <c r="K159" s="204" t="s">
        <v>65</v>
      </c>
      <c r="L159" s="133">
        <v>3</v>
      </c>
      <c r="M159" s="204" t="s">
        <v>65</v>
      </c>
      <c r="N159" s="133">
        <v>1</v>
      </c>
      <c r="O159" s="133">
        <v>0</v>
      </c>
      <c r="P159" s="133">
        <v>12</v>
      </c>
      <c r="Q159" s="133">
        <v>46</v>
      </c>
      <c r="R159" s="133">
        <v>306</v>
      </c>
      <c r="S159" s="204" t="s">
        <v>65</v>
      </c>
      <c r="T159" s="204" t="s">
        <v>65</v>
      </c>
      <c r="U159" s="133">
        <v>453</v>
      </c>
      <c r="V159" s="133">
        <v>3262</v>
      </c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</row>
    <row r="160" spans="1:43" s="200" customFormat="1" x14ac:dyDescent="0.3">
      <c r="A160" s="323"/>
      <c r="B160" s="95" t="s">
        <v>694</v>
      </c>
      <c r="C160" s="133">
        <v>88</v>
      </c>
      <c r="D160" s="133">
        <v>3</v>
      </c>
      <c r="E160" s="133">
        <v>56</v>
      </c>
      <c r="F160" s="133">
        <v>147</v>
      </c>
      <c r="G160" s="133">
        <v>278</v>
      </c>
      <c r="H160" s="133">
        <v>6</v>
      </c>
      <c r="I160" s="133">
        <v>4</v>
      </c>
      <c r="J160" s="133">
        <v>1</v>
      </c>
      <c r="K160" s="133">
        <v>3</v>
      </c>
      <c r="L160" s="133">
        <v>1</v>
      </c>
      <c r="M160" s="133">
        <v>1</v>
      </c>
      <c r="N160" s="133">
        <v>0</v>
      </c>
      <c r="O160" s="133">
        <v>1</v>
      </c>
      <c r="P160" s="133">
        <v>0</v>
      </c>
      <c r="Q160" s="133">
        <v>2</v>
      </c>
      <c r="R160" s="133" t="s">
        <v>65</v>
      </c>
      <c r="S160" s="133" t="s">
        <v>65</v>
      </c>
      <c r="T160" s="133">
        <v>0</v>
      </c>
      <c r="U160" s="133">
        <v>18</v>
      </c>
      <c r="V160" s="133">
        <v>444</v>
      </c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</row>
    <row r="161" spans="1:43" s="200" customFormat="1" x14ac:dyDescent="0.3">
      <c r="A161" s="323"/>
      <c r="B161" s="95" t="s">
        <v>695</v>
      </c>
      <c r="C161" s="133">
        <v>238</v>
      </c>
      <c r="D161" s="133">
        <v>18</v>
      </c>
      <c r="E161" s="133">
        <v>488</v>
      </c>
      <c r="F161" s="133">
        <v>744</v>
      </c>
      <c r="G161" s="133">
        <v>683</v>
      </c>
      <c r="H161" s="133">
        <v>16</v>
      </c>
      <c r="I161" s="133">
        <v>138</v>
      </c>
      <c r="J161" s="133">
        <v>17</v>
      </c>
      <c r="K161" s="133">
        <v>7</v>
      </c>
      <c r="L161" s="133">
        <v>3</v>
      </c>
      <c r="M161" s="133">
        <v>8</v>
      </c>
      <c r="N161" s="133">
        <v>8</v>
      </c>
      <c r="O161" s="133">
        <v>8</v>
      </c>
      <c r="P161" s="133">
        <v>2</v>
      </c>
      <c r="Q161" s="133">
        <v>15</v>
      </c>
      <c r="R161" s="204">
        <v>12</v>
      </c>
      <c r="S161" s="204">
        <v>1</v>
      </c>
      <c r="T161" s="133">
        <v>4</v>
      </c>
      <c r="U161" s="133">
        <v>238</v>
      </c>
      <c r="V161" s="133">
        <v>1665</v>
      </c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</row>
    <row r="162" spans="1:43" s="200" customFormat="1" x14ac:dyDescent="0.3">
      <c r="A162" s="323"/>
      <c r="B162" s="95" t="s">
        <v>617</v>
      </c>
      <c r="C162" s="133">
        <v>2813</v>
      </c>
      <c r="D162" s="133">
        <v>103</v>
      </c>
      <c r="E162" s="133">
        <v>1473</v>
      </c>
      <c r="F162" s="133">
        <v>4389</v>
      </c>
      <c r="G162" s="133">
        <v>1149</v>
      </c>
      <c r="H162" s="133">
        <v>193</v>
      </c>
      <c r="I162" s="133">
        <v>262</v>
      </c>
      <c r="J162" s="133">
        <v>79</v>
      </c>
      <c r="K162" s="133">
        <v>97</v>
      </c>
      <c r="L162" s="133">
        <v>57</v>
      </c>
      <c r="M162" s="133">
        <v>52</v>
      </c>
      <c r="N162" s="133">
        <v>92</v>
      </c>
      <c r="O162" s="133">
        <v>59</v>
      </c>
      <c r="P162" s="133">
        <v>28</v>
      </c>
      <c r="Q162" s="133">
        <v>130</v>
      </c>
      <c r="R162" s="133">
        <v>193</v>
      </c>
      <c r="S162" s="133">
        <v>61</v>
      </c>
      <c r="T162" s="133">
        <v>39</v>
      </c>
      <c r="U162" s="133">
        <v>1341</v>
      </c>
      <c r="V162" s="133">
        <v>6880</v>
      </c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</row>
    <row r="163" spans="1:43" s="200" customFormat="1" x14ac:dyDescent="0.3">
      <c r="A163" s="323"/>
      <c r="B163" s="95" t="s">
        <v>619</v>
      </c>
      <c r="C163" s="133">
        <v>151</v>
      </c>
      <c r="D163" s="133">
        <v>18</v>
      </c>
      <c r="E163" s="133">
        <v>328</v>
      </c>
      <c r="F163" s="133">
        <v>498</v>
      </c>
      <c r="G163" s="133">
        <v>2711</v>
      </c>
      <c r="H163" s="133">
        <v>5</v>
      </c>
      <c r="I163" s="133">
        <v>3</v>
      </c>
      <c r="J163" s="133">
        <v>3</v>
      </c>
      <c r="K163" s="133">
        <v>10</v>
      </c>
      <c r="L163" s="133">
        <v>1</v>
      </c>
      <c r="M163" s="133">
        <v>0</v>
      </c>
      <c r="N163" s="133">
        <v>5</v>
      </c>
      <c r="O163" s="133">
        <v>6</v>
      </c>
      <c r="P163" s="133">
        <v>55</v>
      </c>
      <c r="Q163" s="133">
        <v>2</v>
      </c>
      <c r="R163" s="133">
        <v>26</v>
      </c>
      <c r="S163" s="133" t="s">
        <v>65</v>
      </c>
      <c r="T163" s="133">
        <v>12</v>
      </c>
      <c r="U163" s="133">
        <v>128</v>
      </c>
      <c r="V163" s="133">
        <v>3337</v>
      </c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</row>
    <row r="164" spans="1:43" s="200" customFormat="1" x14ac:dyDescent="0.3">
      <c r="A164" s="323"/>
      <c r="B164" s="95" t="s">
        <v>696</v>
      </c>
      <c r="C164" s="133">
        <v>36</v>
      </c>
      <c r="D164" s="133">
        <v>1</v>
      </c>
      <c r="E164" s="133">
        <v>53</v>
      </c>
      <c r="F164" s="133">
        <v>90</v>
      </c>
      <c r="G164" s="133">
        <v>378</v>
      </c>
      <c r="H164" s="133">
        <v>6</v>
      </c>
      <c r="I164" s="133">
        <v>98</v>
      </c>
      <c r="J164" s="133">
        <v>16</v>
      </c>
      <c r="K164" s="133">
        <v>2</v>
      </c>
      <c r="L164" s="133">
        <v>0</v>
      </c>
      <c r="M164" s="133">
        <v>0</v>
      </c>
      <c r="N164" s="133">
        <v>2</v>
      </c>
      <c r="O164" s="133">
        <v>1</v>
      </c>
      <c r="P164" s="133">
        <v>31</v>
      </c>
      <c r="Q164" s="133">
        <v>12</v>
      </c>
      <c r="R164" s="133">
        <v>1</v>
      </c>
      <c r="S164" s="204">
        <v>1</v>
      </c>
      <c r="T164" s="133">
        <v>1</v>
      </c>
      <c r="U164" s="133">
        <v>171</v>
      </c>
      <c r="V164" s="133">
        <v>640</v>
      </c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</row>
    <row r="165" spans="1:43" s="200" customFormat="1" x14ac:dyDescent="0.3">
      <c r="A165" s="323"/>
      <c r="B165" s="95" t="s">
        <v>697</v>
      </c>
      <c r="C165" s="133">
        <v>116</v>
      </c>
      <c r="D165" s="133">
        <v>10</v>
      </c>
      <c r="E165" s="133">
        <v>119</v>
      </c>
      <c r="F165" s="133">
        <v>245</v>
      </c>
      <c r="G165" s="133">
        <v>242</v>
      </c>
      <c r="H165" s="133">
        <v>13</v>
      </c>
      <c r="I165" s="133">
        <v>6</v>
      </c>
      <c r="J165" s="133">
        <v>1</v>
      </c>
      <c r="K165" s="133">
        <v>37</v>
      </c>
      <c r="L165" s="133">
        <v>10</v>
      </c>
      <c r="M165" s="133">
        <v>7</v>
      </c>
      <c r="N165" s="133">
        <v>24</v>
      </c>
      <c r="O165" s="133">
        <v>41</v>
      </c>
      <c r="P165" s="133">
        <v>4</v>
      </c>
      <c r="Q165" s="133">
        <v>5</v>
      </c>
      <c r="R165" s="133">
        <v>20</v>
      </c>
      <c r="S165" s="133" t="s">
        <v>65</v>
      </c>
      <c r="T165" s="133">
        <v>6</v>
      </c>
      <c r="U165" s="133">
        <v>173</v>
      </c>
      <c r="V165" s="133">
        <v>659</v>
      </c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</row>
    <row r="166" spans="1:43" s="200" customFormat="1" x14ac:dyDescent="0.3">
      <c r="A166" s="323"/>
      <c r="B166" s="95" t="s">
        <v>618</v>
      </c>
      <c r="C166" s="133">
        <v>728</v>
      </c>
      <c r="D166" s="133">
        <v>5</v>
      </c>
      <c r="E166" s="133">
        <v>207</v>
      </c>
      <c r="F166" s="133">
        <v>940</v>
      </c>
      <c r="G166" s="133">
        <v>1558</v>
      </c>
      <c r="H166" s="133">
        <v>58</v>
      </c>
      <c r="I166" s="133">
        <v>15</v>
      </c>
      <c r="J166" s="133">
        <v>57</v>
      </c>
      <c r="K166" s="133">
        <v>3</v>
      </c>
      <c r="L166" s="133">
        <v>20</v>
      </c>
      <c r="M166" s="133">
        <v>2</v>
      </c>
      <c r="N166" s="133">
        <v>30</v>
      </c>
      <c r="O166" s="133">
        <v>4</v>
      </c>
      <c r="P166" s="133">
        <v>102</v>
      </c>
      <c r="Q166" s="133">
        <v>73</v>
      </c>
      <c r="R166" s="133">
        <v>3</v>
      </c>
      <c r="S166" s="204">
        <v>4</v>
      </c>
      <c r="T166" s="133">
        <v>15</v>
      </c>
      <c r="U166" s="133">
        <v>385</v>
      </c>
      <c r="V166" s="133">
        <v>2883</v>
      </c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</row>
    <row r="167" spans="1:43" s="200" customFormat="1" x14ac:dyDescent="0.3">
      <c r="A167" s="323"/>
      <c r="B167" s="95" t="s">
        <v>698</v>
      </c>
      <c r="C167" s="133">
        <v>2409</v>
      </c>
      <c r="D167" s="133">
        <v>98</v>
      </c>
      <c r="E167" s="133">
        <v>1299</v>
      </c>
      <c r="F167" s="133">
        <v>3806</v>
      </c>
      <c r="G167" s="133">
        <v>1798</v>
      </c>
      <c r="H167" s="133">
        <v>144</v>
      </c>
      <c r="I167" s="133">
        <v>162</v>
      </c>
      <c r="J167" s="133">
        <v>261</v>
      </c>
      <c r="K167" s="133">
        <v>81</v>
      </c>
      <c r="L167" s="133">
        <v>53</v>
      </c>
      <c r="M167" s="133">
        <v>69</v>
      </c>
      <c r="N167" s="133">
        <v>144</v>
      </c>
      <c r="O167" s="133">
        <v>45</v>
      </c>
      <c r="P167" s="133">
        <v>36</v>
      </c>
      <c r="Q167" s="133">
        <v>174</v>
      </c>
      <c r="R167" s="133">
        <v>53</v>
      </c>
      <c r="S167" s="133">
        <v>16</v>
      </c>
      <c r="T167" s="133">
        <v>18</v>
      </c>
      <c r="U167" s="133">
        <v>1254</v>
      </c>
      <c r="V167" s="133">
        <v>6858</v>
      </c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</row>
    <row r="168" spans="1:43" s="200" customFormat="1" x14ac:dyDescent="0.3">
      <c r="A168" s="323"/>
      <c r="B168" s="95" t="s">
        <v>699</v>
      </c>
      <c r="C168" s="133">
        <v>195</v>
      </c>
      <c r="D168" s="133">
        <v>28</v>
      </c>
      <c r="E168" s="133">
        <v>291</v>
      </c>
      <c r="F168" s="133">
        <v>514</v>
      </c>
      <c r="G168" s="133">
        <v>462</v>
      </c>
      <c r="H168" s="133">
        <v>12</v>
      </c>
      <c r="I168" s="133">
        <v>8</v>
      </c>
      <c r="J168" s="133">
        <v>45</v>
      </c>
      <c r="K168" s="133">
        <v>4</v>
      </c>
      <c r="L168" s="133">
        <v>10</v>
      </c>
      <c r="M168" s="133">
        <v>14</v>
      </c>
      <c r="N168" s="133">
        <v>26</v>
      </c>
      <c r="O168" s="133">
        <v>7</v>
      </c>
      <c r="P168" s="133">
        <v>10</v>
      </c>
      <c r="Q168" s="133">
        <v>89</v>
      </c>
      <c r="R168" s="133">
        <v>32</v>
      </c>
      <c r="S168" s="133">
        <v>0</v>
      </c>
      <c r="T168" s="133">
        <v>1</v>
      </c>
      <c r="U168" s="133">
        <v>258</v>
      </c>
      <c r="V168" s="133">
        <v>1235</v>
      </c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</row>
    <row r="169" spans="1:43" s="200" customFormat="1" x14ac:dyDescent="0.3">
      <c r="A169" s="323"/>
      <c r="B169" s="95" t="s">
        <v>700</v>
      </c>
      <c r="C169" s="133">
        <v>78</v>
      </c>
      <c r="D169" s="133">
        <v>6</v>
      </c>
      <c r="E169" s="133">
        <v>122</v>
      </c>
      <c r="F169" s="133">
        <v>206</v>
      </c>
      <c r="G169" s="133">
        <v>111</v>
      </c>
      <c r="H169" s="133">
        <v>19</v>
      </c>
      <c r="I169" s="133">
        <v>12</v>
      </c>
      <c r="J169" s="133">
        <v>12</v>
      </c>
      <c r="K169" s="133">
        <v>7</v>
      </c>
      <c r="L169" s="133">
        <v>5</v>
      </c>
      <c r="M169" s="133">
        <v>7</v>
      </c>
      <c r="N169" s="133">
        <v>12</v>
      </c>
      <c r="O169" s="133">
        <v>17</v>
      </c>
      <c r="P169" s="133">
        <v>7</v>
      </c>
      <c r="Q169" s="133">
        <v>5</v>
      </c>
      <c r="R169" s="133">
        <v>1</v>
      </c>
      <c r="S169" s="133">
        <v>1</v>
      </c>
      <c r="T169" s="133">
        <v>6</v>
      </c>
      <c r="U169" s="133">
        <v>111</v>
      </c>
      <c r="V169" s="133">
        <v>429</v>
      </c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</row>
    <row r="170" spans="1:43" s="200" customFormat="1" x14ac:dyDescent="0.3">
      <c r="A170" s="323"/>
      <c r="B170" s="95" t="s">
        <v>701</v>
      </c>
      <c r="C170" s="133">
        <v>279</v>
      </c>
      <c r="D170" s="133">
        <v>24</v>
      </c>
      <c r="E170" s="133">
        <v>185</v>
      </c>
      <c r="F170" s="133">
        <v>487</v>
      </c>
      <c r="G170" s="133">
        <v>179</v>
      </c>
      <c r="H170" s="133">
        <v>71</v>
      </c>
      <c r="I170" s="133">
        <v>27</v>
      </c>
      <c r="J170" s="133">
        <v>13</v>
      </c>
      <c r="K170" s="133">
        <v>31</v>
      </c>
      <c r="L170" s="133">
        <v>13</v>
      </c>
      <c r="M170" s="133">
        <v>10</v>
      </c>
      <c r="N170" s="133">
        <v>16</v>
      </c>
      <c r="O170" s="133">
        <v>8</v>
      </c>
      <c r="P170" s="133">
        <v>5</v>
      </c>
      <c r="Q170" s="133">
        <v>18</v>
      </c>
      <c r="R170" s="133">
        <v>7</v>
      </c>
      <c r="S170" s="133">
        <v>7</v>
      </c>
      <c r="T170" s="133">
        <v>9</v>
      </c>
      <c r="U170" s="133">
        <v>237</v>
      </c>
      <c r="V170" s="133">
        <v>903</v>
      </c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</row>
    <row r="171" spans="1:43" s="200" customFormat="1" x14ac:dyDescent="0.3">
      <c r="A171" s="323"/>
      <c r="B171" s="95" t="s">
        <v>693</v>
      </c>
      <c r="C171" s="133">
        <v>300</v>
      </c>
      <c r="D171" s="133">
        <v>14</v>
      </c>
      <c r="E171" s="133">
        <v>350</v>
      </c>
      <c r="F171" s="133">
        <v>664</v>
      </c>
      <c r="G171" s="133">
        <v>1512</v>
      </c>
      <c r="H171" s="133">
        <v>90</v>
      </c>
      <c r="I171" s="133">
        <v>50</v>
      </c>
      <c r="J171" s="133">
        <v>237</v>
      </c>
      <c r="K171" s="133">
        <v>6</v>
      </c>
      <c r="L171" s="133">
        <v>16</v>
      </c>
      <c r="M171" s="133">
        <v>171</v>
      </c>
      <c r="N171" s="133">
        <v>44</v>
      </c>
      <c r="O171" s="133">
        <v>3</v>
      </c>
      <c r="P171" s="133">
        <v>44</v>
      </c>
      <c r="Q171" s="133">
        <v>40</v>
      </c>
      <c r="R171" s="133">
        <v>4</v>
      </c>
      <c r="S171" s="133">
        <v>3</v>
      </c>
      <c r="T171" s="133">
        <v>4</v>
      </c>
      <c r="U171" s="133">
        <v>713</v>
      </c>
      <c r="V171" s="133">
        <v>2890</v>
      </c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</row>
    <row r="172" spans="1:43" s="200" customFormat="1" x14ac:dyDescent="0.3">
      <c r="A172" s="308"/>
      <c r="B172" s="97" t="s">
        <v>86</v>
      </c>
      <c r="C172" s="134">
        <v>8281</v>
      </c>
      <c r="D172" s="134">
        <v>331</v>
      </c>
      <c r="E172" s="134">
        <v>5657</v>
      </c>
      <c r="F172" s="134">
        <v>14269</v>
      </c>
      <c r="G172" s="134">
        <v>12332</v>
      </c>
      <c r="H172" s="134">
        <v>701</v>
      </c>
      <c r="I172" s="134">
        <v>801</v>
      </c>
      <c r="J172" s="134">
        <v>742</v>
      </c>
      <c r="K172" s="134">
        <v>287</v>
      </c>
      <c r="L172" s="134">
        <v>191</v>
      </c>
      <c r="M172" s="134">
        <v>342</v>
      </c>
      <c r="N172" s="134">
        <v>405</v>
      </c>
      <c r="O172" s="134">
        <v>200</v>
      </c>
      <c r="P172" s="134">
        <v>337</v>
      </c>
      <c r="Q172" s="134">
        <v>611</v>
      </c>
      <c r="R172" s="134">
        <v>658</v>
      </c>
      <c r="S172" s="134">
        <v>93</v>
      </c>
      <c r="T172" s="134">
        <v>115</v>
      </c>
      <c r="U172" s="134">
        <v>5482</v>
      </c>
      <c r="V172" s="134">
        <v>32083</v>
      </c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</row>
    <row r="173" spans="1:43" s="200" customFormat="1" x14ac:dyDescent="0.3">
      <c r="A173" s="307" t="s">
        <v>154</v>
      </c>
      <c r="B173" s="95" t="s">
        <v>625</v>
      </c>
      <c r="C173" s="133">
        <v>29</v>
      </c>
      <c r="D173" s="133">
        <v>1</v>
      </c>
      <c r="E173" s="133">
        <v>39</v>
      </c>
      <c r="F173" s="133">
        <v>69</v>
      </c>
      <c r="G173" s="133">
        <v>54</v>
      </c>
      <c r="H173" s="133">
        <v>94</v>
      </c>
      <c r="I173" s="133">
        <v>3</v>
      </c>
      <c r="J173" s="133">
        <v>3</v>
      </c>
      <c r="K173" s="133">
        <v>4</v>
      </c>
      <c r="L173" s="133">
        <v>4</v>
      </c>
      <c r="M173" s="133">
        <v>36</v>
      </c>
      <c r="N173" s="133">
        <v>18</v>
      </c>
      <c r="O173" s="133">
        <v>2</v>
      </c>
      <c r="P173" s="204" t="s">
        <v>65</v>
      </c>
      <c r="Q173" s="133">
        <v>13</v>
      </c>
      <c r="R173" s="133">
        <v>75</v>
      </c>
      <c r="S173" s="133">
        <v>2</v>
      </c>
      <c r="T173" s="204" t="s">
        <v>65</v>
      </c>
      <c r="U173" s="133">
        <v>252</v>
      </c>
      <c r="V173" s="133">
        <v>375</v>
      </c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</row>
    <row r="174" spans="1:43" s="200" customFormat="1" x14ac:dyDescent="0.3">
      <c r="A174" s="323"/>
      <c r="B174" s="95" t="s">
        <v>623</v>
      </c>
      <c r="C174" s="133">
        <v>20</v>
      </c>
      <c r="D174" s="133">
        <v>27</v>
      </c>
      <c r="E174" s="133">
        <v>38</v>
      </c>
      <c r="F174" s="133">
        <v>84</v>
      </c>
      <c r="G174" s="133">
        <v>123</v>
      </c>
      <c r="H174" s="133">
        <v>37</v>
      </c>
      <c r="I174" s="133" t="s">
        <v>65</v>
      </c>
      <c r="J174" s="133">
        <v>0</v>
      </c>
      <c r="K174" s="133" t="s">
        <v>65</v>
      </c>
      <c r="L174" s="133">
        <v>1</v>
      </c>
      <c r="M174" s="133">
        <v>6</v>
      </c>
      <c r="N174" s="133">
        <v>18</v>
      </c>
      <c r="O174" s="133">
        <v>1</v>
      </c>
      <c r="P174" s="133">
        <v>83</v>
      </c>
      <c r="Q174" s="133">
        <v>14</v>
      </c>
      <c r="R174" s="133">
        <v>68</v>
      </c>
      <c r="S174" s="133" t="s">
        <v>65</v>
      </c>
      <c r="T174" s="133" t="s">
        <v>65</v>
      </c>
      <c r="U174" s="133">
        <v>228</v>
      </c>
      <c r="V174" s="133">
        <v>435</v>
      </c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</row>
    <row r="175" spans="1:43" s="200" customFormat="1" x14ac:dyDescent="0.3">
      <c r="A175" s="323"/>
      <c r="B175" s="95" t="s">
        <v>702</v>
      </c>
      <c r="C175" s="133">
        <v>242</v>
      </c>
      <c r="D175" s="133">
        <v>4</v>
      </c>
      <c r="E175" s="133">
        <v>245</v>
      </c>
      <c r="F175" s="133">
        <v>491</v>
      </c>
      <c r="G175" s="133">
        <v>174</v>
      </c>
      <c r="H175" s="133">
        <v>5</v>
      </c>
      <c r="I175" s="204">
        <v>21</v>
      </c>
      <c r="J175" s="133">
        <v>78</v>
      </c>
      <c r="K175" s="204">
        <v>19</v>
      </c>
      <c r="L175" s="133">
        <v>1</v>
      </c>
      <c r="M175" s="133">
        <v>22</v>
      </c>
      <c r="N175" s="133">
        <v>1</v>
      </c>
      <c r="O175" s="133">
        <v>11</v>
      </c>
      <c r="P175" s="133">
        <v>110</v>
      </c>
      <c r="Q175" s="133">
        <v>45</v>
      </c>
      <c r="R175" s="133">
        <v>102</v>
      </c>
      <c r="S175" s="204">
        <v>35</v>
      </c>
      <c r="T175" s="204" t="s">
        <v>65</v>
      </c>
      <c r="U175" s="133">
        <v>452</v>
      </c>
      <c r="V175" s="133">
        <v>1117</v>
      </c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</row>
    <row r="176" spans="1:43" s="200" customFormat="1" x14ac:dyDescent="0.3">
      <c r="A176" s="323"/>
      <c r="B176" s="95" t="s">
        <v>624</v>
      </c>
      <c r="C176" s="133">
        <v>1014</v>
      </c>
      <c r="D176" s="133">
        <v>170</v>
      </c>
      <c r="E176" s="133">
        <v>1002</v>
      </c>
      <c r="F176" s="133">
        <v>2185</v>
      </c>
      <c r="G176" s="133">
        <v>1394</v>
      </c>
      <c r="H176" s="133">
        <v>507</v>
      </c>
      <c r="I176" s="133">
        <v>130</v>
      </c>
      <c r="J176" s="133">
        <v>259</v>
      </c>
      <c r="K176" s="133">
        <v>202</v>
      </c>
      <c r="L176" s="133">
        <v>102</v>
      </c>
      <c r="M176" s="133">
        <v>293</v>
      </c>
      <c r="N176" s="133">
        <v>332</v>
      </c>
      <c r="O176" s="133">
        <v>289</v>
      </c>
      <c r="P176" s="133">
        <v>265</v>
      </c>
      <c r="Q176" s="133">
        <v>119</v>
      </c>
      <c r="R176" s="133">
        <v>570</v>
      </c>
      <c r="S176" s="133">
        <v>78</v>
      </c>
      <c r="T176" s="204">
        <v>13</v>
      </c>
      <c r="U176" s="133">
        <v>3157</v>
      </c>
      <c r="V176" s="133">
        <v>6736</v>
      </c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</row>
    <row r="177" spans="1:43" s="200" customFormat="1" x14ac:dyDescent="0.3">
      <c r="A177" s="323"/>
      <c r="B177" s="95" t="s">
        <v>621</v>
      </c>
      <c r="C177" s="133">
        <v>231</v>
      </c>
      <c r="D177" s="133">
        <v>4</v>
      </c>
      <c r="E177" s="133">
        <v>84</v>
      </c>
      <c r="F177" s="133">
        <v>318</v>
      </c>
      <c r="G177" s="133">
        <v>308</v>
      </c>
      <c r="H177" s="133">
        <v>19</v>
      </c>
      <c r="I177" s="133">
        <v>9</v>
      </c>
      <c r="J177" s="133">
        <v>4</v>
      </c>
      <c r="K177" s="133">
        <v>34</v>
      </c>
      <c r="L177" s="133">
        <v>2</v>
      </c>
      <c r="M177" s="133">
        <v>33</v>
      </c>
      <c r="N177" s="133">
        <v>58</v>
      </c>
      <c r="O177" s="133">
        <v>5</v>
      </c>
      <c r="P177" s="133">
        <v>80</v>
      </c>
      <c r="Q177" s="133">
        <v>111</v>
      </c>
      <c r="R177" s="133">
        <v>7</v>
      </c>
      <c r="S177" s="133" t="s">
        <v>65</v>
      </c>
      <c r="T177" s="133">
        <v>0</v>
      </c>
      <c r="U177" s="133">
        <v>363</v>
      </c>
      <c r="V177" s="133">
        <v>990</v>
      </c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</row>
    <row r="178" spans="1:43" s="200" customFormat="1" ht="16.5" customHeight="1" x14ac:dyDescent="0.3">
      <c r="A178" s="323"/>
      <c r="B178" s="95" t="s">
        <v>622</v>
      </c>
      <c r="C178" s="133">
        <v>50</v>
      </c>
      <c r="D178" s="133">
        <v>0</v>
      </c>
      <c r="E178" s="133">
        <v>80</v>
      </c>
      <c r="F178" s="133">
        <v>130</v>
      </c>
      <c r="G178" s="133">
        <v>523</v>
      </c>
      <c r="H178" s="133">
        <v>10</v>
      </c>
      <c r="I178" s="133">
        <v>1</v>
      </c>
      <c r="J178" s="133">
        <v>1</v>
      </c>
      <c r="K178" s="133">
        <v>2</v>
      </c>
      <c r="L178" s="133">
        <v>9</v>
      </c>
      <c r="M178" s="133">
        <v>15</v>
      </c>
      <c r="N178" s="133">
        <v>2</v>
      </c>
      <c r="O178" s="133">
        <v>8</v>
      </c>
      <c r="P178" s="133">
        <v>0</v>
      </c>
      <c r="Q178" s="133">
        <v>89</v>
      </c>
      <c r="R178" s="133">
        <v>7</v>
      </c>
      <c r="S178" s="204" t="s">
        <v>65</v>
      </c>
      <c r="T178" s="133" t="s">
        <v>65</v>
      </c>
      <c r="U178" s="133">
        <v>143</v>
      </c>
      <c r="V178" s="133">
        <v>795</v>
      </c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</row>
    <row r="179" spans="1:43" s="200" customFormat="1" x14ac:dyDescent="0.3">
      <c r="A179" s="323"/>
      <c r="B179" s="95" t="s">
        <v>703</v>
      </c>
      <c r="C179" s="133">
        <v>202</v>
      </c>
      <c r="D179" s="133">
        <v>1</v>
      </c>
      <c r="E179" s="133">
        <v>281</v>
      </c>
      <c r="F179" s="133">
        <v>484</v>
      </c>
      <c r="G179" s="133">
        <v>146</v>
      </c>
      <c r="H179" s="133">
        <v>10</v>
      </c>
      <c r="I179" s="133">
        <v>2</v>
      </c>
      <c r="J179" s="133">
        <v>45</v>
      </c>
      <c r="K179" s="133">
        <v>9</v>
      </c>
      <c r="L179" s="133">
        <v>0</v>
      </c>
      <c r="M179" s="133">
        <v>11</v>
      </c>
      <c r="N179" s="133">
        <v>9</v>
      </c>
      <c r="O179" s="133">
        <v>21</v>
      </c>
      <c r="P179" s="133">
        <v>71</v>
      </c>
      <c r="Q179" s="133">
        <v>7</v>
      </c>
      <c r="R179" s="133">
        <v>80</v>
      </c>
      <c r="S179" s="204">
        <v>52</v>
      </c>
      <c r="T179" s="204" t="s">
        <v>65</v>
      </c>
      <c r="U179" s="133">
        <v>319</v>
      </c>
      <c r="V179" s="133">
        <v>949</v>
      </c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</row>
    <row r="180" spans="1:43" s="200" customFormat="1" x14ac:dyDescent="0.3">
      <c r="A180" s="323"/>
      <c r="B180" s="95" t="s">
        <v>626</v>
      </c>
      <c r="C180" s="133">
        <v>476</v>
      </c>
      <c r="D180" s="133">
        <v>1</v>
      </c>
      <c r="E180" s="133">
        <v>46</v>
      </c>
      <c r="F180" s="133">
        <v>524</v>
      </c>
      <c r="G180" s="133">
        <v>495</v>
      </c>
      <c r="H180" s="133">
        <v>14</v>
      </c>
      <c r="I180" s="133">
        <v>2</v>
      </c>
      <c r="J180" s="133">
        <v>19</v>
      </c>
      <c r="K180" s="133">
        <v>5</v>
      </c>
      <c r="L180" s="133">
        <v>0</v>
      </c>
      <c r="M180" s="133">
        <v>36</v>
      </c>
      <c r="N180" s="133">
        <v>7</v>
      </c>
      <c r="O180" s="133">
        <v>13</v>
      </c>
      <c r="P180" s="133">
        <v>5</v>
      </c>
      <c r="Q180" s="133">
        <v>6</v>
      </c>
      <c r="R180" s="133">
        <v>55</v>
      </c>
      <c r="S180" s="133">
        <v>5</v>
      </c>
      <c r="T180" s="204">
        <v>1</v>
      </c>
      <c r="U180" s="133">
        <v>168</v>
      </c>
      <c r="V180" s="133">
        <v>1187</v>
      </c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</row>
    <row r="181" spans="1:43" s="200" customFormat="1" x14ac:dyDescent="0.3">
      <c r="A181" s="308"/>
      <c r="B181" s="97" t="s">
        <v>86</v>
      </c>
      <c r="C181" s="134">
        <v>2263</v>
      </c>
      <c r="D181" s="134">
        <v>208</v>
      </c>
      <c r="E181" s="134">
        <v>1816</v>
      </c>
      <c r="F181" s="134">
        <v>4287</v>
      </c>
      <c r="G181" s="134">
        <v>3216</v>
      </c>
      <c r="H181" s="134">
        <v>695</v>
      </c>
      <c r="I181" s="134">
        <v>168</v>
      </c>
      <c r="J181" s="134">
        <v>409</v>
      </c>
      <c r="K181" s="134">
        <v>275</v>
      </c>
      <c r="L181" s="134">
        <v>119</v>
      </c>
      <c r="M181" s="134">
        <v>454</v>
      </c>
      <c r="N181" s="134">
        <v>443</v>
      </c>
      <c r="O181" s="134">
        <v>350</v>
      </c>
      <c r="P181" s="134">
        <v>615</v>
      </c>
      <c r="Q181" s="134">
        <v>404</v>
      </c>
      <c r="R181" s="134">
        <v>963</v>
      </c>
      <c r="S181" s="134">
        <v>172</v>
      </c>
      <c r="T181" s="134">
        <v>14</v>
      </c>
      <c r="U181" s="134">
        <v>5081</v>
      </c>
      <c r="V181" s="134">
        <v>12584</v>
      </c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</row>
    <row r="182" spans="1:43" s="200" customFormat="1" x14ac:dyDescent="0.3">
      <c r="A182" s="307" t="s">
        <v>149</v>
      </c>
      <c r="B182" s="95" t="s">
        <v>630</v>
      </c>
      <c r="C182" s="133">
        <v>224</v>
      </c>
      <c r="D182" s="204">
        <v>0</v>
      </c>
      <c r="E182" s="133">
        <v>25</v>
      </c>
      <c r="F182" s="133">
        <v>249</v>
      </c>
      <c r="G182" s="133">
        <v>234</v>
      </c>
      <c r="H182" s="133">
        <v>16</v>
      </c>
      <c r="I182" s="133">
        <v>4</v>
      </c>
      <c r="J182" s="133">
        <v>3</v>
      </c>
      <c r="K182" s="204">
        <v>3</v>
      </c>
      <c r="L182" s="204">
        <v>10</v>
      </c>
      <c r="M182" s="204">
        <v>8</v>
      </c>
      <c r="N182" s="133">
        <v>7</v>
      </c>
      <c r="O182" s="133">
        <v>61</v>
      </c>
      <c r="P182" s="204">
        <v>15</v>
      </c>
      <c r="Q182" s="133">
        <v>8</v>
      </c>
      <c r="R182" s="133">
        <v>6</v>
      </c>
      <c r="S182" s="204">
        <v>5</v>
      </c>
      <c r="T182" s="204">
        <v>2</v>
      </c>
      <c r="U182" s="133">
        <v>149</v>
      </c>
      <c r="V182" s="133">
        <v>632</v>
      </c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</row>
    <row r="183" spans="1:43" s="200" customFormat="1" x14ac:dyDescent="0.3">
      <c r="A183" s="323"/>
      <c r="B183" s="95" t="s">
        <v>704</v>
      </c>
      <c r="C183" s="133">
        <v>43</v>
      </c>
      <c r="D183" s="133" t="s">
        <v>65</v>
      </c>
      <c r="E183" s="133">
        <v>9</v>
      </c>
      <c r="F183" s="133">
        <v>52</v>
      </c>
      <c r="G183" s="133">
        <v>77</v>
      </c>
      <c r="H183" s="133">
        <v>1</v>
      </c>
      <c r="I183" s="133" t="s">
        <v>65</v>
      </c>
      <c r="J183" s="133">
        <v>0</v>
      </c>
      <c r="K183" s="133">
        <v>2</v>
      </c>
      <c r="L183" s="133">
        <v>0</v>
      </c>
      <c r="M183" s="133" t="s">
        <v>65</v>
      </c>
      <c r="N183" s="133">
        <v>2</v>
      </c>
      <c r="O183" s="133">
        <v>3</v>
      </c>
      <c r="P183" s="133" t="s">
        <v>65</v>
      </c>
      <c r="Q183" s="133">
        <v>103</v>
      </c>
      <c r="R183" s="133">
        <v>3</v>
      </c>
      <c r="S183" s="133" t="s">
        <v>65</v>
      </c>
      <c r="T183" s="133">
        <v>21</v>
      </c>
      <c r="U183" s="133">
        <v>136</v>
      </c>
      <c r="V183" s="133">
        <v>264</v>
      </c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</row>
    <row r="184" spans="1:43" s="200" customFormat="1" x14ac:dyDescent="0.3">
      <c r="A184" s="323"/>
      <c r="B184" s="95" t="s">
        <v>705</v>
      </c>
      <c r="C184" s="133">
        <v>31</v>
      </c>
      <c r="D184" s="204">
        <v>1</v>
      </c>
      <c r="E184" s="133">
        <v>57</v>
      </c>
      <c r="F184" s="133">
        <v>89</v>
      </c>
      <c r="G184" s="133">
        <v>116</v>
      </c>
      <c r="H184" s="133">
        <v>8</v>
      </c>
      <c r="I184" s="204" t="s">
        <v>65</v>
      </c>
      <c r="J184" s="133">
        <v>6</v>
      </c>
      <c r="K184" s="133">
        <v>7</v>
      </c>
      <c r="L184" s="133">
        <v>2</v>
      </c>
      <c r="M184" s="204">
        <v>1</v>
      </c>
      <c r="N184" s="133">
        <v>18</v>
      </c>
      <c r="O184" s="133" t="s">
        <v>65</v>
      </c>
      <c r="P184" s="204">
        <v>2</v>
      </c>
      <c r="Q184" s="133">
        <v>2</v>
      </c>
      <c r="R184" s="133">
        <v>0</v>
      </c>
      <c r="S184" s="204">
        <v>2</v>
      </c>
      <c r="T184" s="133">
        <v>2</v>
      </c>
      <c r="U184" s="133">
        <v>52</v>
      </c>
      <c r="V184" s="133">
        <v>257</v>
      </c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</row>
    <row r="185" spans="1:43" s="200" customFormat="1" x14ac:dyDescent="0.3">
      <c r="A185" s="323"/>
      <c r="B185" s="95" t="s">
        <v>706</v>
      </c>
      <c r="C185" s="133">
        <v>2</v>
      </c>
      <c r="D185" s="133">
        <v>1</v>
      </c>
      <c r="E185" s="133">
        <v>14</v>
      </c>
      <c r="F185" s="133">
        <v>16</v>
      </c>
      <c r="G185" s="133">
        <v>474</v>
      </c>
      <c r="H185" s="133">
        <v>29</v>
      </c>
      <c r="I185" s="204" t="s">
        <v>65</v>
      </c>
      <c r="J185" s="133" t="s">
        <v>65</v>
      </c>
      <c r="K185" s="133">
        <v>6</v>
      </c>
      <c r="L185" s="133" t="s">
        <v>65</v>
      </c>
      <c r="M185" s="133" t="s">
        <v>65</v>
      </c>
      <c r="N185" s="133">
        <v>2</v>
      </c>
      <c r="O185" s="204" t="s">
        <v>65</v>
      </c>
      <c r="P185" s="133">
        <v>0</v>
      </c>
      <c r="Q185" s="133">
        <v>19</v>
      </c>
      <c r="R185" s="133">
        <v>3</v>
      </c>
      <c r="S185" s="133" t="s">
        <v>65</v>
      </c>
      <c r="T185" s="133" t="s">
        <v>65</v>
      </c>
      <c r="U185" s="133">
        <v>59</v>
      </c>
      <c r="V185" s="133">
        <v>550</v>
      </c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</row>
    <row r="186" spans="1:43" s="200" customFormat="1" x14ac:dyDescent="0.3">
      <c r="A186" s="323"/>
      <c r="B186" s="95" t="s">
        <v>628</v>
      </c>
      <c r="C186" s="133">
        <v>145</v>
      </c>
      <c r="D186" s="133">
        <v>3</v>
      </c>
      <c r="E186" s="133">
        <v>90</v>
      </c>
      <c r="F186" s="133">
        <v>238</v>
      </c>
      <c r="G186" s="133">
        <v>711</v>
      </c>
      <c r="H186" s="133">
        <v>10</v>
      </c>
      <c r="I186" s="204">
        <v>2</v>
      </c>
      <c r="J186" s="204">
        <v>10</v>
      </c>
      <c r="K186" s="133">
        <v>18</v>
      </c>
      <c r="L186" s="204">
        <v>1</v>
      </c>
      <c r="M186" s="204">
        <v>4</v>
      </c>
      <c r="N186" s="133">
        <v>5</v>
      </c>
      <c r="O186" s="204">
        <v>3</v>
      </c>
      <c r="P186" s="133">
        <v>1</v>
      </c>
      <c r="Q186" s="133">
        <v>64</v>
      </c>
      <c r="R186" s="133">
        <v>5</v>
      </c>
      <c r="S186" s="204">
        <v>3</v>
      </c>
      <c r="T186" s="204">
        <v>2</v>
      </c>
      <c r="U186" s="133">
        <v>127</v>
      </c>
      <c r="V186" s="133">
        <v>1077</v>
      </c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</row>
    <row r="187" spans="1:43" s="200" customFormat="1" x14ac:dyDescent="0.3">
      <c r="A187" s="323"/>
      <c r="B187" s="95" t="s">
        <v>627</v>
      </c>
      <c r="C187" s="133">
        <v>22</v>
      </c>
      <c r="D187" s="133">
        <v>1</v>
      </c>
      <c r="E187" s="133">
        <v>15</v>
      </c>
      <c r="F187" s="133">
        <v>38</v>
      </c>
      <c r="G187" s="133">
        <v>138</v>
      </c>
      <c r="H187" s="133">
        <v>4</v>
      </c>
      <c r="I187" s="133" t="s">
        <v>65</v>
      </c>
      <c r="J187" s="133">
        <v>1</v>
      </c>
      <c r="K187" s="133">
        <v>7</v>
      </c>
      <c r="L187" s="133" t="s">
        <v>65</v>
      </c>
      <c r="M187" s="133" t="s">
        <v>65</v>
      </c>
      <c r="N187" s="133">
        <v>4</v>
      </c>
      <c r="O187" s="133" t="s">
        <v>65</v>
      </c>
      <c r="P187" s="133" t="s">
        <v>65</v>
      </c>
      <c r="Q187" s="133">
        <v>12</v>
      </c>
      <c r="R187" s="133">
        <v>1</v>
      </c>
      <c r="S187" s="133" t="s">
        <v>65</v>
      </c>
      <c r="T187" s="133" t="s">
        <v>65</v>
      </c>
      <c r="U187" s="133">
        <v>29</v>
      </c>
      <c r="V187" s="133">
        <v>205</v>
      </c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</row>
    <row r="188" spans="1:43" s="200" customFormat="1" x14ac:dyDescent="0.3">
      <c r="A188" s="323"/>
      <c r="B188" s="95" t="s">
        <v>707</v>
      </c>
      <c r="C188" s="133">
        <v>6</v>
      </c>
      <c r="D188" s="133">
        <v>0</v>
      </c>
      <c r="E188" s="133">
        <v>3</v>
      </c>
      <c r="F188" s="133">
        <v>10</v>
      </c>
      <c r="G188" s="133">
        <v>89</v>
      </c>
      <c r="H188" s="133">
        <v>3</v>
      </c>
      <c r="I188" s="204">
        <v>1</v>
      </c>
      <c r="J188" s="133" t="s">
        <v>65</v>
      </c>
      <c r="K188" s="133">
        <v>5</v>
      </c>
      <c r="L188" s="204" t="s">
        <v>65</v>
      </c>
      <c r="M188" s="204" t="s">
        <v>65</v>
      </c>
      <c r="N188" s="133" t="s">
        <v>65</v>
      </c>
      <c r="O188" s="204" t="s">
        <v>65</v>
      </c>
      <c r="P188" s="204" t="s">
        <v>65</v>
      </c>
      <c r="Q188" s="133">
        <v>6</v>
      </c>
      <c r="R188" s="133" t="s">
        <v>65</v>
      </c>
      <c r="S188" s="204" t="s">
        <v>65</v>
      </c>
      <c r="T188" s="204" t="s">
        <v>65</v>
      </c>
      <c r="U188" s="133">
        <v>15</v>
      </c>
      <c r="V188" s="133">
        <v>113</v>
      </c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</row>
    <row r="189" spans="1:43" s="200" customFormat="1" x14ac:dyDescent="0.3">
      <c r="A189" s="323"/>
      <c r="B189" s="95" t="s">
        <v>629</v>
      </c>
      <c r="C189" s="133">
        <v>18</v>
      </c>
      <c r="D189" s="133">
        <v>1</v>
      </c>
      <c r="E189" s="133">
        <v>13</v>
      </c>
      <c r="F189" s="133">
        <v>32</v>
      </c>
      <c r="G189" s="133">
        <v>280</v>
      </c>
      <c r="H189" s="133">
        <v>8</v>
      </c>
      <c r="I189" s="133" t="s">
        <v>65</v>
      </c>
      <c r="J189" s="204" t="s">
        <v>65</v>
      </c>
      <c r="K189" s="133">
        <v>3</v>
      </c>
      <c r="L189" s="204" t="s">
        <v>65</v>
      </c>
      <c r="M189" s="204" t="s">
        <v>65</v>
      </c>
      <c r="N189" s="204">
        <v>4</v>
      </c>
      <c r="O189" s="204" t="s">
        <v>65</v>
      </c>
      <c r="P189" s="204" t="s">
        <v>65</v>
      </c>
      <c r="Q189" s="133">
        <v>8</v>
      </c>
      <c r="R189" s="204">
        <v>2</v>
      </c>
      <c r="S189" s="204" t="s">
        <v>65</v>
      </c>
      <c r="T189" s="204" t="s">
        <v>65</v>
      </c>
      <c r="U189" s="133">
        <v>25</v>
      </c>
      <c r="V189" s="133">
        <v>337</v>
      </c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</row>
    <row r="190" spans="1:43" s="200" customFormat="1" x14ac:dyDescent="0.3">
      <c r="A190" s="323"/>
      <c r="B190" s="95" t="s">
        <v>708</v>
      </c>
      <c r="C190" s="133">
        <v>127</v>
      </c>
      <c r="D190" s="133">
        <v>0</v>
      </c>
      <c r="E190" s="133">
        <v>41</v>
      </c>
      <c r="F190" s="133">
        <v>169</v>
      </c>
      <c r="G190" s="133">
        <v>727</v>
      </c>
      <c r="H190" s="133">
        <v>118</v>
      </c>
      <c r="I190" s="204">
        <v>6</v>
      </c>
      <c r="J190" s="204">
        <v>20</v>
      </c>
      <c r="K190" s="133">
        <v>37</v>
      </c>
      <c r="L190" s="204">
        <v>1</v>
      </c>
      <c r="M190" s="204">
        <v>1</v>
      </c>
      <c r="N190" s="133">
        <v>20</v>
      </c>
      <c r="O190" s="204" t="s">
        <v>65</v>
      </c>
      <c r="P190" s="204" t="s">
        <v>65</v>
      </c>
      <c r="Q190" s="133">
        <v>222</v>
      </c>
      <c r="R190" s="133">
        <v>38</v>
      </c>
      <c r="S190" s="204" t="s">
        <v>65</v>
      </c>
      <c r="T190" s="204">
        <v>10</v>
      </c>
      <c r="U190" s="133">
        <v>474</v>
      </c>
      <c r="V190" s="133">
        <v>1371</v>
      </c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</row>
    <row r="191" spans="1:43" s="200" customFormat="1" x14ac:dyDescent="0.3">
      <c r="A191" s="323"/>
      <c r="B191" s="95" t="s">
        <v>631</v>
      </c>
      <c r="C191" s="133">
        <v>12</v>
      </c>
      <c r="D191" s="133" t="s">
        <v>65</v>
      </c>
      <c r="E191" s="133">
        <v>2</v>
      </c>
      <c r="F191" s="133">
        <v>15</v>
      </c>
      <c r="G191" s="133">
        <v>1312</v>
      </c>
      <c r="H191" s="133">
        <v>2</v>
      </c>
      <c r="I191" s="133">
        <v>1</v>
      </c>
      <c r="J191" s="133">
        <v>0</v>
      </c>
      <c r="K191" s="133">
        <v>3</v>
      </c>
      <c r="L191" s="133" t="s">
        <v>65</v>
      </c>
      <c r="M191" s="133" t="s">
        <v>65</v>
      </c>
      <c r="N191" s="133" t="s">
        <v>65</v>
      </c>
      <c r="O191" s="204">
        <v>1</v>
      </c>
      <c r="P191" s="204">
        <v>9</v>
      </c>
      <c r="Q191" s="133">
        <v>5</v>
      </c>
      <c r="R191" s="133">
        <v>1</v>
      </c>
      <c r="S191" s="204" t="s">
        <v>65</v>
      </c>
      <c r="T191" s="133">
        <v>1</v>
      </c>
      <c r="U191" s="133">
        <v>23</v>
      </c>
      <c r="V191" s="133">
        <v>1350</v>
      </c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</row>
    <row r="192" spans="1:43" s="200" customFormat="1" x14ac:dyDescent="0.3">
      <c r="A192" s="323"/>
      <c r="B192" s="95" t="s">
        <v>632</v>
      </c>
      <c r="C192" s="133">
        <v>176</v>
      </c>
      <c r="D192" s="204" t="s">
        <v>65</v>
      </c>
      <c r="E192" s="133">
        <v>65</v>
      </c>
      <c r="F192" s="133">
        <v>241</v>
      </c>
      <c r="G192" s="133">
        <v>1267</v>
      </c>
      <c r="H192" s="133">
        <v>1</v>
      </c>
      <c r="I192" s="133">
        <v>1</v>
      </c>
      <c r="J192" s="133">
        <v>3</v>
      </c>
      <c r="K192" s="133" t="s">
        <v>65</v>
      </c>
      <c r="L192" s="204" t="s">
        <v>65</v>
      </c>
      <c r="M192" s="204" t="s">
        <v>65</v>
      </c>
      <c r="N192" s="204">
        <v>4</v>
      </c>
      <c r="O192" s="133">
        <v>2</v>
      </c>
      <c r="P192" s="133" t="s">
        <v>65</v>
      </c>
      <c r="Q192" s="133">
        <v>25</v>
      </c>
      <c r="R192" s="133">
        <v>2</v>
      </c>
      <c r="S192" s="204" t="s">
        <v>65</v>
      </c>
      <c r="T192" s="133" t="s">
        <v>65</v>
      </c>
      <c r="U192" s="133">
        <v>38</v>
      </c>
      <c r="V192" s="133">
        <v>1546</v>
      </c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</row>
    <row r="193" spans="1:43" s="200" customFormat="1" x14ac:dyDescent="0.3">
      <c r="A193" s="308"/>
      <c r="B193" s="97" t="s">
        <v>86</v>
      </c>
      <c r="C193" s="134">
        <v>806</v>
      </c>
      <c r="D193" s="134">
        <v>7</v>
      </c>
      <c r="E193" s="134">
        <v>336</v>
      </c>
      <c r="F193" s="134">
        <v>1149</v>
      </c>
      <c r="G193" s="134">
        <v>5426</v>
      </c>
      <c r="H193" s="134">
        <v>199</v>
      </c>
      <c r="I193" s="134">
        <v>15</v>
      </c>
      <c r="J193" s="134">
        <v>43</v>
      </c>
      <c r="K193" s="134">
        <v>91</v>
      </c>
      <c r="L193" s="134">
        <v>15</v>
      </c>
      <c r="M193" s="134">
        <v>15</v>
      </c>
      <c r="N193" s="134">
        <v>67</v>
      </c>
      <c r="O193" s="134">
        <v>70</v>
      </c>
      <c r="P193" s="134">
        <v>28</v>
      </c>
      <c r="Q193" s="134">
        <v>473</v>
      </c>
      <c r="R193" s="134">
        <v>62</v>
      </c>
      <c r="S193" s="134">
        <v>10</v>
      </c>
      <c r="T193" s="134">
        <v>39</v>
      </c>
      <c r="U193" s="134">
        <v>1126</v>
      </c>
      <c r="V193" s="134">
        <v>7701</v>
      </c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</row>
    <row r="194" spans="1:43" s="200" customFormat="1" x14ac:dyDescent="0.3">
      <c r="A194" s="307" t="s">
        <v>150</v>
      </c>
      <c r="B194" s="95" t="s">
        <v>633</v>
      </c>
      <c r="C194" s="133">
        <v>299</v>
      </c>
      <c r="D194" s="133">
        <v>63</v>
      </c>
      <c r="E194" s="133">
        <v>201</v>
      </c>
      <c r="F194" s="133">
        <v>562</v>
      </c>
      <c r="G194" s="133">
        <v>115</v>
      </c>
      <c r="H194" s="133">
        <v>34</v>
      </c>
      <c r="I194" s="133">
        <v>26</v>
      </c>
      <c r="J194" s="133">
        <v>58</v>
      </c>
      <c r="K194" s="133">
        <v>18</v>
      </c>
      <c r="L194" s="133">
        <v>10</v>
      </c>
      <c r="M194" s="133">
        <v>21</v>
      </c>
      <c r="N194" s="133">
        <v>68</v>
      </c>
      <c r="O194" s="133">
        <v>19</v>
      </c>
      <c r="P194" s="133">
        <v>31</v>
      </c>
      <c r="Q194" s="133">
        <v>20</v>
      </c>
      <c r="R194" s="133">
        <v>68</v>
      </c>
      <c r="S194" s="133">
        <v>2</v>
      </c>
      <c r="T194" s="133">
        <v>4</v>
      </c>
      <c r="U194" s="133">
        <v>378</v>
      </c>
      <c r="V194" s="133">
        <v>1056</v>
      </c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</row>
    <row r="195" spans="1:43" s="200" customFormat="1" x14ac:dyDescent="0.3">
      <c r="A195" s="323"/>
      <c r="B195" s="95" t="s">
        <v>634</v>
      </c>
      <c r="C195" s="133">
        <v>268</v>
      </c>
      <c r="D195" s="133">
        <v>478</v>
      </c>
      <c r="E195" s="133">
        <v>115</v>
      </c>
      <c r="F195" s="133">
        <v>861</v>
      </c>
      <c r="G195" s="133">
        <v>64</v>
      </c>
      <c r="H195" s="133">
        <v>32</v>
      </c>
      <c r="I195" s="133">
        <v>43</v>
      </c>
      <c r="J195" s="133">
        <v>12</v>
      </c>
      <c r="K195" s="133">
        <v>9</v>
      </c>
      <c r="L195" s="133">
        <v>16</v>
      </c>
      <c r="M195" s="133">
        <v>9</v>
      </c>
      <c r="N195" s="133">
        <v>9</v>
      </c>
      <c r="O195" s="133">
        <v>21</v>
      </c>
      <c r="P195" s="133">
        <v>11</v>
      </c>
      <c r="Q195" s="133">
        <v>24</v>
      </c>
      <c r="R195" s="133">
        <v>26</v>
      </c>
      <c r="S195" s="133">
        <v>1</v>
      </c>
      <c r="T195" s="133">
        <v>7</v>
      </c>
      <c r="U195" s="133">
        <v>221</v>
      </c>
      <c r="V195" s="133">
        <v>1146</v>
      </c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</row>
    <row r="196" spans="1:43" s="200" customFormat="1" x14ac:dyDescent="0.3">
      <c r="A196" s="323"/>
      <c r="B196" s="95" t="s">
        <v>636</v>
      </c>
      <c r="C196" s="133">
        <v>58</v>
      </c>
      <c r="D196" s="133">
        <v>8</v>
      </c>
      <c r="E196" s="133">
        <v>37</v>
      </c>
      <c r="F196" s="133">
        <v>103</v>
      </c>
      <c r="G196" s="133">
        <v>14</v>
      </c>
      <c r="H196" s="133">
        <v>9</v>
      </c>
      <c r="I196" s="133">
        <v>0</v>
      </c>
      <c r="J196" s="133">
        <v>2</v>
      </c>
      <c r="K196" s="133">
        <v>0</v>
      </c>
      <c r="L196" s="133">
        <v>1</v>
      </c>
      <c r="M196" s="133">
        <v>1</v>
      </c>
      <c r="N196" s="133">
        <v>13</v>
      </c>
      <c r="O196" s="133">
        <v>1</v>
      </c>
      <c r="P196" s="133">
        <v>1</v>
      </c>
      <c r="Q196" s="133">
        <v>2</v>
      </c>
      <c r="R196" s="133">
        <v>2</v>
      </c>
      <c r="S196" s="133">
        <v>0</v>
      </c>
      <c r="T196" s="133">
        <v>1</v>
      </c>
      <c r="U196" s="133">
        <v>33</v>
      </c>
      <c r="V196" s="133">
        <v>150</v>
      </c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</row>
    <row r="197" spans="1:43" s="200" customFormat="1" x14ac:dyDescent="0.3">
      <c r="A197" s="323"/>
      <c r="B197" s="95" t="s">
        <v>709</v>
      </c>
      <c r="C197" s="133">
        <v>4</v>
      </c>
      <c r="D197" s="133">
        <v>2</v>
      </c>
      <c r="E197" s="133">
        <v>18</v>
      </c>
      <c r="F197" s="133">
        <v>23</v>
      </c>
      <c r="G197" s="133">
        <v>7</v>
      </c>
      <c r="H197" s="133" t="s">
        <v>65</v>
      </c>
      <c r="I197" s="133" t="s">
        <v>65</v>
      </c>
      <c r="J197" s="133" t="s">
        <v>65</v>
      </c>
      <c r="K197" s="133">
        <v>0</v>
      </c>
      <c r="L197" s="133">
        <v>0</v>
      </c>
      <c r="M197" s="133">
        <v>0</v>
      </c>
      <c r="N197" s="133">
        <v>2</v>
      </c>
      <c r="O197" s="133">
        <v>5</v>
      </c>
      <c r="P197" s="133">
        <v>6</v>
      </c>
      <c r="Q197" s="133">
        <v>0</v>
      </c>
      <c r="R197" s="133">
        <v>0</v>
      </c>
      <c r="S197" s="133" t="s">
        <v>65</v>
      </c>
      <c r="T197" s="133">
        <v>1</v>
      </c>
      <c r="U197" s="133">
        <v>15</v>
      </c>
      <c r="V197" s="133">
        <v>45</v>
      </c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</row>
    <row r="198" spans="1:43" s="200" customFormat="1" x14ac:dyDescent="0.3">
      <c r="A198" s="323"/>
      <c r="B198" s="95" t="s">
        <v>710</v>
      </c>
      <c r="C198" s="133">
        <v>49</v>
      </c>
      <c r="D198" s="133">
        <v>24</v>
      </c>
      <c r="E198" s="133">
        <v>18</v>
      </c>
      <c r="F198" s="133">
        <v>91</v>
      </c>
      <c r="G198" s="133">
        <v>7</v>
      </c>
      <c r="H198" s="204">
        <v>3</v>
      </c>
      <c r="I198" s="204">
        <v>0</v>
      </c>
      <c r="J198" s="204">
        <v>16</v>
      </c>
      <c r="K198" s="133" t="s">
        <v>65</v>
      </c>
      <c r="L198" s="133">
        <v>2</v>
      </c>
      <c r="M198" s="133">
        <v>14</v>
      </c>
      <c r="N198" s="133">
        <v>45</v>
      </c>
      <c r="O198" s="133">
        <v>1</v>
      </c>
      <c r="P198" s="133" t="s">
        <v>65</v>
      </c>
      <c r="Q198" s="133">
        <v>1</v>
      </c>
      <c r="R198" s="133">
        <v>0</v>
      </c>
      <c r="S198" s="204" t="s">
        <v>65</v>
      </c>
      <c r="T198" s="133">
        <v>0</v>
      </c>
      <c r="U198" s="133">
        <v>83</v>
      </c>
      <c r="V198" s="133">
        <v>182</v>
      </c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</row>
    <row r="199" spans="1:43" s="200" customFormat="1" x14ac:dyDescent="0.3">
      <c r="A199" s="323"/>
      <c r="B199" s="95" t="s">
        <v>643</v>
      </c>
      <c r="C199" s="133">
        <v>14</v>
      </c>
      <c r="D199" s="133" t="s">
        <v>65</v>
      </c>
      <c r="E199" s="133">
        <v>8</v>
      </c>
      <c r="F199" s="133">
        <v>22</v>
      </c>
      <c r="G199" s="133">
        <v>2</v>
      </c>
      <c r="H199" s="133">
        <v>1</v>
      </c>
      <c r="I199" s="133">
        <v>0</v>
      </c>
      <c r="J199" s="133" t="s">
        <v>65</v>
      </c>
      <c r="K199" s="204">
        <v>1</v>
      </c>
      <c r="L199" s="133">
        <v>7</v>
      </c>
      <c r="M199" s="133" t="s">
        <v>65</v>
      </c>
      <c r="N199" s="133">
        <v>5</v>
      </c>
      <c r="O199" s="133" t="s">
        <v>65</v>
      </c>
      <c r="P199" s="204">
        <v>2</v>
      </c>
      <c r="Q199" s="133">
        <v>3</v>
      </c>
      <c r="R199" s="133">
        <v>0</v>
      </c>
      <c r="S199" s="204">
        <v>0</v>
      </c>
      <c r="T199" s="133" t="s">
        <v>65</v>
      </c>
      <c r="U199" s="133">
        <v>20</v>
      </c>
      <c r="V199" s="133">
        <v>44</v>
      </c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</row>
    <row r="200" spans="1:43" s="200" customFormat="1" x14ac:dyDescent="0.3">
      <c r="A200" s="323"/>
      <c r="B200" s="95" t="s">
        <v>711</v>
      </c>
      <c r="C200" s="133">
        <v>58</v>
      </c>
      <c r="D200" s="204">
        <v>2</v>
      </c>
      <c r="E200" s="133">
        <v>47</v>
      </c>
      <c r="F200" s="133">
        <v>106</v>
      </c>
      <c r="G200" s="133">
        <v>9</v>
      </c>
      <c r="H200" s="133">
        <v>35</v>
      </c>
      <c r="I200" s="133">
        <v>0</v>
      </c>
      <c r="J200" s="204">
        <v>1</v>
      </c>
      <c r="K200" s="133">
        <v>28</v>
      </c>
      <c r="L200" s="133">
        <v>3</v>
      </c>
      <c r="M200" s="204">
        <v>5</v>
      </c>
      <c r="N200" s="133">
        <v>77</v>
      </c>
      <c r="O200" s="204">
        <v>12</v>
      </c>
      <c r="P200" s="133">
        <v>5</v>
      </c>
      <c r="Q200" s="133">
        <v>21</v>
      </c>
      <c r="R200" s="133">
        <v>47</v>
      </c>
      <c r="S200" s="133" t="s">
        <v>65</v>
      </c>
      <c r="T200" s="204">
        <v>0</v>
      </c>
      <c r="U200" s="133">
        <v>236</v>
      </c>
      <c r="V200" s="133">
        <v>351</v>
      </c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</row>
    <row r="201" spans="1:43" s="200" customFormat="1" x14ac:dyDescent="0.3">
      <c r="A201" s="323"/>
      <c r="B201" s="95" t="s">
        <v>642</v>
      </c>
      <c r="C201" s="133">
        <v>54</v>
      </c>
      <c r="D201" s="133">
        <v>3</v>
      </c>
      <c r="E201" s="133">
        <v>55</v>
      </c>
      <c r="F201" s="133">
        <v>112</v>
      </c>
      <c r="G201" s="133">
        <v>88</v>
      </c>
      <c r="H201" s="133">
        <v>11</v>
      </c>
      <c r="I201" s="133">
        <v>12</v>
      </c>
      <c r="J201" s="133">
        <v>1</v>
      </c>
      <c r="K201" s="133">
        <v>3</v>
      </c>
      <c r="L201" s="133">
        <v>2</v>
      </c>
      <c r="M201" s="133">
        <v>1</v>
      </c>
      <c r="N201" s="133">
        <v>2</v>
      </c>
      <c r="O201" s="133">
        <v>3</v>
      </c>
      <c r="P201" s="133">
        <v>1</v>
      </c>
      <c r="Q201" s="133">
        <v>5</v>
      </c>
      <c r="R201" s="133">
        <v>3</v>
      </c>
      <c r="S201" s="204" t="s">
        <v>65</v>
      </c>
      <c r="T201" s="133">
        <v>1</v>
      </c>
      <c r="U201" s="133">
        <v>43</v>
      </c>
      <c r="V201" s="133">
        <v>243</v>
      </c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</row>
    <row r="202" spans="1:43" s="200" customFormat="1" x14ac:dyDescent="0.3">
      <c r="A202" s="323"/>
      <c r="B202" s="95" t="s">
        <v>641</v>
      </c>
      <c r="C202" s="133">
        <v>41</v>
      </c>
      <c r="D202" s="133">
        <v>10</v>
      </c>
      <c r="E202" s="133">
        <v>73</v>
      </c>
      <c r="F202" s="133">
        <v>123</v>
      </c>
      <c r="G202" s="133">
        <v>16</v>
      </c>
      <c r="H202" s="133">
        <v>11</v>
      </c>
      <c r="I202" s="133">
        <v>4</v>
      </c>
      <c r="J202" s="133">
        <v>6</v>
      </c>
      <c r="K202" s="133">
        <v>8</v>
      </c>
      <c r="L202" s="133">
        <v>31</v>
      </c>
      <c r="M202" s="133">
        <v>4</v>
      </c>
      <c r="N202" s="133">
        <v>22</v>
      </c>
      <c r="O202" s="133">
        <v>8</v>
      </c>
      <c r="P202" s="133">
        <v>1</v>
      </c>
      <c r="Q202" s="133">
        <v>13</v>
      </c>
      <c r="R202" s="133">
        <v>34</v>
      </c>
      <c r="S202" s="204">
        <v>0</v>
      </c>
      <c r="T202" s="133">
        <v>3</v>
      </c>
      <c r="U202" s="133">
        <v>145</v>
      </c>
      <c r="V202" s="133">
        <v>284</v>
      </c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</row>
    <row r="203" spans="1:43" s="200" customFormat="1" x14ac:dyDescent="0.3">
      <c r="A203" s="323"/>
      <c r="B203" s="95" t="s">
        <v>640</v>
      </c>
      <c r="C203" s="133">
        <v>94</v>
      </c>
      <c r="D203" s="133">
        <v>6</v>
      </c>
      <c r="E203" s="133">
        <v>44</v>
      </c>
      <c r="F203" s="133">
        <v>143</v>
      </c>
      <c r="G203" s="133">
        <v>32</v>
      </c>
      <c r="H203" s="133">
        <v>20</v>
      </c>
      <c r="I203" s="133">
        <v>10</v>
      </c>
      <c r="J203" s="133">
        <v>7</v>
      </c>
      <c r="K203" s="133">
        <v>3</v>
      </c>
      <c r="L203" s="133">
        <v>12</v>
      </c>
      <c r="M203" s="133">
        <v>7</v>
      </c>
      <c r="N203" s="133">
        <v>28</v>
      </c>
      <c r="O203" s="133">
        <v>12</v>
      </c>
      <c r="P203" s="133">
        <v>4</v>
      </c>
      <c r="Q203" s="133">
        <v>35</v>
      </c>
      <c r="R203" s="133">
        <v>32</v>
      </c>
      <c r="S203" s="133">
        <v>1</v>
      </c>
      <c r="T203" s="133">
        <v>7</v>
      </c>
      <c r="U203" s="133">
        <v>176</v>
      </c>
      <c r="V203" s="133">
        <v>351</v>
      </c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</row>
    <row r="204" spans="1:43" s="200" customFormat="1" x14ac:dyDescent="0.3">
      <c r="A204" s="323"/>
      <c r="B204" s="95" t="s">
        <v>635</v>
      </c>
      <c r="C204" s="133">
        <v>118</v>
      </c>
      <c r="D204" s="133">
        <v>20</v>
      </c>
      <c r="E204" s="133">
        <v>6</v>
      </c>
      <c r="F204" s="133">
        <v>143</v>
      </c>
      <c r="G204" s="133">
        <v>34</v>
      </c>
      <c r="H204" s="133">
        <v>11</v>
      </c>
      <c r="I204" s="133">
        <v>1</v>
      </c>
      <c r="J204" s="133">
        <v>7</v>
      </c>
      <c r="K204" s="133">
        <v>9</v>
      </c>
      <c r="L204" s="133">
        <v>4</v>
      </c>
      <c r="M204" s="133">
        <v>1</v>
      </c>
      <c r="N204" s="133">
        <v>12</v>
      </c>
      <c r="O204" s="133">
        <v>3</v>
      </c>
      <c r="P204" s="133">
        <v>16</v>
      </c>
      <c r="Q204" s="133">
        <v>10</v>
      </c>
      <c r="R204" s="133">
        <v>1</v>
      </c>
      <c r="S204" s="133" t="s">
        <v>65</v>
      </c>
      <c r="T204" s="133">
        <v>5</v>
      </c>
      <c r="U204" s="133">
        <v>79</v>
      </c>
      <c r="V204" s="133">
        <v>257</v>
      </c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</row>
    <row r="205" spans="1:43" s="200" customFormat="1" x14ac:dyDescent="0.3">
      <c r="A205" s="323"/>
      <c r="B205" s="95" t="s">
        <v>712</v>
      </c>
      <c r="C205" s="133">
        <v>251</v>
      </c>
      <c r="D205" s="133">
        <v>77</v>
      </c>
      <c r="E205" s="133">
        <v>266</v>
      </c>
      <c r="F205" s="133">
        <v>594</v>
      </c>
      <c r="G205" s="133">
        <v>177</v>
      </c>
      <c r="H205" s="133">
        <v>42</v>
      </c>
      <c r="I205" s="133">
        <v>37</v>
      </c>
      <c r="J205" s="133">
        <v>17</v>
      </c>
      <c r="K205" s="133">
        <v>11</v>
      </c>
      <c r="L205" s="133">
        <v>12</v>
      </c>
      <c r="M205" s="133">
        <v>43</v>
      </c>
      <c r="N205" s="133">
        <v>65</v>
      </c>
      <c r="O205" s="133">
        <v>58</v>
      </c>
      <c r="P205" s="133">
        <v>25</v>
      </c>
      <c r="Q205" s="133">
        <v>82</v>
      </c>
      <c r="R205" s="133">
        <v>68</v>
      </c>
      <c r="S205" s="204">
        <v>8</v>
      </c>
      <c r="T205" s="133">
        <v>9</v>
      </c>
      <c r="U205" s="133">
        <v>476</v>
      </c>
      <c r="V205" s="133">
        <v>1247</v>
      </c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</row>
    <row r="206" spans="1:43" s="200" customFormat="1" x14ac:dyDescent="0.3">
      <c r="A206" s="323"/>
      <c r="B206" s="95" t="s">
        <v>637</v>
      </c>
      <c r="C206" s="133">
        <v>170</v>
      </c>
      <c r="D206" s="133">
        <v>36</v>
      </c>
      <c r="E206" s="133">
        <v>101</v>
      </c>
      <c r="F206" s="133">
        <v>306</v>
      </c>
      <c r="G206" s="133">
        <v>126</v>
      </c>
      <c r="H206" s="133">
        <v>287</v>
      </c>
      <c r="I206" s="133">
        <v>7</v>
      </c>
      <c r="J206" s="133">
        <v>10</v>
      </c>
      <c r="K206" s="133">
        <v>3</v>
      </c>
      <c r="L206" s="133">
        <v>9</v>
      </c>
      <c r="M206" s="133">
        <v>6</v>
      </c>
      <c r="N206" s="133">
        <v>30</v>
      </c>
      <c r="O206" s="133">
        <v>24</v>
      </c>
      <c r="P206" s="133">
        <v>22</v>
      </c>
      <c r="Q206" s="133">
        <v>9</v>
      </c>
      <c r="R206" s="133">
        <v>26</v>
      </c>
      <c r="S206" s="133">
        <v>1</v>
      </c>
      <c r="T206" s="133">
        <v>15</v>
      </c>
      <c r="U206" s="133">
        <v>448</v>
      </c>
      <c r="V206" s="133">
        <v>880</v>
      </c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</row>
    <row r="207" spans="1:43" s="200" customFormat="1" x14ac:dyDescent="0.3">
      <c r="A207" s="323"/>
      <c r="B207" s="95" t="s">
        <v>638</v>
      </c>
      <c r="C207" s="133">
        <v>223</v>
      </c>
      <c r="D207" s="133">
        <v>34</v>
      </c>
      <c r="E207" s="133">
        <v>47</v>
      </c>
      <c r="F207" s="133">
        <v>303</v>
      </c>
      <c r="G207" s="133">
        <v>111</v>
      </c>
      <c r="H207" s="133">
        <v>23</v>
      </c>
      <c r="I207" s="133">
        <v>10</v>
      </c>
      <c r="J207" s="133">
        <v>15</v>
      </c>
      <c r="K207" s="133">
        <v>14</v>
      </c>
      <c r="L207" s="133">
        <v>24</v>
      </c>
      <c r="M207" s="133">
        <v>12</v>
      </c>
      <c r="N207" s="133">
        <v>11</v>
      </c>
      <c r="O207" s="133">
        <v>22</v>
      </c>
      <c r="P207" s="133">
        <v>4</v>
      </c>
      <c r="Q207" s="133">
        <v>12</v>
      </c>
      <c r="R207" s="133">
        <v>34</v>
      </c>
      <c r="S207" s="133">
        <v>0</v>
      </c>
      <c r="T207" s="133">
        <v>13</v>
      </c>
      <c r="U207" s="133">
        <v>194</v>
      </c>
      <c r="V207" s="133">
        <v>609</v>
      </c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</row>
    <row r="208" spans="1:43" s="200" customFormat="1" x14ac:dyDescent="0.3">
      <c r="A208" s="323"/>
      <c r="B208" s="95" t="s">
        <v>639</v>
      </c>
      <c r="C208" s="133">
        <v>116</v>
      </c>
      <c r="D208" s="133">
        <v>21</v>
      </c>
      <c r="E208" s="133">
        <v>63</v>
      </c>
      <c r="F208" s="133">
        <v>199</v>
      </c>
      <c r="G208" s="133">
        <v>46</v>
      </c>
      <c r="H208" s="133">
        <v>24</v>
      </c>
      <c r="I208" s="133">
        <v>8</v>
      </c>
      <c r="J208" s="133">
        <v>5</v>
      </c>
      <c r="K208" s="133">
        <v>13</v>
      </c>
      <c r="L208" s="133">
        <v>14</v>
      </c>
      <c r="M208" s="133">
        <v>4</v>
      </c>
      <c r="N208" s="133">
        <v>6</v>
      </c>
      <c r="O208" s="133">
        <v>1</v>
      </c>
      <c r="P208" s="133">
        <v>0</v>
      </c>
      <c r="Q208" s="133">
        <v>1</v>
      </c>
      <c r="R208" s="133">
        <v>0</v>
      </c>
      <c r="S208" s="133">
        <v>3</v>
      </c>
      <c r="T208" s="133">
        <v>4</v>
      </c>
      <c r="U208" s="133">
        <v>83</v>
      </c>
      <c r="V208" s="133">
        <v>329</v>
      </c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</row>
    <row r="209" spans="1:43" s="200" customFormat="1" x14ac:dyDescent="0.3">
      <c r="A209" s="323"/>
      <c r="B209" s="95" t="s">
        <v>644</v>
      </c>
      <c r="C209" s="133">
        <v>86</v>
      </c>
      <c r="D209" s="133">
        <v>176</v>
      </c>
      <c r="E209" s="133">
        <v>22</v>
      </c>
      <c r="F209" s="133">
        <v>284</v>
      </c>
      <c r="G209" s="133">
        <v>40</v>
      </c>
      <c r="H209" s="133">
        <v>1</v>
      </c>
      <c r="I209" s="133">
        <v>2</v>
      </c>
      <c r="J209" s="133">
        <v>89</v>
      </c>
      <c r="K209" s="133">
        <v>0</v>
      </c>
      <c r="L209" s="133">
        <v>1</v>
      </c>
      <c r="M209" s="133">
        <v>3</v>
      </c>
      <c r="N209" s="133">
        <v>19</v>
      </c>
      <c r="O209" s="133">
        <v>2</v>
      </c>
      <c r="P209" s="133">
        <v>1</v>
      </c>
      <c r="Q209" s="133">
        <v>2</v>
      </c>
      <c r="R209" s="133">
        <v>7</v>
      </c>
      <c r="S209" s="133">
        <v>0</v>
      </c>
      <c r="T209" s="133">
        <v>52</v>
      </c>
      <c r="U209" s="133">
        <v>178</v>
      </c>
      <c r="V209" s="133">
        <v>502</v>
      </c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</row>
    <row r="210" spans="1:43" s="200" customFormat="1" x14ac:dyDescent="0.3">
      <c r="A210" s="308"/>
      <c r="B210" s="97" t="s">
        <v>86</v>
      </c>
      <c r="C210" s="134">
        <v>1900</v>
      </c>
      <c r="D210" s="134">
        <v>958</v>
      </c>
      <c r="E210" s="134">
        <v>1118</v>
      </c>
      <c r="F210" s="134">
        <v>3977</v>
      </c>
      <c r="G210" s="134">
        <v>889</v>
      </c>
      <c r="H210" s="134">
        <v>544</v>
      </c>
      <c r="I210" s="134">
        <v>159</v>
      </c>
      <c r="J210" s="134">
        <v>244</v>
      </c>
      <c r="K210" s="134">
        <v>122</v>
      </c>
      <c r="L210" s="134">
        <v>146</v>
      </c>
      <c r="M210" s="134">
        <v>132</v>
      </c>
      <c r="N210" s="134">
        <v>412</v>
      </c>
      <c r="O210" s="134">
        <v>191</v>
      </c>
      <c r="P210" s="134">
        <v>130</v>
      </c>
      <c r="Q210" s="134">
        <v>241</v>
      </c>
      <c r="R210" s="134">
        <v>348</v>
      </c>
      <c r="S210" s="134">
        <v>16</v>
      </c>
      <c r="T210" s="134">
        <v>122</v>
      </c>
      <c r="U210" s="134">
        <v>2807</v>
      </c>
      <c r="V210" s="134">
        <v>7674</v>
      </c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</row>
    <row r="211" spans="1:43" s="200" customFormat="1" x14ac:dyDescent="0.3">
      <c r="A211" s="307" t="s">
        <v>155</v>
      </c>
      <c r="B211" s="95" t="s">
        <v>651</v>
      </c>
      <c r="C211" s="133">
        <v>180</v>
      </c>
      <c r="D211" s="133">
        <v>17</v>
      </c>
      <c r="E211" s="133">
        <v>244</v>
      </c>
      <c r="F211" s="133">
        <v>441</v>
      </c>
      <c r="G211" s="133">
        <v>93</v>
      </c>
      <c r="H211" s="133">
        <v>42</v>
      </c>
      <c r="I211" s="133">
        <v>29</v>
      </c>
      <c r="J211" s="133">
        <v>19</v>
      </c>
      <c r="K211" s="133">
        <v>1</v>
      </c>
      <c r="L211" s="133">
        <v>6</v>
      </c>
      <c r="M211" s="133">
        <v>6</v>
      </c>
      <c r="N211" s="133">
        <v>5</v>
      </c>
      <c r="O211" s="133">
        <v>2</v>
      </c>
      <c r="P211" s="133">
        <v>3</v>
      </c>
      <c r="Q211" s="133">
        <v>7</v>
      </c>
      <c r="R211" s="133">
        <v>7</v>
      </c>
      <c r="S211" s="133">
        <v>5</v>
      </c>
      <c r="T211" s="133">
        <v>5</v>
      </c>
      <c r="U211" s="133">
        <v>136</v>
      </c>
      <c r="V211" s="133">
        <v>671</v>
      </c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</row>
    <row r="212" spans="1:43" s="200" customFormat="1" x14ac:dyDescent="0.3">
      <c r="A212" s="323"/>
      <c r="B212" s="95" t="s">
        <v>713</v>
      </c>
      <c r="C212" s="133">
        <v>300</v>
      </c>
      <c r="D212" s="133">
        <v>20</v>
      </c>
      <c r="E212" s="133">
        <v>515</v>
      </c>
      <c r="F212" s="133">
        <v>835</v>
      </c>
      <c r="G212" s="133">
        <v>67</v>
      </c>
      <c r="H212" s="133">
        <v>29</v>
      </c>
      <c r="I212" s="133">
        <v>49</v>
      </c>
      <c r="J212" s="133">
        <v>21</v>
      </c>
      <c r="K212" s="133">
        <v>18</v>
      </c>
      <c r="L212" s="133">
        <v>28</v>
      </c>
      <c r="M212" s="133">
        <v>51</v>
      </c>
      <c r="N212" s="133">
        <v>40</v>
      </c>
      <c r="O212" s="133">
        <v>27</v>
      </c>
      <c r="P212" s="133">
        <v>15</v>
      </c>
      <c r="Q212" s="133">
        <v>35</v>
      </c>
      <c r="R212" s="133">
        <v>57</v>
      </c>
      <c r="S212" s="133">
        <v>1</v>
      </c>
      <c r="T212" s="133">
        <v>1</v>
      </c>
      <c r="U212" s="133">
        <v>371</v>
      </c>
      <c r="V212" s="133">
        <v>1273</v>
      </c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</row>
    <row r="213" spans="1:43" s="200" customFormat="1" x14ac:dyDescent="0.3">
      <c r="A213" s="323"/>
      <c r="B213" s="95" t="s">
        <v>645</v>
      </c>
      <c r="C213" s="133">
        <v>146</v>
      </c>
      <c r="D213" s="133">
        <v>13</v>
      </c>
      <c r="E213" s="133">
        <v>90</v>
      </c>
      <c r="F213" s="133">
        <v>249</v>
      </c>
      <c r="G213" s="133">
        <v>88</v>
      </c>
      <c r="H213" s="133">
        <v>26</v>
      </c>
      <c r="I213" s="133">
        <v>5</v>
      </c>
      <c r="J213" s="133">
        <v>2</v>
      </c>
      <c r="K213" s="133">
        <v>0</v>
      </c>
      <c r="L213" s="133">
        <v>1</v>
      </c>
      <c r="M213" s="133">
        <v>5</v>
      </c>
      <c r="N213" s="133">
        <v>9</v>
      </c>
      <c r="O213" s="133">
        <v>33</v>
      </c>
      <c r="P213" s="133">
        <v>2</v>
      </c>
      <c r="Q213" s="133">
        <v>1</v>
      </c>
      <c r="R213" s="133">
        <v>3</v>
      </c>
      <c r="S213" s="133">
        <v>1</v>
      </c>
      <c r="T213" s="133">
        <v>8</v>
      </c>
      <c r="U213" s="133">
        <v>96</v>
      </c>
      <c r="V213" s="133">
        <v>432</v>
      </c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</row>
    <row r="214" spans="1:43" s="200" customFormat="1" x14ac:dyDescent="0.3">
      <c r="A214" s="323"/>
      <c r="B214" s="95" t="s">
        <v>714</v>
      </c>
      <c r="C214" s="133">
        <v>48</v>
      </c>
      <c r="D214" s="133">
        <v>4</v>
      </c>
      <c r="E214" s="133">
        <v>30</v>
      </c>
      <c r="F214" s="133">
        <v>82</v>
      </c>
      <c r="G214" s="133">
        <v>9</v>
      </c>
      <c r="H214" s="133">
        <v>7</v>
      </c>
      <c r="I214" s="133">
        <v>3</v>
      </c>
      <c r="J214" s="133">
        <v>1</v>
      </c>
      <c r="K214" s="133">
        <v>5</v>
      </c>
      <c r="L214" s="133">
        <v>1</v>
      </c>
      <c r="M214" s="133">
        <v>2</v>
      </c>
      <c r="N214" s="133">
        <v>470</v>
      </c>
      <c r="O214" s="133">
        <v>2</v>
      </c>
      <c r="P214" s="133">
        <v>1</v>
      </c>
      <c r="Q214" s="133">
        <v>3</v>
      </c>
      <c r="R214" s="133">
        <v>2</v>
      </c>
      <c r="S214" s="133">
        <v>0</v>
      </c>
      <c r="T214" s="133">
        <v>52</v>
      </c>
      <c r="U214" s="133">
        <v>550</v>
      </c>
      <c r="V214" s="133">
        <v>641</v>
      </c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</row>
    <row r="215" spans="1:43" s="200" customFormat="1" x14ac:dyDescent="0.3">
      <c r="A215" s="323"/>
      <c r="B215" s="95" t="s">
        <v>646</v>
      </c>
      <c r="C215" s="133">
        <v>157</v>
      </c>
      <c r="D215" s="133">
        <v>11</v>
      </c>
      <c r="E215" s="133">
        <v>304</v>
      </c>
      <c r="F215" s="133">
        <v>472</v>
      </c>
      <c r="G215" s="133">
        <v>28</v>
      </c>
      <c r="H215" s="133">
        <v>1</v>
      </c>
      <c r="I215" s="133">
        <v>27</v>
      </c>
      <c r="J215" s="133">
        <v>8</v>
      </c>
      <c r="K215" s="133">
        <v>4</v>
      </c>
      <c r="L215" s="133">
        <v>14</v>
      </c>
      <c r="M215" s="133">
        <v>24</v>
      </c>
      <c r="N215" s="133">
        <v>100</v>
      </c>
      <c r="O215" s="133">
        <v>31</v>
      </c>
      <c r="P215" s="133">
        <v>1</v>
      </c>
      <c r="Q215" s="133">
        <v>53</v>
      </c>
      <c r="R215" s="133">
        <v>4</v>
      </c>
      <c r="S215" s="133">
        <v>2</v>
      </c>
      <c r="T215" s="204">
        <v>110</v>
      </c>
      <c r="U215" s="133">
        <v>381</v>
      </c>
      <c r="V215" s="133">
        <v>881</v>
      </c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</row>
    <row r="216" spans="1:43" s="200" customFormat="1" x14ac:dyDescent="0.3">
      <c r="A216" s="323"/>
      <c r="B216" s="95" t="s">
        <v>650</v>
      </c>
      <c r="C216" s="133">
        <v>188</v>
      </c>
      <c r="D216" s="133">
        <v>45</v>
      </c>
      <c r="E216" s="133">
        <v>166</v>
      </c>
      <c r="F216" s="133">
        <v>399</v>
      </c>
      <c r="G216" s="133">
        <v>50</v>
      </c>
      <c r="H216" s="133">
        <v>70</v>
      </c>
      <c r="I216" s="133">
        <v>4</v>
      </c>
      <c r="J216" s="133">
        <v>1</v>
      </c>
      <c r="K216" s="133">
        <v>1</v>
      </c>
      <c r="L216" s="133">
        <v>0</v>
      </c>
      <c r="M216" s="133">
        <v>0</v>
      </c>
      <c r="N216" s="133">
        <v>6</v>
      </c>
      <c r="O216" s="133">
        <v>1</v>
      </c>
      <c r="P216" s="133">
        <v>7</v>
      </c>
      <c r="Q216" s="133">
        <v>24</v>
      </c>
      <c r="R216" s="133">
        <v>13</v>
      </c>
      <c r="S216" s="133">
        <v>4</v>
      </c>
      <c r="T216" s="133">
        <v>49</v>
      </c>
      <c r="U216" s="133">
        <v>181</v>
      </c>
      <c r="V216" s="133">
        <v>630</v>
      </c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</row>
    <row r="217" spans="1:43" s="200" customFormat="1" x14ac:dyDescent="0.3">
      <c r="A217" s="323"/>
      <c r="B217" s="95" t="s">
        <v>649</v>
      </c>
      <c r="C217" s="133">
        <v>91</v>
      </c>
      <c r="D217" s="133">
        <v>12</v>
      </c>
      <c r="E217" s="133">
        <v>96</v>
      </c>
      <c r="F217" s="133">
        <v>199</v>
      </c>
      <c r="G217" s="133">
        <v>9</v>
      </c>
      <c r="H217" s="133">
        <v>26</v>
      </c>
      <c r="I217" s="133">
        <v>3</v>
      </c>
      <c r="J217" s="133">
        <v>1</v>
      </c>
      <c r="K217" s="133">
        <v>2</v>
      </c>
      <c r="L217" s="133">
        <v>8</v>
      </c>
      <c r="M217" s="133">
        <v>3</v>
      </c>
      <c r="N217" s="133">
        <v>8</v>
      </c>
      <c r="O217" s="133">
        <v>8</v>
      </c>
      <c r="P217" s="133" t="s">
        <v>65</v>
      </c>
      <c r="Q217" s="133">
        <v>15</v>
      </c>
      <c r="R217" s="133">
        <v>6</v>
      </c>
      <c r="S217" s="133" t="s">
        <v>65</v>
      </c>
      <c r="T217" s="133">
        <v>0</v>
      </c>
      <c r="U217" s="133">
        <v>81</v>
      </c>
      <c r="V217" s="133">
        <v>289</v>
      </c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</row>
    <row r="218" spans="1:43" s="200" customFormat="1" x14ac:dyDescent="0.3">
      <c r="A218" s="323"/>
      <c r="B218" s="95" t="s">
        <v>715</v>
      </c>
      <c r="C218" s="133">
        <v>190</v>
      </c>
      <c r="D218" s="133">
        <v>11</v>
      </c>
      <c r="E218" s="133">
        <v>276</v>
      </c>
      <c r="F218" s="133">
        <v>478</v>
      </c>
      <c r="G218" s="133">
        <v>88</v>
      </c>
      <c r="H218" s="133">
        <v>20</v>
      </c>
      <c r="I218" s="133">
        <v>54</v>
      </c>
      <c r="J218" s="133">
        <v>9</v>
      </c>
      <c r="K218" s="133">
        <v>4</v>
      </c>
      <c r="L218" s="133">
        <v>14</v>
      </c>
      <c r="M218" s="133">
        <v>6</v>
      </c>
      <c r="N218" s="133">
        <v>306</v>
      </c>
      <c r="O218" s="133">
        <v>57</v>
      </c>
      <c r="P218" s="204">
        <v>11</v>
      </c>
      <c r="Q218" s="133">
        <v>11</v>
      </c>
      <c r="R218" s="133">
        <v>33</v>
      </c>
      <c r="S218" s="204">
        <v>1</v>
      </c>
      <c r="T218" s="133">
        <v>1</v>
      </c>
      <c r="U218" s="133">
        <v>528</v>
      </c>
      <c r="V218" s="133">
        <v>1094</v>
      </c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</row>
    <row r="219" spans="1:43" s="200" customFormat="1" x14ac:dyDescent="0.3">
      <c r="A219" s="323"/>
      <c r="B219" s="95" t="s">
        <v>716</v>
      </c>
      <c r="C219" s="133">
        <v>180</v>
      </c>
      <c r="D219" s="133">
        <v>40</v>
      </c>
      <c r="E219" s="133">
        <v>246</v>
      </c>
      <c r="F219" s="133">
        <v>465</v>
      </c>
      <c r="G219" s="133">
        <v>259</v>
      </c>
      <c r="H219" s="133">
        <v>30</v>
      </c>
      <c r="I219" s="133">
        <v>23</v>
      </c>
      <c r="J219" s="133">
        <v>3</v>
      </c>
      <c r="K219" s="133">
        <v>28</v>
      </c>
      <c r="L219" s="133">
        <v>18</v>
      </c>
      <c r="M219" s="133">
        <v>13</v>
      </c>
      <c r="N219" s="133">
        <v>18</v>
      </c>
      <c r="O219" s="133">
        <v>9</v>
      </c>
      <c r="P219" s="133">
        <v>1</v>
      </c>
      <c r="Q219" s="133">
        <v>14</v>
      </c>
      <c r="R219" s="133">
        <v>11</v>
      </c>
      <c r="S219" s="133">
        <v>0</v>
      </c>
      <c r="T219" s="133" t="s">
        <v>65</v>
      </c>
      <c r="U219" s="133">
        <v>166</v>
      </c>
      <c r="V219" s="133">
        <v>891</v>
      </c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</row>
    <row r="220" spans="1:43" s="200" customFormat="1" x14ac:dyDescent="0.3">
      <c r="A220" s="323"/>
      <c r="B220" s="95" t="s">
        <v>647</v>
      </c>
      <c r="C220" s="133">
        <v>12</v>
      </c>
      <c r="D220" s="133">
        <v>6</v>
      </c>
      <c r="E220" s="133">
        <v>892</v>
      </c>
      <c r="F220" s="133">
        <v>910</v>
      </c>
      <c r="G220" s="133">
        <v>97</v>
      </c>
      <c r="H220" s="133">
        <v>16</v>
      </c>
      <c r="I220" s="133">
        <v>7</v>
      </c>
      <c r="J220" s="133" t="s">
        <v>65</v>
      </c>
      <c r="K220" s="133">
        <v>14</v>
      </c>
      <c r="L220" s="133" t="s">
        <v>65</v>
      </c>
      <c r="M220" s="133">
        <v>3</v>
      </c>
      <c r="N220" s="133">
        <v>2</v>
      </c>
      <c r="O220" s="133">
        <v>2</v>
      </c>
      <c r="P220" s="133">
        <v>9</v>
      </c>
      <c r="Q220" s="133">
        <v>1</v>
      </c>
      <c r="R220" s="133">
        <v>1</v>
      </c>
      <c r="S220" s="133" t="s">
        <v>65</v>
      </c>
      <c r="T220" s="204" t="s">
        <v>65</v>
      </c>
      <c r="U220" s="133">
        <v>56</v>
      </c>
      <c r="V220" s="133">
        <v>1063</v>
      </c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</row>
    <row r="221" spans="1:43" s="200" customFormat="1" x14ac:dyDescent="0.3">
      <c r="A221" s="323"/>
      <c r="B221" s="95" t="s">
        <v>648</v>
      </c>
      <c r="C221" s="133">
        <v>61</v>
      </c>
      <c r="D221" s="133">
        <v>82</v>
      </c>
      <c r="E221" s="133">
        <v>18</v>
      </c>
      <c r="F221" s="133">
        <v>161</v>
      </c>
      <c r="G221" s="133">
        <v>61</v>
      </c>
      <c r="H221" s="133">
        <v>1</v>
      </c>
      <c r="I221" s="133">
        <v>1</v>
      </c>
      <c r="J221" s="204">
        <v>1</v>
      </c>
      <c r="K221" s="133" t="s">
        <v>65</v>
      </c>
      <c r="L221" s="204" t="s">
        <v>65</v>
      </c>
      <c r="M221" s="133">
        <v>0</v>
      </c>
      <c r="N221" s="133">
        <v>0</v>
      </c>
      <c r="O221" s="133" t="s">
        <v>65</v>
      </c>
      <c r="P221" s="133" t="s">
        <v>65</v>
      </c>
      <c r="Q221" s="133">
        <v>0</v>
      </c>
      <c r="R221" s="133">
        <v>6</v>
      </c>
      <c r="S221" s="204" t="s">
        <v>65</v>
      </c>
      <c r="T221" s="204">
        <v>12</v>
      </c>
      <c r="U221" s="133">
        <v>22</v>
      </c>
      <c r="V221" s="133">
        <v>244</v>
      </c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</row>
    <row r="222" spans="1:43" s="200" customFormat="1" x14ac:dyDescent="0.3">
      <c r="A222" s="323"/>
      <c r="B222" s="95" t="s">
        <v>717</v>
      </c>
      <c r="C222" s="133">
        <v>58</v>
      </c>
      <c r="D222" s="133">
        <v>4</v>
      </c>
      <c r="E222" s="133">
        <v>40</v>
      </c>
      <c r="F222" s="133">
        <v>102</v>
      </c>
      <c r="G222" s="133">
        <v>126</v>
      </c>
      <c r="H222" s="133">
        <v>75</v>
      </c>
      <c r="I222" s="133" t="s">
        <v>65</v>
      </c>
      <c r="J222" s="133">
        <v>0</v>
      </c>
      <c r="K222" s="204">
        <v>0</v>
      </c>
      <c r="L222" s="204">
        <v>3</v>
      </c>
      <c r="M222" s="133">
        <v>3</v>
      </c>
      <c r="N222" s="133">
        <v>0</v>
      </c>
      <c r="O222" s="204">
        <v>3</v>
      </c>
      <c r="P222" s="204">
        <v>4</v>
      </c>
      <c r="Q222" s="133">
        <v>0</v>
      </c>
      <c r="R222" s="133">
        <v>6</v>
      </c>
      <c r="S222" s="204">
        <v>1</v>
      </c>
      <c r="T222" s="133">
        <v>9</v>
      </c>
      <c r="U222" s="133">
        <v>106</v>
      </c>
      <c r="V222" s="133">
        <v>333</v>
      </c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</row>
    <row r="223" spans="1:43" s="200" customFormat="1" x14ac:dyDescent="0.3">
      <c r="A223" s="323"/>
      <c r="B223" s="95" t="s">
        <v>652</v>
      </c>
      <c r="C223" s="133">
        <v>83</v>
      </c>
      <c r="D223" s="133">
        <v>3</v>
      </c>
      <c r="E223" s="133">
        <v>685</v>
      </c>
      <c r="F223" s="133">
        <v>771</v>
      </c>
      <c r="G223" s="133">
        <v>1408</v>
      </c>
      <c r="H223" s="133">
        <v>15</v>
      </c>
      <c r="I223" s="204">
        <v>6</v>
      </c>
      <c r="J223" s="133">
        <v>3</v>
      </c>
      <c r="K223" s="133">
        <v>4</v>
      </c>
      <c r="L223" s="133">
        <v>4</v>
      </c>
      <c r="M223" s="133">
        <v>6</v>
      </c>
      <c r="N223" s="133">
        <v>5</v>
      </c>
      <c r="O223" s="133">
        <v>81</v>
      </c>
      <c r="P223" s="133">
        <v>1</v>
      </c>
      <c r="Q223" s="133">
        <v>4</v>
      </c>
      <c r="R223" s="133">
        <v>2</v>
      </c>
      <c r="S223" s="133">
        <v>1</v>
      </c>
      <c r="T223" s="133" t="s">
        <v>65</v>
      </c>
      <c r="U223" s="133">
        <v>130</v>
      </c>
      <c r="V223" s="133">
        <v>2309</v>
      </c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</row>
    <row r="224" spans="1:43" s="200" customFormat="1" x14ac:dyDescent="0.3">
      <c r="A224" s="308"/>
      <c r="B224" s="97" t="s">
        <v>86</v>
      </c>
      <c r="C224" s="134">
        <v>1693</v>
      </c>
      <c r="D224" s="134">
        <v>269</v>
      </c>
      <c r="E224" s="134">
        <v>3602</v>
      </c>
      <c r="F224" s="134">
        <v>5564</v>
      </c>
      <c r="G224" s="134">
        <v>2383</v>
      </c>
      <c r="H224" s="134">
        <v>358</v>
      </c>
      <c r="I224" s="134">
        <v>212</v>
      </c>
      <c r="J224" s="134">
        <v>67</v>
      </c>
      <c r="K224" s="134">
        <v>81</v>
      </c>
      <c r="L224" s="134">
        <v>98</v>
      </c>
      <c r="M224" s="134">
        <v>123</v>
      </c>
      <c r="N224" s="134">
        <v>969</v>
      </c>
      <c r="O224" s="134">
        <v>257</v>
      </c>
      <c r="P224" s="134">
        <v>53</v>
      </c>
      <c r="Q224" s="134">
        <v>167</v>
      </c>
      <c r="R224" s="134">
        <v>152</v>
      </c>
      <c r="S224" s="134">
        <v>17</v>
      </c>
      <c r="T224" s="134">
        <v>249</v>
      </c>
      <c r="U224" s="134">
        <v>2804</v>
      </c>
      <c r="V224" s="134">
        <v>10751</v>
      </c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</row>
    <row r="225" spans="1:43" s="200" customFormat="1" x14ac:dyDescent="0.3">
      <c r="A225" s="307" t="s">
        <v>653</v>
      </c>
      <c r="B225" s="95" t="s">
        <v>657</v>
      </c>
      <c r="C225" s="133">
        <v>254</v>
      </c>
      <c r="D225" s="133">
        <v>7</v>
      </c>
      <c r="E225" s="133">
        <v>39</v>
      </c>
      <c r="F225" s="133">
        <v>300</v>
      </c>
      <c r="G225" s="133">
        <v>54</v>
      </c>
      <c r="H225" s="133">
        <v>12</v>
      </c>
      <c r="I225" s="133">
        <v>30</v>
      </c>
      <c r="J225" s="133">
        <v>6</v>
      </c>
      <c r="K225" s="204">
        <v>15</v>
      </c>
      <c r="L225" s="133">
        <v>4</v>
      </c>
      <c r="M225" s="204">
        <v>1</v>
      </c>
      <c r="N225" s="133">
        <v>0</v>
      </c>
      <c r="O225" s="133">
        <v>3</v>
      </c>
      <c r="P225" s="204" t="s">
        <v>65</v>
      </c>
      <c r="Q225" s="133">
        <v>13</v>
      </c>
      <c r="R225" s="133">
        <v>0</v>
      </c>
      <c r="S225" s="133">
        <v>1</v>
      </c>
      <c r="T225" s="204">
        <v>2</v>
      </c>
      <c r="U225" s="133">
        <v>88</v>
      </c>
      <c r="V225" s="133">
        <v>443</v>
      </c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</row>
    <row r="226" spans="1:43" s="200" customFormat="1" x14ac:dyDescent="0.3">
      <c r="A226" s="323"/>
      <c r="B226" s="95" t="s">
        <v>654</v>
      </c>
      <c r="C226" s="133">
        <v>119</v>
      </c>
      <c r="D226" s="133">
        <v>0</v>
      </c>
      <c r="E226" s="133">
        <v>19</v>
      </c>
      <c r="F226" s="133">
        <v>139</v>
      </c>
      <c r="G226" s="133">
        <v>38</v>
      </c>
      <c r="H226" s="133">
        <v>5</v>
      </c>
      <c r="I226" s="133">
        <v>24</v>
      </c>
      <c r="J226" s="133">
        <v>2</v>
      </c>
      <c r="K226" s="133">
        <v>9</v>
      </c>
      <c r="L226" s="133">
        <v>0</v>
      </c>
      <c r="M226" s="133">
        <v>3</v>
      </c>
      <c r="N226" s="133">
        <v>3</v>
      </c>
      <c r="O226" s="133">
        <v>4</v>
      </c>
      <c r="P226" s="204">
        <v>0</v>
      </c>
      <c r="Q226" s="133">
        <v>5</v>
      </c>
      <c r="R226" s="133">
        <v>6</v>
      </c>
      <c r="S226" s="133" t="s">
        <v>65</v>
      </c>
      <c r="T226" s="133" t="s">
        <v>65</v>
      </c>
      <c r="U226" s="133">
        <v>61</v>
      </c>
      <c r="V226" s="133">
        <v>238</v>
      </c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</row>
    <row r="227" spans="1:43" s="200" customFormat="1" x14ac:dyDescent="0.3">
      <c r="A227" s="323"/>
      <c r="B227" s="95" t="s">
        <v>656</v>
      </c>
      <c r="C227" s="133">
        <v>151</v>
      </c>
      <c r="D227" s="133">
        <v>2</v>
      </c>
      <c r="E227" s="133">
        <v>34</v>
      </c>
      <c r="F227" s="133">
        <v>187</v>
      </c>
      <c r="G227" s="133">
        <v>39</v>
      </c>
      <c r="H227" s="133">
        <v>7</v>
      </c>
      <c r="I227" s="133">
        <v>24</v>
      </c>
      <c r="J227" s="133">
        <v>15</v>
      </c>
      <c r="K227" s="133">
        <v>0</v>
      </c>
      <c r="L227" s="133">
        <v>8</v>
      </c>
      <c r="M227" s="133">
        <v>6</v>
      </c>
      <c r="N227" s="133">
        <v>4</v>
      </c>
      <c r="O227" s="133">
        <v>3</v>
      </c>
      <c r="P227" s="133">
        <v>0</v>
      </c>
      <c r="Q227" s="133">
        <v>5</v>
      </c>
      <c r="R227" s="133">
        <v>3</v>
      </c>
      <c r="S227" s="204">
        <v>1</v>
      </c>
      <c r="T227" s="204" t="s">
        <v>65</v>
      </c>
      <c r="U227" s="133">
        <v>75</v>
      </c>
      <c r="V227" s="133">
        <v>302</v>
      </c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</row>
    <row r="228" spans="1:43" s="200" customFormat="1" x14ac:dyDescent="0.3">
      <c r="A228" s="323"/>
      <c r="B228" s="95" t="s">
        <v>655</v>
      </c>
      <c r="C228" s="133">
        <v>170</v>
      </c>
      <c r="D228" s="133">
        <v>1</v>
      </c>
      <c r="E228" s="133">
        <v>45</v>
      </c>
      <c r="F228" s="133">
        <v>215</v>
      </c>
      <c r="G228" s="133">
        <v>78</v>
      </c>
      <c r="H228" s="133">
        <v>2</v>
      </c>
      <c r="I228" s="133">
        <v>7</v>
      </c>
      <c r="J228" s="133">
        <v>24</v>
      </c>
      <c r="K228" s="133">
        <v>1</v>
      </c>
      <c r="L228" s="133">
        <v>12</v>
      </c>
      <c r="M228" s="133">
        <v>3</v>
      </c>
      <c r="N228" s="133">
        <v>1</v>
      </c>
      <c r="O228" s="133">
        <v>7</v>
      </c>
      <c r="P228" s="133" t="s">
        <v>65</v>
      </c>
      <c r="Q228" s="133">
        <v>1</v>
      </c>
      <c r="R228" s="133">
        <v>1</v>
      </c>
      <c r="S228" s="133">
        <v>0</v>
      </c>
      <c r="T228" s="204">
        <v>1</v>
      </c>
      <c r="U228" s="133">
        <v>59</v>
      </c>
      <c r="V228" s="133">
        <v>353</v>
      </c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</row>
    <row r="229" spans="1:43" s="200" customFormat="1" x14ac:dyDescent="0.3">
      <c r="A229" s="323"/>
      <c r="B229" s="95" t="s">
        <v>658</v>
      </c>
      <c r="C229" s="133">
        <v>15</v>
      </c>
      <c r="D229" s="133">
        <v>1</v>
      </c>
      <c r="E229" s="133">
        <v>2</v>
      </c>
      <c r="F229" s="133">
        <v>18</v>
      </c>
      <c r="G229" s="133">
        <v>4</v>
      </c>
      <c r="H229" s="133">
        <v>2</v>
      </c>
      <c r="I229" s="133">
        <v>475</v>
      </c>
      <c r="J229" s="133">
        <v>1</v>
      </c>
      <c r="K229" s="133" t="s">
        <v>65</v>
      </c>
      <c r="L229" s="133">
        <v>7</v>
      </c>
      <c r="M229" s="133" t="s">
        <v>65</v>
      </c>
      <c r="N229" s="133">
        <v>0</v>
      </c>
      <c r="O229" s="133">
        <v>1</v>
      </c>
      <c r="P229" s="204" t="s">
        <v>65</v>
      </c>
      <c r="Q229" s="133">
        <v>0</v>
      </c>
      <c r="R229" s="133">
        <v>0</v>
      </c>
      <c r="S229" s="133">
        <v>0</v>
      </c>
      <c r="T229" s="133" t="s">
        <v>65</v>
      </c>
      <c r="U229" s="133">
        <v>486</v>
      </c>
      <c r="V229" s="133">
        <v>508</v>
      </c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</row>
    <row r="230" spans="1:43" s="200" customFormat="1" x14ac:dyDescent="0.3">
      <c r="A230" s="308"/>
      <c r="B230" s="97" t="s">
        <v>86</v>
      </c>
      <c r="C230" s="134">
        <v>709</v>
      </c>
      <c r="D230" s="134">
        <v>11</v>
      </c>
      <c r="E230" s="134">
        <v>138</v>
      </c>
      <c r="F230" s="134">
        <v>859</v>
      </c>
      <c r="G230" s="134">
        <v>214</v>
      </c>
      <c r="H230" s="134">
        <v>28</v>
      </c>
      <c r="I230" s="134">
        <v>559</v>
      </c>
      <c r="J230" s="134">
        <v>49</v>
      </c>
      <c r="K230" s="134">
        <v>26</v>
      </c>
      <c r="L230" s="134">
        <v>31</v>
      </c>
      <c r="M230" s="134">
        <v>13</v>
      </c>
      <c r="N230" s="134">
        <v>9</v>
      </c>
      <c r="O230" s="134">
        <v>16</v>
      </c>
      <c r="P230" s="134">
        <v>1</v>
      </c>
      <c r="Q230" s="134">
        <v>24</v>
      </c>
      <c r="R230" s="134">
        <v>11</v>
      </c>
      <c r="S230" s="134">
        <v>1</v>
      </c>
      <c r="T230" s="134">
        <v>3</v>
      </c>
      <c r="U230" s="134">
        <v>770</v>
      </c>
      <c r="V230" s="134">
        <v>1844</v>
      </c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</row>
    <row r="231" spans="1:43" s="200" customFormat="1" x14ac:dyDescent="0.3">
      <c r="A231" s="307" t="s">
        <v>772</v>
      </c>
      <c r="B231" s="95" t="s">
        <v>660</v>
      </c>
      <c r="C231" s="133">
        <v>39</v>
      </c>
      <c r="D231" s="133">
        <v>3</v>
      </c>
      <c r="E231" s="133">
        <v>15</v>
      </c>
      <c r="F231" s="133">
        <v>57</v>
      </c>
      <c r="G231" s="133">
        <v>17</v>
      </c>
      <c r="H231" s="133">
        <v>1</v>
      </c>
      <c r="I231" s="133">
        <v>1</v>
      </c>
      <c r="J231" s="133">
        <v>6</v>
      </c>
      <c r="K231" s="133">
        <v>1</v>
      </c>
      <c r="L231" s="133">
        <v>0</v>
      </c>
      <c r="M231" s="133">
        <v>1</v>
      </c>
      <c r="N231" s="133">
        <v>1</v>
      </c>
      <c r="O231" s="133">
        <v>0</v>
      </c>
      <c r="P231" s="133">
        <v>0</v>
      </c>
      <c r="Q231" s="133">
        <v>0</v>
      </c>
      <c r="R231" s="133">
        <v>1</v>
      </c>
      <c r="S231" s="133">
        <v>0</v>
      </c>
      <c r="T231" s="204" t="s">
        <v>65</v>
      </c>
      <c r="U231" s="133">
        <v>12</v>
      </c>
      <c r="V231" s="133">
        <v>86</v>
      </c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</row>
    <row r="232" spans="1:43" s="200" customFormat="1" x14ac:dyDescent="0.3">
      <c r="A232" s="323"/>
      <c r="B232" s="95" t="s">
        <v>659</v>
      </c>
      <c r="C232" s="133">
        <v>51</v>
      </c>
      <c r="D232" s="133">
        <v>3</v>
      </c>
      <c r="E232" s="133">
        <v>11</v>
      </c>
      <c r="F232" s="133">
        <v>65</v>
      </c>
      <c r="G232" s="133">
        <v>16</v>
      </c>
      <c r="H232" s="133">
        <v>4</v>
      </c>
      <c r="I232" s="204">
        <v>2</v>
      </c>
      <c r="J232" s="133">
        <v>5</v>
      </c>
      <c r="K232" s="133">
        <v>4</v>
      </c>
      <c r="L232" s="133">
        <v>1</v>
      </c>
      <c r="M232" s="133">
        <v>1</v>
      </c>
      <c r="N232" s="133">
        <v>2</v>
      </c>
      <c r="O232" s="204">
        <v>0</v>
      </c>
      <c r="P232" s="133">
        <v>0</v>
      </c>
      <c r="Q232" s="133">
        <v>3</v>
      </c>
      <c r="R232" s="133">
        <v>0</v>
      </c>
      <c r="S232" s="133" t="s">
        <v>65</v>
      </c>
      <c r="T232" s="133">
        <v>2</v>
      </c>
      <c r="U232" s="133">
        <v>26</v>
      </c>
      <c r="V232" s="133">
        <v>107</v>
      </c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</row>
    <row r="233" spans="1:43" s="200" customFormat="1" x14ac:dyDescent="0.3">
      <c r="A233" s="323"/>
      <c r="B233" s="95" t="s">
        <v>661</v>
      </c>
      <c r="C233" s="133">
        <v>7</v>
      </c>
      <c r="D233" s="133">
        <v>2</v>
      </c>
      <c r="E233" s="133">
        <v>7</v>
      </c>
      <c r="F233" s="133">
        <v>16</v>
      </c>
      <c r="G233" s="133">
        <v>1</v>
      </c>
      <c r="H233" s="133">
        <v>2</v>
      </c>
      <c r="I233" s="133" t="s">
        <v>65</v>
      </c>
      <c r="J233" s="133">
        <v>1</v>
      </c>
      <c r="K233" s="133">
        <v>3</v>
      </c>
      <c r="L233" s="133">
        <v>1</v>
      </c>
      <c r="M233" s="133">
        <v>2</v>
      </c>
      <c r="N233" s="133">
        <v>1</v>
      </c>
      <c r="O233" s="133" t="s">
        <v>65</v>
      </c>
      <c r="P233" s="133">
        <v>0</v>
      </c>
      <c r="Q233" s="133">
        <v>2</v>
      </c>
      <c r="R233" s="133">
        <v>1</v>
      </c>
      <c r="S233" s="204">
        <v>0</v>
      </c>
      <c r="T233" s="133">
        <v>1</v>
      </c>
      <c r="U233" s="133">
        <v>12</v>
      </c>
      <c r="V233" s="133">
        <v>29</v>
      </c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</row>
    <row r="234" spans="1:43" s="200" customFormat="1" x14ac:dyDescent="0.3">
      <c r="A234" s="308"/>
      <c r="B234" s="97" t="s">
        <v>86</v>
      </c>
      <c r="C234" s="134">
        <v>98</v>
      </c>
      <c r="D234" s="134">
        <v>7</v>
      </c>
      <c r="E234" s="134">
        <v>33</v>
      </c>
      <c r="F234" s="134">
        <v>138</v>
      </c>
      <c r="G234" s="134">
        <v>33</v>
      </c>
      <c r="H234" s="134">
        <v>7</v>
      </c>
      <c r="I234" s="134">
        <v>3</v>
      </c>
      <c r="J234" s="134">
        <v>12</v>
      </c>
      <c r="K234" s="134">
        <v>8</v>
      </c>
      <c r="L234" s="134">
        <v>2</v>
      </c>
      <c r="M234" s="134">
        <v>4</v>
      </c>
      <c r="N234" s="134">
        <v>4</v>
      </c>
      <c r="O234" s="134">
        <v>0</v>
      </c>
      <c r="P234" s="134">
        <v>0</v>
      </c>
      <c r="Q234" s="134">
        <v>5</v>
      </c>
      <c r="R234" s="134">
        <v>2</v>
      </c>
      <c r="S234" s="134">
        <v>0</v>
      </c>
      <c r="T234" s="134">
        <v>3</v>
      </c>
      <c r="U234" s="134">
        <v>50</v>
      </c>
      <c r="V234" s="134">
        <v>222</v>
      </c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</row>
    <row r="235" spans="1:43" s="200" customFormat="1" x14ac:dyDescent="0.3">
      <c r="A235" s="307" t="s">
        <v>151</v>
      </c>
      <c r="B235" s="95" t="s">
        <v>662</v>
      </c>
      <c r="C235" s="133">
        <v>2</v>
      </c>
      <c r="D235" s="133">
        <v>1</v>
      </c>
      <c r="E235" s="204" t="s">
        <v>65</v>
      </c>
      <c r="F235" s="133">
        <v>3</v>
      </c>
      <c r="G235" s="133">
        <v>1</v>
      </c>
      <c r="H235" s="133">
        <v>0</v>
      </c>
      <c r="I235" s="204" t="s">
        <v>65</v>
      </c>
      <c r="J235" s="204" t="s">
        <v>65</v>
      </c>
      <c r="K235" s="204" t="s">
        <v>65</v>
      </c>
      <c r="L235" s="204" t="s">
        <v>65</v>
      </c>
      <c r="M235" s="204" t="s">
        <v>65</v>
      </c>
      <c r="N235" s="204" t="s">
        <v>65</v>
      </c>
      <c r="O235" s="204" t="s">
        <v>65</v>
      </c>
      <c r="P235" s="204" t="s">
        <v>65</v>
      </c>
      <c r="Q235" s="133">
        <v>0</v>
      </c>
      <c r="R235" s="133">
        <v>0</v>
      </c>
      <c r="S235" s="204" t="s">
        <v>65</v>
      </c>
      <c r="T235" s="204" t="s">
        <v>65</v>
      </c>
      <c r="U235" s="133">
        <v>1</v>
      </c>
      <c r="V235" s="133">
        <v>4</v>
      </c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</row>
    <row r="236" spans="1:43" s="200" customFormat="1" ht="16.5" customHeight="1" x14ac:dyDescent="0.3">
      <c r="A236" s="323"/>
      <c r="B236" s="95" t="s">
        <v>718</v>
      </c>
      <c r="C236" s="133">
        <v>1076</v>
      </c>
      <c r="D236" s="133">
        <v>25</v>
      </c>
      <c r="E236" s="133">
        <v>30</v>
      </c>
      <c r="F236" s="133">
        <v>1131</v>
      </c>
      <c r="G236" s="133">
        <v>1485</v>
      </c>
      <c r="H236" s="133">
        <v>32</v>
      </c>
      <c r="I236" s="133">
        <v>3</v>
      </c>
      <c r="J236" s="133">
        <v>35</v>
      </c>
      <c r="K236" s="133">
        <v>8</v>
      </c>
      <c r="L236" s="133">
        <v>3</v>
      </c>
      <c r="M236" s="133">
        <v>465</v>
      </c>
      <c r="N236" s="133">
        <v>10</v>
      </c>
      <c r="O236" s="133">
        <v>1</v>
      </c>
      <c r="P236" s="133">
        <v>3</v>
      </c>
      <c r="Q236" s="133">
        <v>5</v>
      </c>
      <c r="R236" s="133">
        <v>52</v>
      </c>
      <c r="S236" s="133">
        <v>3</v>
      </c>
      <c r="T236" s="133">
        <v>407</v>
      </c>
      <c r="U236" s="133">
        <v>1025</v>
      </c>
      <c r="V236" s="133">
        <v>3641</v>
      </c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</row>
    <row r="237" spans="1:43" s="200" customFormat="1" x14ac:dyDescent="0.3">
      <c r="A237" s="323"/>
      <c r="B237" s="95" t="s">
        <v>719</v>
      </c>
      <c r="C237" s="133">
        <v>0</v>
      </c>
      <c r="D237" s="204" t="s">
        <v>65</v>
      </c>
      <c r="E237" s="204" t="s">
        <v>65</v>
      </c>
      <c r="F237" s="133">
        <v>0</v>
      </c>
      <c r="G237" s="204" t="s">
        <v>65</v>
      </c>
      <c r="H237" s="204" t="s">
        <v>65</v>
      </c>
      <c r="I237" s="204" t="s">
        <v>65</v>
      </c>
      <c r="J237" s="204" t="s">
        <v>65</v>
      </c>
      <c r="K237" s="204" t="s">
        <v>65</v>
      </c>
      <c r="L237" s="204" t="s">
        <v>65</v>
      </c>
      <c r="M237" s="204" t="s">
        <v>65</v>
      </c>
      <c r="N237" s="204" t="s">
        <v>65</v>
      </c>
      <c r="O237" s="204" t="s">
        <v>65</v>
      </c>
      <c r="P237" s="204" t="s">
        <v>65</v>
      </c>
      <c r="Q237" s="204" t="s">
        <v>65</v>
      </c>
      <c r="R237" s="204" t="s">
        <v>65</v>
      </c>
      <c r="S237" s="204" t="s">
        <v>65</v>
      </c>
      <c r="T237" s="204" t="s">
        <v>65</v>
      </c>
      <c r="U237" s="204">
        <v>0</v>
      </c>
      <c r="V237" s="133">
        <v>0</v>
      </c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</row>
    <row r="238" spans="1:43" s="200" customFormat="1" x14ac:dyDescent="0.3">
      <c r="A238" s="323"/>
      <c r="B238" s="95" t="s">
        <v>721</v>
      </c>
      <c r="C238" s="133">
        <v>6</v>
      </c>
      <c r="D238" s="133" t="s">
        <v>65</v>
      </c>
      <c r="E238" s="133">
        <v>0</v>
      </c>
      <c r="F238" s="133">
        <v>7</v>
      </c>
      <c r="G238" s="133">
        <v>0</v>
      </c>
      <c r="H238" s="133" t="s">
        <v>65</v>
      </c>
      <c r="I238" s="133" t="s">
        <v>65</v>
      </c>
      <c r="J238" s="133" t="s">
        <v>65</v>
      </c>
      <c r="K238" s="133" t="s">
        <v>65</v>
      </c>
      <c r="L238" s="133" t="s">
        <v>65</v>
      </c>
      <c r="M238" s="133" t="s">
        <v>65</v>
      </c>
      <c r="N238" s="133">
        <v>0</v>
      </c>
      <c r="O238" s="133">
        <v>0</v>
      </c>
      <c r="P238" s="133" t="s">
        <v>65</v>
      </c>
      <c r="Q238" s="133" t="s">
        <v>65</v>
      </c>
      <c r="R238" s="133">
        <v>0</v>
      </c>
      <c r="S238" s="133" t="s">
        <v>65</v>
      </c>
      <c r="T238" s="133" t="s">
        <v>65</v>
      </c>
      <c r="U238" s="133">
        <v>1</v>
      </c>
      <c r="V238" s="133">
        <v>7</v>
      </c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</row>
    <row r="239" spans="1:43" s="200" customFormat="1" x14ac:dyDescent="0.3">
      <c r="A239" s="323"/>
      <c r="B239" s="95" t="s">
        <v>663</v>
      </c>
      <c r="C239" s="133">
        <v>111</v>
      </c>
      <c r="D239" s="204">
        <v>1</v>
      </c>
      <c r="E239" s="133">
        <v>32</v>
      </c>
      <c r="F239" s="133">
        <v>144</v>
      </c>
      <c r="G239" s="133">
        <v>94</v>
      </c>
      <c r="H239" s="204">
        <v>0</v>
      </c>
      <c r="I239" s="204">
        <v>1</v>
      </c>
      <c r="J239" s="204">
        <v>1</v>
      </c>
      <c r="K239" s="204">
        <v>39</v>
      </c>
      <c r="L239" s="204">
        <v>8</v>
      </c>
      <c r="M239" s="204">
        <v>6</v>
      </c>
      <c r="N239" s="133">
        <v>7</v>
      </c>
      <c r="O239" s="133" t="s">
        <v>65</v>
      </c>
      <c r="P239" s="204" t="s">
        <v>65</v>
      </c>
      <c r="Q239" s="204" t="s">
        <v>65</v>
      </c>
      <c r="R239" s="133">
        <v>0</v>
      </c>
      <c r="S239" s="204">
        <v>3</v>
      </c>
      <c r="T239" s="204">
        <v>0</v>
      </c>
      <c r="U239" s="133">
        <v>65</v>
      </c>
      <c r="V239" s="133">
        <v>303</v>
      </c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</row>
    <row r="240" spans="1:43" s="200" customFormat="1" ht="16.5" customHeight="1" x14ac:dyDescent="0.3">
      <c r="A240" s="323"/>
      <c r="B240" s="95" t="s">
        <v>720</v>
      </c>
      <c r="C240" s="133">
        <v>4088</v>
      </c>
      <c r="D240" s="133">
        <v>128</v>
      </c>
      <c r="E240" s="133">
        <v>1382</v>
      </c>
      <c r="F240" s="133">
        <v>5598</v>
      </c>
      <c r="G240" s="133">
        <v>2139</v>
      </c>
      <c r="H240" s="133">
        <v>1682</v>
      </c>
      <c r="I240" s="133">
        <v>1193</v>
      </c>
      <c r="J240" s="133">
        <v>665</v>
      </c>
      <c r="K240" s="133">
        <v>731</v>
      </c>
      <c r="L240" s="133">
        <v>599</v>
      </c>
      <c r="M240" s="133">
        <v>745</v>
      </c>
      <c r="N240" s="133">
        <v>1509</v>
      </c>
      <c r="O240" s="204">
        <v>570</v>
      </c>
      <c r="P240" s="204">
        <v>168</v>
      </c>
      <c r="Q240" s="204">
        <v>823</v>
      </c>
      <c r="R240" s="133">
        <v>591</v>
      </c>
      <c r="S240" s="133">
        <v>183</v>
      </c>
      <c r="T240" s="133">
        <v>480</v>
      </c>
      <c r="U240" s="133">
        <v>9939</v>
      </c>
      <c r="V240" s="133">
        <v>17676</v>
      </c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</row>
    <row r="241" spans="1:43" s="200" customFormat="1" x14ac:dyDescent="0.3">
      <c r="A241" s="308"/>
      <c r="B241" s="97" t="s">
        <v>86</v>
      </c>
      <c r="C241" s="134">
        <v>5284</v>
      </c>
      <c r="D241" s="134">
        <v>154</v>
      </c>
      <c r="E241" s="134">
        <v>1444</v>
      </c>
      <c r="F241" s="134">
        <v>6883</v>
      </c>
      <c r="G241" s="134">
        <v>3719</v>
      </c>
      <c r="H241" s="134">
        <v>1713</v>
      </c>
      <c r="I241" s="134">
        <v>1196</v>
      </c>
      <c r="J241" s="134">
        <v>700</v>
      </c>
      <c r="K241" s="134">
        <v>779</v>
      </c>
      <c r="L241" s="134">
        <v>611</v>
      </c>
      <c r="M241" s="134">
        <v>1215</v>
      </c>
      <c r="N241" s="134">
        <v>1526</v>
      </c>
      <c r="O241" s="134">
        <v>571</v>
      </c>
      <c r="P241" s="134">
        <v>171</v>
      </c>
      <c r="Q241" s="134">
        <v>829</v>
      </c>
      <c r="R241" s="134">
        <v>643</v>
      </c>
      <c r="S241" s="134">
        <v>188</v>
      </c>
      <c r="T241" s="134">
        <v>887</v>
      </c>
      <c r="U241" s="134">
        <v>11030</v>
      </c>
      <c r="V241" s="134">
        <v>21632</v>
      </c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</row>
    <row r="242" spans="1:43" s="200" customFormat="1" x14ac:dyDescent="0.3">
      <c r="A242" s="307" t="s">
        <v>773</v>
      </c>
      <c r="B242" s="95" t="s">
        <v>723</v>
      </c>
      <c r="C242" s="133">
        <v>0</v>
      </c>
      <c r="D242" s="204" t="s">
        <v>65</v>
      </c>
      <c r="E242" s="204" t="s">
        <v>65</v>
      </c>
      <c r="F242" s="133">
        <v>0</v>
      </c>
      <c r="G242" s="204" t="s">
        <v>65</v>
      </c>
      <c r="H242" s="133" t="s">
        <v>65</v>
      </c>
      <c r="I242" s="204" t="s">
        <v>65</v>
      </c>
      <c r="J242" s="133" t="s">
        <v>65</v>
      </c>
      <c r="K242" s="204" t="s">
        <v>65</v>
      </c>
      <c r="L242" s="133" t="s">
        <v>65</v>
      </c>
      <c r="M242" s="204" t="s">
        <v>65</v>
      </c>
      <c r="N242" s="204" t="s">
        <v>65</v>
      </c>
      <c r="O242" s="204" t="s">
        <v>65</v>
      </c>
      <c r="P242" s="204" t="s">
        <v>65</v>
      </c>
      <c r="Q242" s="204" t="s">
        <v>65</v>
      </c>
      <c r="R242" s="204" t="s">
        <v>65</v>
      </c>
      <c r="S242" s="204" t="s">
        <v>65</v>
      </c>
      <c r="T242" s="204" t="s">
        <v>65</v>
      </c>
      <c r="U242" s="133">
        <v>0</v>
      </c>
      <c r="V242" s="133">
        <v>0</v>
      </c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</row>
    <row r="243" spans="1:43" s="200" customFormat="1" x14ac:dyDescent="0.3">
      <c r="A243" s="323"/>
      <c r="B243" s="95" t="s">
        <v>724</v>
      </c>
      <c r="C243" s="133">
        <v>2</v>
      </c>
      <c r="D243" s="204" t="s">
        <v>65</v>
      </c>
      <c r="E243" s="204" t="s">
        <v>65</v>
      </c>
      <c r="F243" s="133">
        <v>2</v>
      </c>
      <c r="G243" s="204">
        <v>0</v>
      </c>
      <c r="H243" s="204">
        <v>1</v>
      </c>
      <c r="I243" s="204" t="s">
        <v>65</v>
      </c>
      <c r="J243" s="204">
        <v>0</v>
      </c>
      <c r="K243" s="204" t="s">
        <v>65</v>
      </c>
      <c r="L243" s="204">
        <v>1</v>
      </c>
      <c r="M243" s="204" t="s">
        <v>65</v>
      </c>
      <c r="N243" s="204" t="s">
        <v>65</v>
      </c>
      <c r="O243" s="204" t="s">
        <v>65</v>
      </c>
      <c r="P243" s="204" t="s">
        <v>65</v>
      </c>
      <c r="Q243" s="204">
        <v>0</v>
      </c>
      <c r="R243" s="204" t="s">
        <v>65</v>
      </c>
      <c r="S243" s="204" t="s">
        <v>65</v>
      </c>
      <c r="T243" s="204" t="s">
        <v>65</v>
      </c>
      <c r="U243" s="204">
        <v>3</v>
      </c>
      <c r="V243" s="133">
        <v>4</v>
      </c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</row>
    <row r="244" spans="1:43" s="200" customFormat="1" x14ac:dyDescent="0.3">
      <c r="A244" s="323"/>
      <c r="B244" s="95" t="s">
        <v>725</v>
      </c>
      <c r="C244" s="133">
        <v>0</v>
      </c>
      <c r="D244" s="204" t="s">
        <v>65</v>
      </c>
      <c r="E244" s="204" t="s">
        <v>65</v>
      </c>
      <c r="F244" s="133">
        <v>0</v>
      </c>
      <c r="G244" s="133" t="s">
        <v>65</v>
      </c>
      <c r="H244" s="133" t="s">
        <v>65</v>
      </c>
      <c r="I244" s="204" t="s">
        <v>65</v>
      </c>
      <c r="J244" s="133" t="s">
        <v>65</v>
      </c>
      <c r="K244" s="204" t="s">
        <v>65</v>
      </c>
      <c r="L244" s="133" t="s">
        <v>65</v>
      </c>
      <c r="M244" s="204" t="s">
        <v>65</v>
      </c>
      <c r="N244" s="204" t="s">
        <v>65</v>
      </c>
      <c r="O244" s="204" t="s">
        <v>65</v>
      </c>
      <c r="P244" s="204" t="s">
        <v>65</v>
      </c>
      <c r="Q244" s="133" t="s">
        <v>65</v>
      </c>
      <c r="R244" s="204" t="s">
        <v>65</v>
      </c>
      <c r="S244" s="204" t="s">
        <v>65</v>
      </c>
      <c r="T244" s="204" t="s">
        <v>65</v>
      </c>
      <c r="U244" s="133">
        <v>0</v>
      </c>
      <c r="V244" s="133">
        <v>0</v>
      </c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</row>
    <row r="245" spans="1:43" s="200" customFormat="1" x14ac:dyDescent="0.3">
      <c r="A245" s="323"/>
      <c r="B245" s="95" t="s">
        <v>726</v>
      </c>
      <c r="C245" s="133">
        <v>6</v>
      </c>
      <c r="D245" s="204">
        <v>0</v>
      </c>
      <c r="E245" s="204">
        <v>0</v>
      </c>
      <c r="F245" s="133">
        <v>6</v>
      </c>
      <c r="G245" s="204">
        <v>0</v>
      </c>
      <c r="H245" s="204" t="s">
        <v>65</v>
      </c>
      <c r="I245" s="204">
        <v>0</v>
      </c>
      <c r="J245" s="204" t="s">
        <v>65</v>
      </c>
      <c r="K245" s="204" t="s">
        <v>65</v>
      </c>
      <c r="L245" s="204">
        <v>1</v>
      </c>
      <c r="M245" s="204" t="s">
        <v>65</v>
      </c>
      <c r="N245" s="204">
        <v>0</v>
      </c>
      <c r="O245" s="204">
        <v>0</v>
      </c>
      <c r="P245" s="204" t="s">
        <v>65</v>
      </c>
      <c r="Q245" s="204" t="s">
        <v>65</v>
      </c>
      <c r="R245" s="204" t="s">
        <v>65</v>
      </c>
      <c r="S245" s="204" t="s">
        <v>65</v>
      </c>
      <c r="T245" s="204" t="s">
        <v>65</v>
      </c>
      <c r="U245" s="204">
        <v>2</v>
      </c>
      <c r="V245" s="133">
        <v>8</v>
      </c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</row>
    <row r="246" spans="1:43" s="200" customFormat="1" x14ac:dyDescent="0.3">
      <c r="A246" s="323"/>
      <c r="B246" s="95" t="s">
        <v>727</v>
      </c>
      <c r="C246" s="133">
        <v>11</v>
      </c>
      <c r="D246" s="133" t="s">
        <v>65</v>
      </c>
      <c r="E246" s="133">
        <v>1</v>
      </c>
      <c r="F246" s="133">
        <v>12</v>
      </c>
      <c r="G246" s="133">
        <v>87</v>
      </c>
      <c r="H246" s="204">
        <v>2</v>
      </c>
      <c r="I246" s="133">
        <v>3</v>
      </c>
      <c r="J246" s="204" t="s">
        <v>65</v>
      </c>
      <c r="K246" s="204" t="s">
        <v>65</v>
      </c>
      <c r="L246" s="133" t="s">
        <v>65</v>
      </c>
      <c r="M246" s="204">
        <v>0</v>
      </c>
      <c r="N246" s="133">
        <v>0</v>
      </c>
      <c r="O246" s="133">
        <v>1</v>
      </c>
      <c r="P246" s="204">
        <v>0</v>
      </c>
      <c r="Q246" s="204">
        <v>3</v>
      </c>
      <c r="R246" s="204" t="s">
        <v>65</v>
      </c>
      <c r="S246" s="204" t="s">
        <v>65</v>
      </c>
      <c r="T246" s="204">
        <v>2</v>
      </c>
      <c r="U246" s="133">
        <v>11</v>
      </c>
      <c r="V246" s="133">
        <v>110</v>
      </c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</row>
    <row r="247" spans="1:43" x14ac:dyDescent="0.3">
      <c r="A247" s="323"/>
      <c r="B247" s="95" t="s">
        <v>728</v>
      </c>
      <c r="C247" s="133">
        <v>3</v>
      </c>
      <c r="D247" s="204" t="s">
        <v>65</v>
      </c>
      <c r="E247" s="133" t="s">
        <v>65</v>
      </c>
      <c r="F247" s="133">
        <v>3</v>
      </c>
      <c r="G247" s="133" t="s">
        <v>65</v>
      </c>
      <c r="H247" s="133" t="s">
        <v>65</v>
      </c>
      <c r="I247" s="133">
        <v>0</v>
      </c>
      <c r="J247" s="204">
        <v>2</v>
      </c>
      <c r="K247" s="204" t="s">
        <v>65</v>
      </c>
      <c r="L247" s="204" t="s">
        <v>65</v>
      </c>
      <c r="M247" s="133">
        <v>0</v>
      </c>
      <c r="N247" s="133" t="s">
        <v>65</v>
      </c>
      <c r="O247" s="133">
        <v>0</v>
      </c>
      <c r="P247" s="133" t="s">
        <v>65</v>
      </c>
      <c r="Q247" s="133" t="s">
        <v>65</v>
      </c>
      <c r="R247" s="204" t="s">
        <v>65</v>
      </c>
      <c r="S247" s="204" t="s">
        <v>65</v>
      </c>
      <c r="T247" s="133" t="s">
        <v>65</v>
      </c>
      <c r="U247" s="133">
        <v>2</v>
      </c>
      <c r="V247" s="133">
        <v>5</v>
      </c>
    </row>
    <row r="248" spans="1:43" x14ac:dyDescent="0.3">
      <c r="A248" s="323"/>
      <c r="B248" s="95" t="s">
        <v>729</v>
      </c>
      <c r="C248" s="133">
        <v>2</v>
      </c>
      <c r="D248" s="204" t="s">
        <v>65</v>
      </c>
      <c r="E248" s="204">
        <v>1</v>
      </c>
      <c r="F248" s="133">
        <v>3</v>
      </c>
      <c r="G248" s="204" t="s">
        <v>65</v>
      </c>
      <c r="H248" s="204" t="s">
        <v>65</v>
      </c>
      <c r="I248" s="133" t="s">
        <v>65</v>
      </c>
      <c r="J248" s="133" t="s">
        <v>65</v>
      </c>
      <c r="K248" s="204" t="s">
        <v>65</v>
      </c>
      <c r="L248" s="204" t="s">
        <v>65</v>
      </c>
      <c r="M248" s="133" t="s">
        <v>65</v>
      </c>
      <c r="N248" s="204" t="s">
        <v>65</v>
      </c>
      <c r="O248" s="133" t="s">
        <v>65</v>
      </c>
      <c r="P248" s="204" t="s">
        <v>65</v>
      </c>
      <c r="Q248" s="204" t="s">
        <v>65</v>
      </c>
      <c r="R248" s="204" t="s">
        <v>65</v>
      </c>
      <c r="S248" s="204" t="s">
        <v>65</v>
      </c>
      <c r="T248" s="204" t="s">
        <v>65</v>
      </c>
      <c r="U248" s="133">
        <v>0</v>
      </c>
      <c r="V248" s="133">
        <v>3</v>
      </c>
    </row>
    <row r="249" spans="1:43" x14ac:dyDescent="0.3">
      <c r="A249" s="323"/>
      <c r="B249" s="95" t="s">
        <v>730</v>
      </c>
      <c r="C249" s="133">
        <v>0</v>
      </c>
      <c r="D249" s="204" t="s">
        <v>65</v>
      </c>
      <c r="E249" s="133" t="s">
        <v>65</v>
      </c>
      <c r="F249" s="133">
        <v>0</v>
      </c>
      <c r="G249" s="204" t="s">
        <v>65</v>
      </c>
      <c r="H249" s="204" t="s">
        <v>65</v>
      </c>
      <c r="I249" s="204" t="s">
        <v>65</v>
      </c>
      <c r="J249" s="204" t="s">
        <v>65</v>
      </c>
      <c r="K249" s="204" t="s">
        <v>65</v>
      </c>
      <c r="L249" s="204" t="s">
        <v>65</v>
      </c>
      <c r="M249" s="204" t="s">
        <v>65</v>
      </c>
      <c r="N249" s="204" t="s">
        <v>65</v>
      </c>
      <c r="O249" s="204" t="s">
        <v>65</v>
      </c>
      <c r="P249" s="204" t="s">
        <v>65</v>
      </c>
      <c r="Q249" s="204" t="s">
        <v>65</v>
      </c>
      <c r="R249" s="204" t="s">
        <v>65</v>
      </c>
      <c r="S249" s="204" t="s">
        <v>65</v>
      </c>
      <c r="T249" s="204" t="s">
        <v>65</v>
      </c>
      <c r="U249" s="204">
        <v>0</v>
      </c>
      <c r="V249" s="133">
        <v>0</v>
      </c>
    </row>
    <row r="250" spans="1:43" x14ac:dyDescent="0.3">
      <c r="A250" s="323"/>
      <c r="B250" s="95" t="s">
        <v>731</v>
      </c>
      <c r="C250" s="133">
        <v>2</v>
      </c>
      <c r="D250" s="204" t="s">
        <v>65</v>
      </c>
      <c r="E250" s="204" t="s">
        <v>65</v>
      </c>
      <c r="F250" s="133">
        <v>2</v>
      </c>
      <c r="G250" s="204" t="s">
        <v>65</v>
      </c>
      <c r="H250" s="204" t="s">
        <v>65</v>
      </c>
      <c r="I250" s="204" t="s">
        <v>65</v>
      </c>
      <c r="J250" s="204" t="s">
        <v>65</v>
      </c>
      <c r="K250" s="204" t="s">
        <v>65</v>
      </c>
      <c r="L250" s="204" t="s">
        <v>65</v>
      </c>
      <c r="M250" s="204" t="s">
        <v>65</v>
      </c>
      <c r="N250" s="204" t="s">
        <v>65</v>
      </c>
      <c r="O250" s="204" t="s">
        <v>65</v>
      </c>
      <c r="P250" s="204" t="s">
        <v>65</v>
      </c>
      <c r="Q250" s="204" t="s">
        <v>65</v>
      </c>
      <c r="R250" s="204" t="s">
        <v>65</v>
      </c>
      <c r="S250" s="204" t="s">
        <v>65</v>
      </c>
      <c r="T250" s="204" t="s">
        <v>65</v>
      </c>
      <c r="U250" s="204">
        <v>0</v>
      </c>
      <c r="V250" s="133">
        <v>2</v>
      </c>
    </row>
    <row r="251" spans="1:43" x14ac:dyDescent="0.3">
      <c r="A251" s="323"/>
      <c r="B251" s="95" t="s">
        <v>732</v>
      </c>
      <c r="C251" s="133">
        <v>4</v>
      </c>
      <c r="D251" s="204" t="s">
        <v>65</v>
      </c>
      <c r="E251" s="204">
        <v>1</v>
      </c>
      <c r="F251" s="133">
        <v>5</v>
      </c>
      <c r="G251" s="204">
        <v>0</v>
      </c>
      <c r="H251" s="204" t="s">
        <v>65</v>
      </c>
      <c r="I251" s="204">
        <v>2</v>
      </c>
      <c r="J251" s="204">
        <v>0</v>
      </c>
      <c r="K251" s="204" t="s">
        <v>65</v>
      </c>
      <c r="L251" s="204">
        <v>1</v>
      </c>
      <c r="M251" s="204" t="s">
        <v>65</v>
      </c>
      <c r="N251" s="204" t="s">
        <v>65</v>
      </c>
      <c r="O251" s="204" t="s">
        <v>65</v>
      </c>
      <c r="P251" s="204" t="s">
        <v>65</v>
      </c>
      <c r="Q251" s="204">
        <v>1</v>
      </c>
      <c r="R251" s="204" t="s">
        <v>65</v>
      </c>
      <c r="S251" s="204" t="s">
        <v>65</v>
      </c>
      <c r="T251" s="204" t="s">
        <v>65</v>
      </c>
      <c r="U251" s="204">
        <v>4</v>
      </c>
      <c r="V251" s="133">
        <v>9</v>
      </c>
    </row>
    <row r="252" spans="1:43" x14ac:dyDescent="0.3">
      <c r="A252" s="323"/>
      <c r="B252" s="95" t="s">
        <v>733</v>
      </c>
      <c r="C252" s="133">
        <v>2</v>
      </c>
      <c r="D252" s="204" t="s">
        <v>65</v>
      </c>
      <c r="E252" s="133" t="s">
        <v>65</v>
      </c>
      <c r="F252" s="133">
        <v>2</v>
      </c>
      <c r="G252" s="133" t="s">
        <v>65</v>
      </c>
      <c r="H252" s="204" t="s">
        <v>65</v>
      </c>
      <c r="I252" s="133" t="s">
        <v>65</v>
      </c>
      <c r="J252" s="133">
        <v>0</v>
      </c>
      <c r="K252" s="204" t="s">
        <v>65</v>
      </c>
      <c r="L252" s="133" t="s">
        <v>65</v>
      </c>
      <c r="M252" s="204" t="s">
        <v>65</v>
      </c>
      <c r="N252" s="204" t="s">
        <v>65</v>
      </c>
      <c r="O252" s="204" t="s">
        <v>65</v>
      </c>
      <c r="P252" s="204" t="s">
        <v>65</v>
      </c>
      <c r="Q252" s="133" t="s">
        <v>65</v>
      </c>
      <c r="R252" s="204" t="s">
        <v>65</v>
      </c>
      <c r="S252" s="204" t="s">
        <v>65</v>
      </c>
      <c r="T252" s="204" t="s">
        <v>65</v>
      </c>
      <c r="U252" s="133">
        <v>0</v>
      </c>
      <c r="V252" s="133">
        <v>2</v>
      </c>
    </row>
    <row r="253" spans="1:43" x14ac:dyDescent="0.3">
      <c r="A253" s="323"/>
      <c r="B253" s="95" t="s">
        <v>734</v>
      </c>
      <c r="C253" s="133">
        <v>8</v>
      </c>
      <c r="D253" s="204" t="s">
        <v>65</v>
      </c>
      <c r="E253" s="204">
        <v>0</v>
      </c>
      <c r="F253" s="133">
        <v>9</v>
      </c>
      <c r="G253" s="204" t="s">
        <v>65</v>
      </c>
      <c r="H253" s="204">
        <v>0</v>
      </c>
      <c r="I253" s="204">
        <v>3</v>
      </c>
      <c r="J253" s="133">
        <v>5</v>
      </c>
      <c r="K253" s="204" t="s">
        <v>65</v>
      </c>
      <c r="L253" s="204">
        <v>1</v>
      </c>
      <c r="M253" s="204" t="s">
        <v>65</v>
      </c>
      <c r="N253" s="204">
        <v>1</v>
      </c>
      <c r="O253" s="204" t="s">
        <v>65</v>
      </c>
      <c r="P253" s="204" t="s">
        <v>65</v>
      </c>
      <c r="Q253" s="204">
        <v>1</v>
      </c>
      <c r="R253" s="204" t="s">
        <v>65</v>
      </c>
      <c r="S253" s="204" t="s">
        <v>65</v>
      </c>
      <c r="T253" s="204" t="s">
        <v>65</v>
      </c>
      <c r="U253" s="133">
        <v>11</v>
      </c>
      <c r="V253" s="133">
        <v>20</v>
      </c>
    </row>
    <row r="254" spans="1:43" x14ac:dyDescent="0.3">
      <c r="A254" s="323"/>
      <c r="B254" s="95" t="s">
        <v>722</v>
      </c>
      <c r="C254" s="133">
        <v>1</v>
      </c>
      <c r="D254" s="204" t="s">
        <v>65</v>
      </c>
      <c r="E254" s="133" t="s">
        <v>65</v>
      </c>
      <c r="F254" s="133">
        <v>1</v>
      </c>
      <c r="G254" s="204" t="s">
        <v>65</v>
      </c>
      <c r="H254" s="133">
        <v>0</v>
      </c>
      <c r="I254" s="133" t="s">
        <v>65</v>
      </c>
      <c r="J254" s="133">
        <v>0</v>
      </c>
      <c r="K254" s="204" t="s">
        <v>65</v>
      </c>
      <c r="L254" s="133">
        <v>2</v>
      </c>
      <c r="M254" s="204" t="s">
        <v>65</v>
      </c>
      <c r="N254" s="133" t="s">
        <v>65</v>
      </c>
      <c r="O254" s="204" t="s">
        <v>65</v>
      </c>
      <c r="P254" s="204" t="s">
        <v>65</v>
      </c>
      <c r="Q254" s="133" t="s">
        <v>65</v>
      </c>
      <c r="R254" s="204" t="s">
        <v>65</v>
      </c>
      <c r="S254" s="204" t="s">
        <v>65</v>
      </c>
      <c r="T254" s="204" t="s">
        <v>65</v>
      </c>
      <c r="U254" s="133">
        <v>2</v>
      </c>
      <c r="V254" s="133">
        <v>3</v>
      </c>
    </row>
    <row r="255" spans="1:43" x14ac:dyDescent="0.3">
      <c r="A255" s="308"/>
      <c r="B255" s="97" t="s">
        <v>86</v>
      </c>
      <c r="C255" s="134">
        <v>43</v>
      </c>
      <c r="D255" s="134">
        <v>0</v>
      </c>
      <c r="E255" s="134">
        <v>3</v>
      </c>
      <c r="F255" s="134">
        <v>46</v>
      </c>
      <c r="G255" s="134">
        <v>87</v>
      </c>
      <c r="H255" s="134">
        <v>3</v>
      </c>
      <c r="I255" s="134">
        <v>8</v>
      </c>
      <c r="J255" s="134">
        <v>7</v>
      </c>
      <c r="K255" s="134">
        <v>0</v>
      </c>
      <c r="L255" s="134">
        <v>7</v>
      </c>
      <c r="M255" s="134">
        <v>0</v>
      </c>
      <c r="N255" s="134">
        <v>1</v>
      </c>
      <c r="O255" s="134">
        <v>2</v>
      </c>
      <c r="P255" s="134">
        <v>0</v>
      </c>
      <c r="Q255" s="134">
        <v>5</v>
      </c>
      <c r="R255" s="134">
        <v>0</v>
      </c>
      <c r="S255" s="134">
        <v>0</v>
      </c>
      <c r="T255" s="134">
        <v>2</v>
      </c>
      <c r="U255" s="134">
        <v>35</v>
      </c>
      <c r="V255" s="134">
        <v>168</v>
      </c>
    </row>
    <row r="256" spans="1:43" x14ac:dyDescent="0.3">
      <c r="A256" s="307" t="s">
        <v>774</v>
      </c>
      <c r="B256" s="95" t="s">
        <v>735</v>
      </c>
      <c r="C256" s="133">
        <v>178</v>
      </c>
      <c r="D256" s="133">
        <v>13</v>
      </c>
      <c r="E256" s="133">
        <v>28</v>
      </c>
      <c r="F256" s="133">
        <v>219</v>
      </c>
      <c r="G256" s="133">
        <v>5599</v>
      </c>
      <c r="H256" s="133">
        <v>31</v>
      </c>
      <c r="I256" s="133">
        <v>12</v>
      </c>
      <c r="J256" s="133">
        <v>3</v>
      </c>
      <c r="K256" s="133">
        <v>4</v>
      </c>
      <c r="L256" s="133">
        <v>20</v>
      </c>
      <c r="M256" s="133">
        <v>6</v>
      </c>
      <c r="N256" s="133">
        <v>1</v>
      </c>
      <c r="O256" s="133">
        <v>4</v>
      </c>
      <c r="P256" s="204" t="s">
        <v>65</v>
      </c>
      <c r="Q256" s="133">
        <v>23</v>
      </c>
      <c r="R256" s="133">
        <v>1589</v>
      </c>
      <c r="S256" s="133">
        <v>4</v>
      </c>
      <c r="T256" s="133">
        <v>16</v>
      </c>
      <c r="U256" s="133">
        <v>1712</v>
      </c>
      <c r="V256" s="133">
        <v>7530</v>
      </c>
    </row>
    <row r="257" spans="1:22" x14ac:dyDescent="0.3">
      <c r="A257" s="323"/>
      <c r="B257" s="95" t="s">
        <v>736</v>
      </c>
      <c r="C257" s="133">
        <v>164</v>
      </c>
      <c r="D257" s="133">
        <v>1</v>
      </c>
      <c r="E257" s="133">
        <v>15</v>
      </c>
      <c r="F257" s="133">
        <v>180</v>
      </c>
      <c r="G257" s="133">
        <v>34</v>
      </c>
      <c r="H257" s="133">
        <v>16</v>
      </c>
      <c r="I257" s="133">
        <v>15</v>
      </c>
      <c r="J257" s="133">
        <v>2</v>
      </c>
      <c r="K257" s="133">
        <v>3</v>
      </c>
      <c r="L257" s="133">
        <v>0</v>
      </c>
      <c r="M257" s="133">
        <v>4</v>
      </c>
      <c r="N257" s="133">
        <v>20</v>
      </c>
      <c r="O257" s="133">
        <v>8</v>
      </c>
      <c r="P257" s="204" t="s">
        <v>65</v>
      </c>
      <c r="Q257" s="133">
        <v>0</v>
      </c>
      <c r="R257" s="133">
        <v>13</v>
      </c>
      <c r="S257" s="133">
        <v>0</v>
      </c>
      <c r="T257" s="133">
        <v>1</v>
      </c>
      <c r="U257" s="133">
        <v>83</v>
      </c>
      <c r="V257" s="133">
        <v>296</v>
      </c>
    </row>
    <row r="258" spans="1:22" x14ac:dyDescent="0.3">
      <c r="A258" s="323"/>
      <c r="B258" s="95" t="s">
        <v>737</v>
      </c>
      <c r="C258" s="133">
        <v>24</v>
      </c>
      <c r="D258" s="204" t="s">
        <v>65</v>
      </c>
      <c r="E258" s="133">
        <v>7</v>
      </c>
      <c r="F258" s="133">
        <v>31</v>
      </c>
      <c r="G258" s="133">
        <v>5</v>
      </c>
      <c r="H258" s="133">
        <v>2</v>
      </c>
      <c r="I258" s="204" t="s">
        <v>65</v>
      </c>
      <c r="J258" s="204" t="s">
        <v>65</v>
      </c>
      <c r="K258" s="204" t="s">
        <v>65</v>
      </c>
      <c r="L258" s="204" t="s">
        <v>65</v>
      </c>
      <c r="M258" s="204" t="s">
        <v>65</v>
      </c>
      <c r="N258" s="204" t="s">
        <v>65</v>
      </c>
      <c r="O258" s="133">
        <v>0</v>
      </c>
      <c r="P258" s="204" t="s">
        <v>65</v>
      </c>
      <c r="Q258" s="204" t="s">
        <v>65</v>
      </c>
      <c r="R258" s="204" t="s">
        <v>65</v>
      </c>
      <c r="S258" s="133">
        <v>9</v>
      </c>
      <c r="T258" s="204" t="s">
        <v>65</v>
      </c>
      <c r="U258" s="133">
        <v>11</v>
      </c>
      <c r="V258" s="133">
        <v>48</v>
      </c>
    </row>
    <row r="259" spans="1:22" x14ac:dyDescent="0.3">
      <c r="A259" s="323"/>
      <c r="B259" s="95" t="s">
        <v>738</v>
      </c>
      <c r="C259" s="133">
        <v>138</v>
      </c>
      <c r="D259" s="133">
        <v>8</v>
      </c>
      <c r="E259" s="133">
        <v>79</v>
      </c>
      <c r="F259" s="133">
        <v>225</v>
      </c>
      <c r="G259" s="133">
        <v>63</v>
      </c>
      <c r="H259" s="133">
        <v>247</v>
      </c>
      <c r="I259" s="133">
        <v>30</v>
      </c>
      <c r="J259" s="133">
        <v>31</v>
      </c>
      <c r="K259" s="133">
        <v>20</v>
      </c>
      <c r="L259" s="133">
        <v>21</v>
      </c>
      <c r="M259" s="133">
        <v>23</v>
      </c>
      <c r="N259" s="133">
        <v>68</v>
      </c>
      <c r="O259" s="133">
        <v>21</v>
      </c>
      <c r="P259" s="133">
        <v>35</v>
      </c>
      <c r="Q259" s="133">
        <v>72</v>
      </c>
      <c r="R259" s="133">
        <v>32</v>
      </c>
      <c r="S259" s="133">
        <v>3</v>
      </c>
      <c r="T259" s="133">
        <v>4</v>
      </c>
      <c r="U259" s="133">
        <v>606</v>
      </c>
      <c r="V259" s="133">
        <v>894</v>
      </c>
    </row>
    <row r="260" spans="1:22" x14ac:dyDescent="0.3">
      <c r="A260" s="323"/>
      <c r="B260" s="95" t="s">
        <v>739</v>
      </c>
      <c r="C260" s="133">
        <v>26</v>
      </c>
      <c r="D260" s="133">
        <v>0</v>
      </c>
      <c r="E260" s="133">
        <v>8</v>
      </c>
      <c r="F260" s="133">
        <v>34</v>
      </c>
      <c r="G260" s="204" t="s">
        <v>65</v>
      </c>
      <c r="H260" s="133">
        <v>3</v>
      </c>
      <c r="I260" s="133">
        <v>4</v>
      </c>
      <c r="J260" s="204" t="s">
        <v>65</v>
      </c>
      <c r="K260" s="133">
        <v>1</v>
      </c>
      <c r="L260" s="133">
        <v>0</v>
      </c>
      <c r="M260" s="204" t="s">
        <v>65</v>
      </c>
      <c r="N260" s="133">
        <v>1</v>
      </c>
      <c r="O260" s="133">
        <v>0</v>
      </c>
      <c r="P260" s="133">
        <v>0</v>
      </c>
      <c r="Q260" s="133">
        <v>0</v>
      </c>
      <c r="R260" s="133">
        <v>0</v>
      </c>
      <c r="S260" s="204" t="s">
        <v>65</v>
      </c>
      <c r="T260" s="133">
        <v>0</v>
      </c>
      <c r="U260" s="133">
        <v>9</v>
      </c>
      <c r="V260" s="133">
        <v>43</v>
      </c>
    </row>
    <row r="261" spans="1:22" x14ac:dyDescent="0.3">
      <c r="A261" s="323"/>
      <c r="B261" s="95" t="s">
        <v>740</v>
      </c>
      <c r="C261" s="133">
        <v>572</v>
      </c>
      <c r="D261" s="204" t="s">
        <v>65</v>
      </c>
      <c r="E261" s="204" t="s">
        <v>65</v>
      </c>
      <c r="F261" s="133">
        <v>572</v>
      </c>
      <c r="G261" s="133">
        <v>1</v>
      </c>
      <c r="H261" s="204" t="s">
        <v>65</v>
      </c>
      <c r="I261" s="204" t="s">
        <v>65</v>
      </c>
      <c r="J261" s="204" t="s">
        <v>65</v>
      </c>
      <c r="K261" s="204" t="s">
        <v>65</v>
      </c>
      <c r="L261" s="204" t="s">
        <v>65</v>
      </c>
      <c r="M261" s="204" t="s">
        <v>65</v>
      </c>
      <c r="N261" s="204" t="s">
        <v>65</v>
      </c>
      <c r="O261" s="204" t="s">
        <v>65</v>
      </c>
      <c r="P261" s="204" t="s">
        <v>65</v>
      </c>
      <c r="Q261" s="204" t="s">
        <v>65</v>
      </c>
      <c r="R261" s="204" t="s">
        <v>65</v>
      </c>
      <c r="S261" s="204" t="s">
        <v>65</v>
      </c>
      <c r="T261" s="204" t="s">
        <v>65</v>
      </c>
      <c r="U261" s="204">
        <v>0</v>
      </c>
      <c r="V261" s="133">
        <v>573</v>
      </c>
    </row>
    <row r="262" spans="1:22" x14ac:dyDescent="0.3">
      <c r="A262" s="323"/>
      <c r="B262" s="95" t="s">
        <v>742</v>
      </c>
      <c r="C262" s="133" t="s">
        <v>65</v>
      </c>
      <c r="D262" s="133" t="s">
        <v>65</v>
      </c>
      <c r="E262" s="133" t="s">
        <v>65</v>
      </c>
      <c r="F262" s="133">
        <v>0</v>
      </c>
      <c r="G262" s="204" t="s">
        <v>65</v>
      </c>
      <c r="H262" s="204" t="s">
        <v>65</v>
      </c>
      <c r="I262" s="133" t="s">
        <v>65</v>
      </c>
      <c r="J262" s="133" t="s">
        <v>65</v>
      </c>
      <c r="K262" s="204" t="s">
        <v>65</v>
      </c>
      <c r="L262" s="204" t="s">
        <v>65</v>
      </c>
      <c r="M262" s="204" t="s">
        <v>65</v>
      </c>
      <c r="N262" s="204" t="s">
        <v>65</v>
      </c>
      <c r="O262" s="204">
        <v>2</v>
      </c>
      <c r="P262" s="204" t="s">
        <v>65</v>
      </c>
      <c r="Q262" s="204" t="s">
        <v>65</v>
      </c>
      <c r="R262" s="133" t="s">
        <v>65</v>
      </c>
      <c r="S262" s="204" t="s">
        <v>65</v>
      </c>
      <c r="T262" s="133" t="s">
        <v>65</v>
      </c>
      <c r="U262" s="133">
        <v>2</v>
      </c>
      <c r="V262" s="133">
        <v>2</v>
      </c>
    </row>
    <row r="263" spans="1:22" x14ac:dyDescent="0.3">
      <c r="A263" s="323"/>
      <c r="B263" s="95" t="s">
        <v>743</v>
      </c>
      <c r="C263" s="133">
        <v>2</v>
      </c>
      <c r="D263" s="204" t="s">
        <v>65</v>
      </c>
      <c r="E263" s="204" t="s">
        <v>65</v>
      </c>
      <c r="F263" s="133">
        <v>2</v>
      </c>
      <c r="G263" s="133">
        <v>2</v>
      </c>
      <c r="H263" s="204" t="s">
        <v>65</v>
      </c>
      <c r="I263" s="133">
        <v>1</v>
      </c>
      <c r="J263" s="204" t="s">
        <v>65</v>
      </c>
      <c r="K263" s="204" t="s">
        <v>65</v>
      </c>
      <c r="L263" s="204" t="s">
        <v>65</v>
      </c>
      <c r="M263" s="204" t="s">
        <v>65</v>
      </c>
      <c r="N263" s="204" t="s">
        <v>65</v>
      </c>
      <c r="O263" s="133">
        <v>2</v>
      </c>
      <c r="P263" s="204" t="s">
        <v>65</v>
      </c>
      <c r="Q263" s="204" t="s">
        <v>65</v>
      </c>
      <c r="R263" s="204" t="s">
        <v>65</v>
      </c>
      <c r="S263" s="133">
        <v>0</v>
      </c>
      <c r="T263" s="204" t="s">
        <v>65</v>
      </c>
      <c r="U263" s="133">
        <v>3</v>
      </c>
      <c r="V263" s="133">
        <v>6</v>
      </c>
    </row>
    <row r="264" spans="1:22" x14ac:dyDescent="0.3">
      <c r="A264" s="323"/>
      <c r="B264" s="95" t="s">
        <v>744</v>
      </c>
      <c r="C264" s="133">
        <v>38</v>
      </c>
      <c r="D264" s="133">
        <v>0</v>
      </c>
      <c r="E264" s="133">
        <v>5</v>
      </c>
      <c r="F264" s="133">
        <v>43</v>
      </c>
      <c r="G264" s="133">
        <v>54</v>
      </c>
      <c r="H264" s="133">
        <v>3</v>
      </c>
      <c r="I264" s="133">
        <v>5</v>
      </c>
      <c r="J264" s="204" t="s">
        <v>65</v>
      </c>
      <c r="K264" s="133">
        <v>2</v>
      </c>
      <c r="L264" s="204" t="s">
        <v>65</v>
      </c>
      <c r="M264" s="133">
        <v>0</v>
      </c>
      <c r="N264" s="133">
        <v>0</v>
      </c>
      <c r="O264" s="133">
        <v>6</v>
      </c>
      <c r="P264" s="204" t="s">
        <v>65</v>
      </c>
      <c r="Q264" s="133">
        <v>0</v>
      </c>
      <c r="R264" s="133">
        <v>1</v>
      </c>
      <c r="S264" s="133">
        <v>1</v>
      </c>
      <c r="T264" s="133">
        <v>0</v>
      </c>
      <c r="U264" s="133">
        <v>17</v>
      </c>
      <c r="V264" s="133">
        <v>114</v>
      </c>
    </row>
    <row r="265" spans="1:22" x14ac:dyDescent="0.3">
      <c r="A265" s="323"/>
      <c r="B265" s="95" t="s">
        <v>745</v>
      </c>
      <c r="C265" s="133">
        <v>15</v>
      </c>
      <c r="D265" s="204" t="s">
        <v>65</v>
      </c>
      <c r="E265" s="133">
        <v>6</v>
      </c>
      <c r="F265" s="133">
        <v>20</v>
      </c>
      <c r="G265" s="133">
        <v>17</v>
      </c>
      <c r="H265" s="133">
        <v>4</v>
      </c>
      <c r="I265" s="133">
        <v>2</v>
      </c>
      <c r="J265" s="204" t="s">
        <v>65</v>
      </c>
      <c r="K265" s="204" t="s">
        <v>65</v>
      </c>
      <c r="L265" s="133">
        <v>2</v>
      </c>
      <c r="M265" s="133">
        <v>1</v>
      </c>
      <c r="N265" s="133">
        <v>4</v>
      </c>
      <c r="O265" s="204" t="s">
        <v>65</v>
      </c>
      <c r="P265" s="204" t="s">
        <v>65</v>
      </c>
      <c r="Q265" s="133">
        <v>1</v>
      </c>
      <c r="R265" s="204" t="s">
        <v>65</v>
      </c>
      <c r="S265" s="204" t="s">
        <v>65</v>
      </c>
      <c r="T265" s="133">
        <v>2</v>
      </c>
      <c r="U265" s="133">
        <v>16</v>
      </c>
      <c r="V265" s="133">
        <v>53</v>
      </c>
    </row>
    <row r="266" spans="1:22" x14ac:dyDescent="0.3">
      <c r="A266" s="323"/>
      <c r="B266" s="95" t="s">
        <v>746</v>
      </c>
      <c r="C266" s="133">
        <v>27</v>
      </c>
      <c r="D266" s="133">
        <v>1</v>
      </c>
      <c r="E266" s="133">
        <v>9</v>
      </c>
      <c r="F266" s="133">
        <v>36</v>
      </c>
      <c r="G266" s="133">
        <v>4</v>
      </c>
      <c r="H266" s="133">
        <v>4</v>
      </c>
      <c r="I266" s="204" t="s">
        <v>65</v>
      </c>
      <c r="J266" s="133">
        <v>0</v>
      </c>
      <c r="K266" s="204" t="s">
        <v>65</v>
      </c>
      <c r="L266" s="133">
        <v>5</v>
      </c>
      <c r="M266" s="133">
        <v>6</v>
      </c>
      <c r="N266" s="204" t="s">
        <v>65</v>
      </c>
      <c r="O266" s="133">
        <v>9</v>
      </c>
      <c r="P266" s="133">
        <v>0</v>
      </c>
      <c r="Q266" s="133">
        <v>8</v>
      </c>
      <c r="R266" s="133">
        <v>1</v>
      </c>
      <c r="S266" s="204" t="s">
        <v>65</v>
      </c>
      <c r="T266" s="204" t="s">
        <v>65</v>
      </c>
      <c r="U266" s="133">
        <v>32</v>
      </c>
      <c r="V266" s="133">
        <v>73</v>
      </c>
    </row>
    <row r="267" spans="1:22" x14ac:dyDescent="0.3">
      <c r="A267" s="323"/>
      <c r="B267" s="95" t="s">
        <v>747</v>
      </c>
      <c r="C267" s="133">
        <v>45</v>
      </c>
      <c r="D267" s="204" t="s">
        <v>65</v>
      </c>
      <c r="E267" s="133">
        <v>1</v>
      </c>
      <c r="F267" s="133">
        <v>46</v>
      </c>
      <c r="G267" s="133">
        <v>8</v>
      </c>
      <c r="H267" s="133">
        <v>0</v>
      </c>
      <c r="I267" s="204" t="s">
        <v>65</v>
      </c>
      <c r="J267" s="133">
        <v>1</v>
      </c>
      <c r="K267" s="204" t="s">
        <v>65</v>
      </c>
      <c r="L267" s="133">
        <v>1</v>
      </c>
      <c r="M267" s="133">
        <v>1</v>
      </c>
      <c r="N267" s="133">
        <v>0</v>
      </c>
      <c r="O267" s="133">
        <v>2</v>
      </c>
      <c r="P267" s="204" t="s">
        <v>65</v>
      </c>
      <c r="Q267" s="133">
        <v>1</v>
      </c>
      <c r="R267" s="133">
        <v>0</v>
      </c>
      <c r="S267" s="204" t="s">
        <v>65</v>
      </c>
      <c r="T267" s="133">
        <v>0</v>
      </c>
      <c r="U267" s="133">
        <v>7</v>
      </c>
      <c r="V267" s="133">
        <v>61</v>
      </c>
    </row>
    <row r="268" spans="1:22" x14ac:dyDescent="0.3">
      <c r="A268" s="323"/>
      <c r="B268" s="95" t="s">
        <v>748</v>
      </c>
      <c r="C268" s="133">
        <v>29</v>
      </c>
      <c r="D268" s="133">
        <v>1</v>
      </c>
      <c r="E268" s="133">
        <v>11</v>
      </c>
      <c r="F268" s="133">
        <v>41</v>
      </c>
      <c r="G268" s="133">
        <v>3</v>
      </c>
      <c r="H268" s="133">
        <v>1</v>
      </c>
      <c r="I268" s="133">
        <v>1</v>
      </c>
      <c r="J268" s="133">
        <v>0</v>
      </c>
      <c r="K268" s="204" t="s">
        <v>65</v>
      </c>
      <c r="L268" s="133">
        <v>1</v>
      </c>
      <c r="M268" s="133">
        <v>1</v>
      </c>
      <c r="N268" s="133">
        <v>0</v>
      </c>
      <c r="O268" s="133">
        <v>1</v>
      </c>
      <c r="P268" s="133">
        <v>1</v>
      </c>
      <c r="Q268" s="133">
        <v>1</v>
      </c>
      <c r="R268" s="204" t="s">
        <v>65</v>
      </c>
      <c r="S268" s="204" t="s">
        <v>65</v>
      </c>
      <c r="T268" s="204" t="s">
        <v>65</v>
      </c>
      <c r="U268" s="133">
        <v>7</v>
      </c>
      <c r="V268" s="133">
        <v>51</v>
      </c>
    </row>
    <row r="269" spans="1:22" x14ac:dyDescent="0.3">
      <c r="A269" s="323"/>
      <c r="B269" s="95" t="s">
        <v>749</v>
      </c>
      <c r="C269" s="133">
        <v>31</v>
      </c>
      <c r="D269" s="204" t="s">
        <v>65</v>
      </c>
      <c r="E269" s="133">
        <v>1</v>
      </c>
      <c r="F269" s="133">
        <v>31</v>
      </c>
      <c r="G269" s="133">
        <v>0</v>
      </c>
      <c r="H269" s="133">
        <v>1</v>
      </c>
      <c r="I269" s="204" t="s">
        <v>65</v>
      </c>
      <c r="J269" s="204" t="s">
        <v>65</v>
      </c>
      <c r="K269" s="204" t="s">
        <v>65</v>
      </c>
      <c r="L269" s="133">
        <v>1</v>
      </c>
      <c r="M269" s="204" t="s">
        <v>65</v>
      </c>
      <c r="N269" s="204" t="s">
        <v>65</v>
      </c>
      <c r="O269" s="204" t="s">
        <v>65</v>
      </c>
      <c r="P269" s="204" t="s">
        <v>65</v>
      </c>
      <c r="Q269" s="204" t="s">
        <v>65</v>
      </c>
      <c r="R269" s="204" t="s">
        <v>65</v>
      </c>
      <c r="S269" s="204" t="s">
        <v>65</v>
      </c>
      <c r="T269" s="204" t="s">
        <v>65</v>
      </c>
      <c r="U269" s="133">
        <v>2</v>
      </c>
      <c r="V269" s="133">
        <v>34</v>
      </c>
    </row>
    <row r="270" spans="1:22" x14ac:dyDescent="0.3">
      <c r="A270" s="323"/>
      <c r="B270" s="95" t="s">
        <v>750</v>
      </c>
      <c r="C270" s="133">
        <v>38</v>
      </c>
      <c r="D270" s="204" t="s">
        <v>65</v>
      </c>
      <c r="E270" s="133">
        <v>9</v>
      </c>
      <c r="F270" s="133">
        <v>47</v>
      </c>
      <c r="G270" s="133">
        <v>9</v>
      </c>
      <c r="H270" s="133">
        <v>4</v>
      </c>
      <c r="I270" s="133">
        <v>2</v>
      </c>
      <c r="J270" s="133">
        <v>2</v>
      </c>
      <c r="K270" s="133">
        <v>0</v>
      </c>
      <c r="L270" s="133">
        <v>2</v>
      </c>
      <c r="M270" s="133">
        <v>0</v>
      </c>
      <c r="N270" s="204" t="s">
        <v>65</v>
      </c>
      <c r="O270" s="133">
        <v>4</v>
      </c>
      <c r="P270" s="204" t="s">
        <v>65</v>
      </c>
      <c r="Q270" s="204" t="s">
        <v>65</v>
      </c>
      <c r="R270" s="133">
        <v>2</v>
      </c>
      <c r="S270" s="204" t="s">
        <v>65</v>
      </c>
      <c r="T270" s="204" t="s">
        <v>65</v>
      </c>
      <c r="U270" s="133">
        <v>16</v>
      </c>
      <c r="V270" s="133">
        <v>71</v>
      </c>
    </row>
    <row r="271" spans="1:22" x14ac:dyDescent="0.3">
      <c r="A271" s="323"/>
      <c r="B271" s="95" t="s">
        <v>751</v>
      </c>
      <c r="C271" s="133" t="s">
        <v>65</v>
      </c>
      <c r="D271" s="204" t="s">
        <v>65</v>
      </c>
      <c r="E271" s="204" t="s">
        <v>65</v>
      </c>
      <c r="F271" s="133">
        <v>0</v>
      </c>
      <c r="G271" s="133" t="s">
        <v>65</v>
      </c>
      <c r="H271" s="204" t="s">
        <v>65</v>
      </c>
      <c r="I271" s="133" t="s">
        <v>65</v>
      </c>
      <c r="J271" s="133">
        <v>0</v>
      </c>
      <c r="K271" s="204" t="s">
        <v>65</v>
      </c>
      <c r="L271" s="204" t="s">
        <v>65</v>
      </c>
      <c r="M271" s="204" t="s">
        <v>65</v>
      </c>
      <c r="N271" s="204" t="s">
        <v>65</v>
      </c>
      <c r="O271" s="133" t="s">
        <v>65</v>
      </c>
      <c r="P271" s="204" t="s">
        <v>65</v>
      </c>
      <c r="Q271" s="133" t="s">
        <v>65</v>
      </c>
      <c r="R271" s="204" t="s">
        <v>65</v>
      </c>
      <c r="S271" s="204" t="s">
        <v>65</v>
      </c>
      <c r="T271" s="204" t="s">
        <v>65</v>
      </c>
      <c r="U271" s="133">
        <v>0</v>
      </c>
      <c r="V271" s="133">
        <v>0</v>
      </c>
    </row>
    <row r="272" spans="1:22" x14ac:dyDescent="0.3">
      <c r="A272" s="323"/>
      <c r="B272" s="95" t="s">
        <v>752</v>
      </c>
      <c r="C272" s="133">
        <v>3</v>
      </c>
      <c r="D272" s="204" t="s">
        <v>65</v>
      </c>
      <c r="E272" s="133" t="s">
        <v>65</v>
      </c>
      <c r="F272" s="133">
        <v>3</v>
      </c>
      <c r="G272" s="133">
        <v>6</v>
      </c>
      <c r="H272" s="133" t="s">
        <v>65</v>
      </c>
      <c r="I272" s="204">
        <v>1</v>
      </c>
      <c r="J272" s="204">
        <v>1</v>
      </c>
      <c r="K272" s="204" t="s">
        <v>65</v>
      </c>
      <c r="L272" s="204" t="s">
        <v>65</v>
      </c>
      <c r="M272" s="133" t="s">
        <v>65</v>
      </c>
      <c r="N272" s="133" t="s">
        <v>65</v>
      </c>
      <c r="O272" s="204">
        <v>2</v>
      </c>
      <c r="P272" s="204" t="s">
        <v>65</v>
      </c>
      <c r="Q272" s="133">
        <v>1</v>
      </c>
      <c r="R272" s="133" t="s">
        <v>65</v>
      </c>
      <c r="S272" s="204" t="s">
        <v>65</v>
      </c>
      <c r="T272" s="204" t="s">
        <v>65</v>
      </c>
      <c r="U272" s="133">
        <v>4</v>
      </c>
      <c r="V272" s="133">
        <v>14</v>
      </c>
    </row>
    <row r="273" spans="1:22" x14ac:dyDescent="0.3">
      <c r="A273" s="323"/>
      <c r="B273" s="95" t="s">
        <v>753</v>
      </c>
      <c r="C273" s="133">
        <v>13</v>
      </c>
      <c r="D273" s="133" t="s">
        <v>65</v>
      </c>
      <c r="E273" s="204">
        <v>0</v>
      </c>
      <c r="F273" s="133">
        <v>14</v>
      </c>
      <c r="G273" s="133">
        <v>3</v>
      </c>
      <c r="H273" s="133">
        <v>4</v>
      </c>
      <c r="I273" s="133" t="s">
        <v>65</v>
      </c>
      <c r="J273" s="133" t="s">
        <v>65</v>
      </c>
      <c r="K273" s="133" t="s">
        <v>65</v>
      </c>
      <c r="L273" s="133" t="s">
        <v>65</v>
      </c>
      <c r="M273" s="133">
        <v>9</v>
      </c>
      <c r="N273" s="204">
        <v>16</v>
      </c>
      <c r="O273" s="204" t="s">
        <v>65</v>
      </c>
      <c r="P273" s="204" t="s">
        <v>65</v>
      </c>
      <c r="Q273" s="204">
        <v>3</v>
      </c>
      <c r="R273" s="204">
        <v>0</v>
      </c>
      <c r="S273" s="133" t="s">
        <v>65</v>
      </c>
      <c r="T273" s="204" t="s">
        <v>65</v>
      </c>
      <c r="U273" s="133">
        <v>31</v>
      </c>
      <c r="V273" s="133">
        <v>48</v>
      </c>
    </row>
    <row r="274" spans="1:22" x14ac:dyDescent="0.3">
      <c r="A274" s="323"/>
      <c r="B274" s="95" t="s">
        <v>754</v>
      </c>
      <c r="C274" s="133">
        <v>10</v>
      </c>
      <c r="D274" s="204">
        <v>1</v>
      </c>
      <c r="E274" s="133" t="s">
        <v>65</v>
      </c>
      <c r="F274" s="133">
        <v>11</v>
      </c>
      <c r="G274" s="204">
        <v>5</v>
      </c>
      <c r="H274" s="133">
        <v>2</v>
      </c>
      <c r="I274" s="204">
        <v>3</v>
      </c>
      <c r="J274" s="133">
        <v>0</v>
      </c>
      <c r="K274" s="204">
        <v>2</v>
      </c>
      <c r="L274" s="204">
        <v>0</v>
      </c>
      <c r="M274" s="204">
        <v>0</v>
      </c>
      <c r="N274" s="204" t="s">
        <v>65</v>
      </c>
      <c r="O274" s="204" t="s">
        <v>65</v>
      </c>
      <c r="P274" s="204" t="s">
        <v>65</v>
      </c>
      <c r="Q274" s="133" t="s">
        <v>65</v>
      </c>
      <c r="R274" s="204" t="s">
        <v>65</v>
      </c>
      <c r="S274" s="204">
        <v>1</v>
      </c>
      <c r="T274" s="204" t="s">
        <v>65</v>
      </c>
      <c r="U274" s="133">
        <v>9</v>
      </c>
      <c r="V274" s="133">
        <v>25</v>
      </c>
    </row>
    <row r="275" spans="1:22" x14ac:dyDescent="0.3">
      <c r="A275" s="323"/>
      <c r="B275" s="95" t="s">
        <v>755</v>
      </c>
      <c r="C275" s="133">
        <v>17</v>
      </c>
      <c r="D275" s="133" t="s">
        <v>65</v>
      </c>
      <c r="E275" s="133">
        <v>0</v>
      </c>
      <c r="F275" s="133">
        <v>17</v>
      </c>
      <c r="G275" s="133" t="s">
        <v>65</v>
      </c>
      <c r="H275" s="133">
        <v>1</v>
      </c>
      <c r="I275" s="133" t="s">
        <v>65</v>
      </c>
      <c r="J275" s="133">
        <v>0</v>
      </c>
      <c r="K275" s="133" t="s">
        <v>65</v>
      </c>
      <c r="L275" s="133" t="s">
        <v>65</v>
      </c>
      <c r="M275" s="133" t="s">
        <v>65</v>
      </c>
      <c r="N275" s="133" t="s">
        <v>65</v>
      </c>
      <c r="O275" s="133" t="s">
        <v>65</v>
      </c>
      <c r="P275" s="133" t="s">
        <v>65</v>
      </c>
      <c r="Q275" s="204">
        <v>0</v>
      </c>
      <c r="R275" s="133" t="s">
        <v>65</v>
      </c>
      <c r="S275" s="204" t="s">
        <v>65</v>
      </c>
      <c r="T275" s="133" t="s">
        <v>65</v>
      </c>
      <c r="U275" s="133">
        <v>2</v>
      </c>
      <c r="V275" s="133">
        <v>19</v>
      </c>
    </row>
    <row r="276" spans="1:22" x14ac:dyDescent="0.3">
      <c r="A276" s="323"/>
      <c r="B276" s="95" t="s">
        <v>756</v>
      </c>
      <c r="C276" s="133">
        <v>99</v>
      </c>
      <c r="D276" s="204">
        <v>3</v>
      </c>
      <c r="E276" s="204">
        <v>5</v>
      </c>
      <c r="F276" s="133">
        <v>107</v>
      </c>
      <c r="G276" s="204">
        <v>34</v>
      </c>
      <c r="H276" s="204">
        <v>2</v>
      </c>
      <c r="I276" s="133">
        <v>2</v>
      </c>
      <c r="J276" s="204">
        <v>1</v>
      </c>
      <c r="K276" s="204">
        <v>17</v>
      </c>
      <c r="L276" s="204">
        <v>21</v>
      </c>
      <c r="M276" s="133">
        <v>70</v>
      </c>
      <c r="N276" s="204">
        <v>0</v>
      </c>
      <c r="O276" s="204">
        <v>1</v>
      </c>
      <c r="P276" s="204">
        <v>7</v>
      </c>
      <c r="Q276" s="204" t="s">
        <v>65</v>
      </c>
      <c r="R276" s="204">
        <v>0</v>
      </c>
      <c r="S276" s="204" t="s">
        <v>65</v>
      </c>
      <c r="T276" s="204">
        <v>623</v>
      </c>
      <c r="U276" s="133">
        <v>743</v>
      </c>
      <c r="V276" s="133">
        <v>884</v>
      </c>
    </row>
    <row r="277" spans="1:22" x14ac:dyDescent="0.3">
      <c r="A277" s="323"/>
      <c r="B277" s="95" t="s">
        <v>757</v>
      </c>
      <c r="C277" s="204">
        <v>1</v>
      </c>
      <c r="D277" s="204" t="s">
        <v>65</v>
      </c>
      <c r="E277" s="204" t="s">
        <v>65</v>
      </c>
      <c r="F277" s="204">
        <v>1</v>
      </c>
      <c r="G277" s="204" t="s">
        <v>65</v>
      </c>
      <c r="H277" s="204" t="s">
        <v>65</v>
      </c>
      <c r="I277" s="204">
        <v>2</v>
      </c>
      <c r="J277" s="133" t="s">
        <v>65</v>
      </c>
      <c r="K277" s="204" t="s">
        <v>65</v>
      </c>
      <c r="L277" s="204" t="s">
        <v>65</v>
      </c>
      <c r="M277" s="204">
        <v>1</v>
      </c>
      <c r="N277" s="204" t="s">
        <v>65</v>
      </c>
      <c r="O277" s="204" t="s">
        <v>65</v>
      </c>
      <c r="P277" s="204" t="s">
        <v>65</v>
      </c>
      <c r="Q277" s="204" t="s">
        <v>65</v>
      </c>
      <c r="R277" s="204" t="s">
        <v>65</v>
      </c>
      <c r="S277" s="204" t="s">
        <v>65</v>
      </c>
      <c r="T277" s="204" t="s">
        <v>65</v>
      </c>
      <c r="U277" s="133">
        <v>3</v>
      </c>
      <c r="V277" s="133">
        <v>3</v>
      </c>
    </row>
    <row r="278" spans="1:22" x14ac:dyDescent="0.3">
      <c r="A278" s="323"/>
      <c r="B278" s="95" t="s">
        <v>741</v>
      </c>
      <c r="C278" s="204">
        <v>6</v>
      </c>
      <c r="D278" s="204">
        <v>0</v>
      </c>
      <c r="E278" s="204">
        <v>1</v>
      </c>
      <c r="F278" s="204">
        <v>7</v>
      </c>
      <c r="G278" s="204" t="s">
        <v>65</v>
      </c>
      <c r="H278" s="204" t="s">
        <v>65</v>
      </c>
      <c r="I278" s="204">
        <v>1</v>
      </c>
      <c r="J278" s="204">
        <v>6</v>
      </c>
      <c r="K278" s="204" t="s">
        <v>65</v>
      </c>
      <c r="L278" s="204" t="s">
        <v>65</v>
      </c>
      <c r="M278" s="204" t="s">
        <v>65</v>
      </c>
      <c r="N278" s="204" t="s">
        <v>65</v>
      </c>
      <c r="O278" s="133" t="s">
        <v>65</v>
      </c>
      <c r="P278" s="204" t="s">
        <v>65</v>
      </c>
      <c r="Q278" s="204" t="s">
        <v>65</v>
      </c>
      <c r="R278" s="204">
        <v>3</v>
      </c>
      <c r="S278" s="204" t="s">
        <v>65</v>
      </c>
      <c r="T278" s="204">
        <v>6</v>
      </c>
      <c r="U278" s="133">
        <v>15</v>
      </c>
      <c r="V278" s="133">
        <v>22</v>
      </c>
    </row>
    <row r="279" spans="1:22" x14ac:dyDescent="0.3">
      <c r="A279" s="308"/>
      <c r="B279" s="97" t="s">
        <v>86</v>
      </c>
      <c r="C279" s="134">
        <v>1474</v>
      </c>
      <c r="D279" s="134">
        <v>29</v>
      </c>
      <c r="E279" s="134">
        <v>185</v>
      </c>
      <c r="F279" s="134">
        <v>1687</v>
      </c>
      <c r="G279" s="134">
        <v>5847</v>
      </c>
      <c r="H279" s="134">
        <v>326</v>
      </c>
      <c r="I279" s="134">
        <v>80</v>
      </c>
      <c r="J279" s="134">
        <v>47</v>
      </c>
      <c r="K279" s="134">
        <v>47</v>
      </c>
      <c r="L279" s="134">
        <v>74</v>
      </c>
      <c r="M279" s="134">
        <v>120</v>
      </c>
      <c r="N279" s="134">
        <v>111</v>
      </c>
      <c r="O279" s="134">
        <v>60</v>
      </c>
      <c r="P279" s="134">
        <v>43</v>
      </c>
      <c r="Q279" s="134">
        <v>110</v>
      </c>
      <c r="R279" s="134">
        <v>1642</v>
      </c>
      <c r="S279" s="134">
        <v>19</v>
      </c>
      <c r="T279" s="134">
        <v>652</v>
      </c>
      <c r="U279" s="134">
        <v>3331</v>
      </c>
      <c r="V279" s="134">
        <v>10865</v>
      </c>
    </row>
    <row r="280" spans="1:22" ht="16.5" customHeight="1" x14ac:dyDescent="0.3">
      <c r="A280" s="304" t="s">
        <v>775</v>
      </c>
      <c r="B280" s="95" t="s">
        <v>758</v>
      </c>
      <c r="C280" s="133">
        <v>5</v>
      </c>
      <c r="D280" s="204" t="s">
        <v>65</v>
      </c>
      <c r="E280" s="133">
        <v>15</v>
      </c>
      <c r="F280" s="133">
        <v>20</v>
      </c>
      <c r="G280" s="133">
        <v>10</v>
      </c>
      <c r="H280" s="133">
        <v>0</v>
      </c>
      <c r="I280" s="133">
        <v>0</v>
      </c>
      <c r="J280" s="133">
        <v>7</v>
      </c>
      <c r="K280" s="204" t="s">
        <v>65</v>
      </c>
      <c r="L280" s="204" t="s">
        <v>65</v>
      </c>
      <c r="M280" s="204" t="s">
        <v>65</v>
      </c>
      <c r="N280" s="133">
        <v>2</v>
      </c>
      <c r="O280" s="133">
        <v>0</v>
      </c>
      <c r="P280" s="204" t="s">
        <v>65</v>
      </c>
      <c r="Q280" s="204" t="s">
        <v>65</v>
      </c>
      <c r="R280" s="204" t="s">
        <v>65</v>
      </c>
      <c r="S280" s="133">
        <v>0</v>
      </c>
      <c r="T280" s="204" t="s">
        <v>65</v>
      </c>
      <c r="U280" s="133">
        <v>9</v>
      </c>
      <c r="V280" s="133">
        <v>39</v>
      </c>
    </row>
    <row r="281" spans="1:22" x14ac:dyDescent="0.3">
      <c r="A281" s="305"/>
      <c r="B281" s="95" t="s">
        <v>760</v>
      </c>
      <c r="C281" s="133">
        <v>34</v>
      </c>
      <c r="D281" s="204">
        <v>2</v>
      </c>
      <c r="E281" s="133">
        <v>43</v>
      </c>
      <c r="F281" s="133">
        <v>79</v>
      </c>
      <c r="G281" s="133">
        <v>10</v>
      </c>
      <c r="H281" s="133">
        <v>15</v>
      </c>
      <c r="I281" s="133">
        <v>36</v>
      </c>
      <c r="J281" s="204">
        <v>11</v>
      </c>
      <c r="K281" s="204">
        <v>8</v>
      </c>
      <c r="L281" s="133">
        <v>7</v>
      </c>
      <c r="M281" s="204">
        <v>2</v>
      </c>
      <c r="N281" s="204">
        <v>1</v>
      </c>
      <c r="O281" s="204">
        <v>0</v>
      </c>
      <c r="P281" s="204" t="s">
        <v>65</v>
      </c>
      <c r="Q281" s="204">
        <v>1</v>
      </c>
      <c r="R281" s="133">
        <v>3</v>
      </c>
      <c r="S281" s="204" t="s">
        <v>65</v>
      </c>
      <c r="T281" s="204" t="s">
        <v>65</v>
      </c>
      <c r="U281" s="133">
        <v>84</v>
      </c>
      <c r="V281" s="133">
        <v>173</v>
      </c>
    </row>
    <row r="282" spans="1:22" x14ac:dyDescent="0.3">
      <c r="A282" s="305"/>
      <c r="B282" s="95" t="s">
        <v>761</v>
      </c>
      <c r="C282" s="133">
        <v>14</v>
      </c>
      <c r="D282" s="133" t="s">
        <v>65</v>
      </c>
      <c r="E282" s="133">
        <v>0</v>
      </c>
      <c r="F282" s="133">
        <v>15</v>
      </c>
      <c r="G282" s="133">
        <v>4</v>
      </c>
      <c r="H282" s="133" t="s">
        <v>65</v>
      </c>
      <c r="I282" s="133" t="s">
        <v>65</v>
      </c>
      <c r="J282" s="133" t="s">
        <v>65</v>
      </c>
      <c r="K282" s="133" t="s">
        <v>65</v>
      </c>
      <c r="L282" s="133" t="s">
        <v>65</v>
      </c>
      <c r="M282" s="133" t="s">
        <v>65</v>
      </c>
      <c r="N282" s="133" t="s">
        <v>65</v>
      </c>
      <c r="O282" s="133" t="s">
        <v>65</v>
      </c>
      <c r="P282" s="204" t="s">
        <v>65</v>
      </c>
      <c r="Q282" s="133" t="s">
        <v>65</v>
      </c>
      <c r="R282" s="133" t="s">
        <v>65</v>
      </c>
      <c r="S282" s="204" t="s">
        <v>65</v>
      </c>
      <c r="T282" s="204" t="s">
        <v>65</v>
      </c>
      <c r="U282" s="133">
        <v>0</v>
      </c>
      <c r="V282" s="133">
        <v>18</v>
      </c>
    </row>
    <row r="283" spans="1:22" x14ac:dyDescent="0.3">
      <c r="A283" s="305"/>
      <c r="B283" s="95" t="s">
        <v>762</v>
      </c>
      <c r="C283" s="133">
        <v>3</v>
      </c>
      <c r="D283" s="204" t="s">
        <v>65</v>
      </c>
      <c r="E283" s="133">
        <v>3</v>
      </c>
      <c r="F283" s="133">
        <v>6</v>
      </c>
      <c r="G283" s="133">
        <v>433</v>
      </c>
      <c r="H283" s="204" t="s">
        <v>65</v>
      </c>
      <c r="I283" s="204" t="s">
        <v>65</v>
      </c>
      <c r="J283" s="204" t="s">
        <v>65</v>
      </c>
      <c r="K283" s="204" t="s">
        <v>65</v>
      </c>
      <c r="L283" s="204" t="s">
        <v>65</v>
      </c>
      <c r="M283" s="204">
        <v>0</v>
      </c>
      <c r="N283" s="204">
        <v>7</v>
      </c>
      <c r="O283" s="204" t="s">
        <v>65</v>
      </c>
      <c r="P283" s="204">
        <v>0</v>
      </c>
      <c r="Q283" s="204">
        <v>3</v>
      </c>
      <c r="R283" s="204" t="s">
        <v>65</v>
      </c>
      <c r="S283" s="204" t="s">
        <v>65</v>
      </c>
      <c r="T283" s="204">
        <v>0</v>
      </c>
      <c r="U283" s="204">
        <v>11</v>
      </c>
      <c r="V283" s="133">
        <v>449</v>
      </c>
    </row>
    <row r="284" spans="1:22" x14ac:dyDescent="0.3">
      <c r="A284" s="305"/>
      <c r="B284" s="95" t="s">
        <v>763</v>
      </c>
      <c r="C284" s="133">
        <v>2</v>
      </c>
      <c r="D284" s="204" t="s">
        <v>65</v>
      </c>
      <c r="E284" s="133">
        <v>2</v>
      </c>
      <c r="F284" s="133">
        <v>4</v>
      </c>
      <c r="G284" s="133">
        <v>3</v>
      </c>
      <c r="H284" s="204" t="s">
        <v>65</v>
      </c>
      <c r="I284" s="204" t="s">
        <v>65</v>
      </c>
      <c r="J284" s="204">
        <v>0</v>
      </c>
      <c r="K284" s="204" t="s">
        <v>65</v>
      </c>
      <c r="L284" s="204" t="s">
        <v>65</v>
      </c>
      <c r="M284" s="133">
        <v>0</v>
      </c>
      <c r="N284" s="133">
        <v>1</v>
      </c>
      <c r="O284" s="204" t="s">
        <v>65</v>
      </c>
      <c r="P284" s="133" t="s">
        <v>65</v>
      </c>
      <c r="Q284" s="133" t="s">
        <v>65</v>
      </c>
      <c r="R284" s="204" t="s">
        <v>65</v>
      </c>
      <c r="S284" s="204">
        <v>1</v>
      </c>
      <c r="T284" s="133" t="s">
        <v>65</v>
      </c>
      <c r="U284" s="133">
        <v>2</v>
      </c>
      <c r="V284" s="133">
        <v>10</v>
      </c>
    </row>
    <row r="285" spans="1:22" x14ac:dyDescent="0.3">
      <c r="A285" s="305"/>
      <c r="B285" s="95" t="s">
        <v>764</v>
      </c>
      <c r="C285" s="133">
        <v>0</v>
      </c>
      <c r="D285" s="204" t="s">
        <v>65</v>
      </c>
      <c r="E285" s="133" t="s">
        <v>65</v>
      </c>
      <c r="F285" s="133">
        <v>0</v>
      </c>
      <c r="G285" s="133" t="s">
        <v>65</v>
      </c>
      <c r="H285" s="204">
        <v>0</v>
      </c>
      <c r="I285" s="204" t="s">
        <v>65</v>
      </c>
      <c r="J285" s="133" t="s">
        <v>65</v>
      </c>
      <c r="K285" s="204" t="s">
        <v>65</v>
      </c>
      <c r="L285" s="204" t="s">
        <v>65</v>
      </c>
      <c r="M285" s="133" t="s">
        <v>65</v>
      </c>
      <c r="N285" s="133" t="s">
        <v>65</v>
      </c>
      <c r="O285" s="204" t="s">
        <v>65</v>
      </c>
      <c r="P285" s="204" t="s">
        <v>65</v>
      </c>
      <c r="Q285" s="204" t="s">
        <v>65</v>
      </c>
      <c r="R285" s="204" t="s">
        <v>65</v>
      </c>
      <c r="S285" s="133" t="s">
        <v>65</v>
      </c>
      <c r="T285" s="204" t="s">
        <v>65</v>
      </c>
      <c r="U285" s="133">
        <v>0</v>
      </c>
      <c r="V285" s="133">
        <v>0</v>
      </c>
    </row>
    <row r="286" spans="1:22" x14ac:dyDescent="0.3">
      <c r="A286" s="305"/>
      <c r="B286" s="95" t="s">
        <v>765</v>
      </c>
      <c r="C286" s="133">
        <v>1</v>
      </c>
      <c r="D286" s="204" t="s">
        <v>65</v>
      </c>
      <c r="E286" s="204" t="s">
        <v>65</v>
      </c>
      <c r="F286" s="133">
        <v>1</v>
      </c>
      <c r="G286" s="204" t="s">
        <v>65</v>
      </c>
      <c r="H286" s="133" t="s">
        <v>65</v>
      </c>
      <c r="I286" s="204" t="s">
        <v>65</v>
      </c>
      <c r="J286" s="204" t="s">
        <v>65</v>
      </c>
      <c r="K286" s="204" t="s">
        <v>65</v>
      </c>
      <c r="L286" s="204" t="s">
        <v>65</v>
      </c>
      <c r="M286" s="204" t="s">
        <v>65</v>
      </c>
      <c r="N286" s="204" t="s">
        <v>65</v>
      </c>
      <c r="O286" s="204" t="s">
        <v>65</v>
      </c>
      <c r="P286" s="204" t="s">
        <v>65</v>
      </c>
      <c r="Q286" s="204" t="s">
        <v>65</v>
      </c>
      <c r="R286" s="204" t="s">
        <v>65</v>
      </c>
      <c r="S286" s="204" t="s">
        <v>65</v>
      </c>
      <c r="T286" s="204" t="s">
        <v>65</v>
      </c>
      <c r="U286" s="133">
        <v>0</v>
      </c>
      <c r="V286" s="133">
        <v>1</v>
      </c>
    </row>
    <row r="287" spans="1:22" x14ac:dyDescent="0.3">
      <c r="A287" s="305"/>
      <c r="B287" s="95" t="s">
        <v>766</v>
      </c>
      <c r="C287" s="133">
        <v>5</v>
      </c>
      <c r="D287" s="204" t="s">
        <v>65</v>
      </c>
      <c r="E287" s="204">
        <v>1</v>
      </c>
      <c r="F287" s="133">
        <v>5</v>
      </c>
      <c r="G287" s="204" t="s">
        <v>65</v>
      </c>
      <c r="H287" s="204" t="s">
        <v>65</v>
      </c>
      <c r="I287" s="204" t="s">
        <v>65</v>
      </c>
      <c r="J287" s="204" t="s">
        <v>65</v>
      </c>
      <c r="K287" s="204" t="s">
        <v>65</v>
      </c>
      <c r="L287" s="204" t="s">
        <v>65</v>
      </c>
      <c r="M287" s="204" t="s">
        <v>65</v>
      </c>
      <c r="N287" s="204" t="s">
        <v>65</v>
      </c>
      <c r="O287" s="204" t="s">
        <v>65</v>
      </c>
      <c r="P287" s="204" t="s">
        <v>65</v>
      </c>
      <c r="Q287" s="204" t="s">
        <v>65</v>
      </c>
      <c r="R287" s="204" t="s">
        <v>65</v>
      </c>
      <c r="S287" s="204" t="s">
        <v>65</v>
      </c>
      <c r="T287" s="204" t="s">
        <v>65</v>
      </c>
      <c r="U287" s="204">
        <v>0</v>
      </c>
      <c r="V287" s="133">
        <v>5</v>
      </c>
    </row>
    <row r="288" spans="1:22" x14ac:dyDescent="0.3">
      <c r="A288" s="305"/>
      <c r="B288" s="95" t="s">
        <v>767</v>
      </c>
      <c r="C288" s="133">
        <v>1</v>
      </c>
      <c r="D288" s="204" t="s">
        <v>65</v>
      </c>
      <c r="E288" s="133">
        <v>1</v>
      </c>
      <c r="F288" s="133">
        <v>1</v>
      </c>
      <c r="G288" s="204">
        <v>0</v>
      </c>
      <c r="H288" s="204" t="s">
        <v>65</v>
      </c>
      <c r="I288" s="204" t="s">
        <v>65</v>
      </c>
      <c r="J288" s="204" t="s">
        <v>65</v>
      </c>
      <c r="K288" s="204" t="s">
        <v>65</v>
      </c>
      <c r="L288" s="204" t="s">
        <v>65</v>
      </c>
      <c r="M288" s="204" t="s">
        <v>65</v>
      </c>
      <c r="N288" s="204" t="s">
        <v>65</v>
      </c>
      <c r="O288" s="204" t="s">
        <v>65</v>
      </c>
      <c r="P288" s="204" t="s">
        <v>65</v>
      </c>
      <c r="Q288" s="204" t="s">
        <v>65</v>
      </c>
      <c r="R288" s="204" t="s">
        <v>65</v>
      </c>
      <c r="S288" s="204" t="s">
        <v>65</v>
      </c>
      <c r="T288" s="204" t="s">
        <v>65</v>
      </c>
      <c r="U288" s="204">
        <v>0</v>
      </c>
      <c r="V288" s="133">
        <v>1</v>
      </c>
    </row>
    <row r="289" spans="1:22" x14ac:dyDescent="0.3">
      <c r="A289" s="305"/>
      <c r="B289" s="95" t="s">
        <v>768</v>
      </c>
      <c r="C289" s="133">
        <v>12</v>
      </c>
      <c r="D289" s="204" t="s">
        <v>65</v>
      </c>
      <c r="E289" s="133">
        <v>0</v>
      </c>
      <c r="F289" s="133">
        <v>12</v>
      </c>
      <c r="G289" s="133">
        <v>2</v>
      </c>
      <c r="H289" s="204">
        <v>2</v>
      </c>
      <c r="I289" s="204">
        <v>3</v>
      </c>
      <c r="J289" s="204" t="s">
        <v>65</v>
      </c>
      <c r="K289" s="204">
        <v>0</v>
      </c>
      <c r="L289" s="204" t="s">
        <v>65</v>
      </c>
      <c r="M289" s="204">
        <v>4</v>
      </c>
      <c r="N289" s="204">
        <v>3</v>
      </c>
      <c r="O289" s="204" t="s">
        <v>65</v>
      </c>
      <c r="P289" s="204">
        <v>0</v>
      </c>
      <c r="Q289" s="204" t="s">
        <v>65</v>
      </c>
      <c r="R289" s="204">
        <v>2</v>
      </c>
      <c r="S289" s="204">
        <v>0</v>
      </c>
      <c r="T289" s="204" t="s">
        <v>65</v>
      </c>
      <c r="U289" s="204">
        <v>15</v>
      </c>
      <c r="V289" s="133">
        <v>29</v>
      </c>
    </row>
    <row r="290" spans="1:22" x14ac:dyDescent="0.3">
      <c r="A290" s="305"/>
      <c r="B290" s="95" t="s">
        <v>769</v>
      </c>
      <c r="C290" s="133">
        <v>59</v>
      </c>
      <c r="D290" s="204">
        <v>4</v>
      </c>
      <c r="E290" s="133">
        <v>40</v>
      </c>
      <c r="F290" s="133">
        <v>102</v>
      </c>
      <c r="G290" s="133">
        <v>21</v>
      </c>
      <c r="H290" s="133">
        <v>6</v>
      </c>
      <c r="I290" s="133">
        <v>9</v>
      </c>
      <c r="J290" s="204">
        <v>0</v>
      </c>
      <c r="K290" s="133">
        <v>1</v>
      </c>
      <c r="L290" s="204">
        <v>3</v>
      </c>
      <c r="M290" s="133">
        <v>1</v>
      </c>
      <c r="N290" s="133">
        <v>1</v>
      </c>
      <c r="O290" s="204">
        <v>2</v>
      </c>
      <c r="P290" s="133" t="s">
        <v>65</v>
      </c>
      <c r="Q290" s="204">
        <v>7</v>
      </c>
      <c r="R290" s="133">
        <v>1</v>
      </c>
      <c r="S290" s="133">
        <v>2</v>
      </c>
      <c r="T290" s="204">
        <v>13</v>
      </c>
      <c r="U290" s="133">
        <v>45</v>
      </c>
      <c r="V290" s="133">
        <v>168</v>
      </c>
    </row>
    <row r="291" spans="1:22" x14ac:dyDescent="0.3">
      <c r="A291" s="305"/>
      <c r="B291" s="95" t="s">
        <v>770</v>
      </c>
      <c r="C291" s="133">
        <v>495</v>
      </c>
      <c r="D291" s="133">
        <v>4</v>
      </c>
      <c r="E291" s="133">
        <v>307</v>
      </c>
      <c r="F291" s="133">
        <v>806</v>
      </c>
      <c r="G291" s="133">
        <v>535</v>
      </c>
      <c r="H291" s="133">
        <v>32</v>
      </c>
      <c r="I291" s="133">
        <v>7</v>
      </c>
      <c r="J291" s="133">
        <v>50</v>
      </c>
      <c r="K291" s="133">
        <v>10</v>
      </c>
      <c r="L291" s="133">
        <v>4</v>
      </c>
      <c r="M291" s="133">
        <v>3</v>
      </c>
      <c r="N291" s="133">
        <v>59</v>
      </c>
      <c r="O291" s="133">
        <v>34</v>
      </c>
      <c r="P291" s="204">
        <v>10</v>
      </c>
      <c r="Q291" s="133">
        <v>21</v>
      </c>
      <c r="R291" s="133">
        <v>2</v>
      </c>
      <c r="S291" s="133">
        <v>8</v>
      </c>
      <c r="T291" s="133">
        <v>14</v>
      </c>
      <c r="U291" s="133">
        <v>254</v>
      </c>
      <c r="V291" s="133">
        <v>1595</v>
      </c>
    </row>
    <row r="292" spans="1:22" x14ac:dyDescent="0.3">
      <c r="A292" s="305"/>
      <c r="B292" s="95" t="s">
        <v>759</v>
      </c>
      <c r="C292" s="133">
        <v>3</v>
      </c>
      <c r="D292" s="133" t="s">
        <v>65</v>
      </c>
      <c r="E292" s="133">
        <v>1</v>
      </c>
      <c r="F292" s="133">
        <v>5</v>
      </c>
      <c r="G292" s="133">
        <v>1</v>
      </c>
      <c r="H292" s="133">
        <v>0</v>
      </c>
      <c r="I292" s="133">
        <v>2</v>
      </c>
      <c r="J292" s="133" t="s">
        <v>65</v>
      </c>
      <c r="K292" s="133" t="s">
        <v>65</v>
      </c>
      <c r="L292" s="133">
        <v>0</v>
      </c>
      <c r="M292" s="133" t="s">
        <v>65</v>
      </c>
      <c r="N292" s="133" t="s">
        <v>65</v>
      </c>
      <c r="O292" s="133" t="s">
        <v>65</v>
      </c>
      <c r="P292" s="133" t="s">
        <v>65</v>
      </c>
      <c r="Q292" s="133" t="s">
        <v>65</v>
      </c>
      <c r="R292" s="133">
        <v>0</v>
      </c>
      <c r="S292" s="133" t="s">
        <v>65</v>
      </c>
      <c r="T292" s="133" t="s">
        <v>65</v>
      </c>
      <c r="U292" s="133">
        <v>3</v>
      </c>
      <c r="V292" s="133">
        <v>8</v>
      </c>
    </row>
    <row r="293" spans="1:22" x14ac:dyDescent="0.3">
      <c r="A293" s="305"/>
      <c r="B293" s="273" t="s">
        <v>86</v>
      </c>
      <c r="C293" s="134">
        <v>635</v>
      </c>
      <c r="D293" s="134">
        <v>9</v>
      </c>
      <c r="E293" s="134">
        <v>412</v>
      </c>
      <c r="F293" s="134">
        <v>1056</v>
      </c>
      <c r="G293" s="134">
        <v>1018</v>
      </c>
      <c r="H293" s="134">
        <v>55</v>
      </c>
      <c r="I293" s="134">
        <v>58</v>
      </c>
      <c r="J293" s="134">
        <v>70</v>
      </c>
      <c r="K293" s="134">
        <v>19</v>
      </c>
      <c r="L293" s="134">
        <v>14</v>
      </c>
      <c r="M293" s="134">
        <v>10</v>
      </c>
      <c r="N293" s="134">
        <v>74</v>
      </c>
      <c r="O293" s="134">
        <v>37</v>
      </c>
      <c r="P293" s="134">
        <v>11</v>
      </c>
      <c r="Q293" s="134">
        <v>32</v>
      </c>
      <c r="R293" s="134">
        <v>7</v>
      </c>
      <c r="S293" s="134">
        <v>10</v>
      </c>
      <c r="T293" s="134">
        <v>27</v>
      </c>
      <c r="U293" s="134">
        <v>423</v>
      </c>
      <c r="V293" s="134">
        <v>2498</v>
      </c>
    </row>
    <row r="295" spans="1:22" x14ac:dyDescent="0.3">
      <c r="A295" s="90" t="s">
        <v>1362</v>
      </c>
    </row>
    <row r="296" spans="1:22" x14ac:dyDescent="0.3">
      <c r="A296" s="90" t="s">
        <v>137</v>
      </c>
    </row>
    <row r="297" spans="1:22" x14ac:dyDescent="0.3">
      <c r="A297" s="90" t="s">
        <v>136</v>
      </c>
    </row>
  </sheetData>
  <autoFilter ref="A5:AQ293" xr:uid="{45D0244B-A78F-45FE-B24A-9FDE15C17719}"/>
  <mergeCells count="28">
    <mergeCell ref="A280:A293"/>
    <mergeCell ref="A69:A90"/>
    <mergeCell ref="A91:A106"/>
    <mergeCell ref="A107:A122"/>
    <mergeCell ref="V4:V5"/>
    <mergeCell ref="A4:A5"/>
    <mergeCell ref="B4:B5"/>
    <mergeCell ref="C4:F4"/>
    <mergeCell ref="G4:G5"/>
    <mergeCell ref="H4:U4"/>
    <mergeCell ref="A6:A17"/>
    <mergeCell ref="A18:A28"/>
    <mergeCell ref="A29:A40"/>
    <mergeCell ref="A41:A56"/>
    <mergeCell ref="A57:A68"/>
    <mergeCell ref="A256:A279"/>
    <mergeCell ref="A123:A132"/>
    <mergeCell ref="A133:A145"/>
    <mergeCell ref="A146:A158"/>
    <mergeCell ref="A159:A172"/>
    <mergeCell ref="A173:A181"/>
    <mergeCell ref="A235:A241"/>
    <mergeCell ref="A242:A255"/>
    <mergeCell ref="A182:A193"/>
    <mergeCell ref="A194:A210"/>
    <mergeCell ref="A211:A224"/>
    <mergeCell ref="A225:A230"/>
    <mergeCell ref="A231:A234"/>
  </mergeCells>
  <phoneticPr fontId="1" type="noConversion"/>
  <hyperlinks>
    <hyperlink ref="J1" location="목차!A1" display="목차" xr:uid="{A09CF579-278F-448B-B66A-205FC07765A8}"/>
  </hyperlinks>
  <pageMargins left="0.7" right="0.7" top="0.75" bottom="0.75" header="0.3" footer="0.3"/>
  <pageSetup paperSize="9" orientation="portrait" copies="16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D569-4A45-4C59-9141-3587FA6F4DDD}">
  <sheetPr>
    <tabColor theme="0" tint="-4.9989318521683403E-2"/>
  </sheetPr>
  <dimension ref="A1:AQ82"/>
  <sheetViews>
    <sheetView zoomScale="55" zoomScaleNormal="55" workbookViewId="0">
      <selection activeCell="K50" sqref="K50"/>
    </sheetView>
  </sheetViews>
  <sheetFormatPr defaultRowHeight="16.5" x14ac:dyDescent="0.3"/>
  <cols>
    <col min="2" max="2" width="43.25" customWidth="1"/>
  </cols>
  <sheetData>
    <row r="1" spans="1:43" ht="17.25" x14ac:dyDescent="0.3">
      <c r="A1" s="7" t="s">
        <v>1278</v>
      </c>
      <c r="B1" s="4"/>
      <c r="C1" s="4"/>
      <c r="D1" s="4"/>
      <c r="E1" s="199"/>
      <c r="F1" s="71" t="s">
        <v>367</v>
      </c>
      <c r="G1" s="199"/>
      <c r="H1" s="199"/>
    </row>
    <row r="3" spans="1:43" x14ac:dyDescent="0.3">
      <c r="V3" s="5" t="s">
        <v>843</v>
      </c>
    </row>
    <row r="4" spans="1:43" ht="17.25" thickBot="1" x14ac:dyDescent="0.35">
      <c r="A4" s="342" t="s">
        <v>0</v>
      </c>
      <c r="B4" s="353" t="s">
        <v>169</v>
      </c>
      <c r="C4" s="335" t="s">
        <v>115</v>
      </c>
      <c r="D4" s="336"/>
      <c r="E4" s="336"/>
      <c r="F4" s="345"/>
      <c r="G4" s="341" t="s">
        <v>833</v>
      </c>
      <c r="H4" s="335" t="s">
        <v>1003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45"/>
      <c r="V4" s="340" t="s">
        <v>86</v>
      </c>
    </row>
    <row r="5" spans="1:43" ht="17.25" thickTop="1" x14ac:dyDescent="0.3">
      <c r="A5" s="342"/>
      <c r="B5" s="353"/>
      <c r="C5" s="183" t="s">
        <v>1019</v>
      </c>
      <c r="D5" s="183" t="s">
        <v>1020</v>
      </c>
      <c r="E5" s="183" t="s">
        <v>1021</v>
      </c>
      <c r="F5" s="183" t="s">
        <v>110</v>
      </c>
      <c r="G5" s="341"/>
      <c r="H5" s="183" t="s">
        <v>1022</v>
      </c>
      <c r="I5" s="183" t="s">
        <v>1023</v>
      </c>
      <c r="J5" s="183" t="s">
        <v>1024</v>
      </c>
      <c r="K5" s="183" t="s">
        <v>1025</v>
      </c>
      <c r="L5" s="183" t="s">
        <v>1026</v>
      </c>
      <c r="M5" s="183" t="s">
        <v>1027</v>
      </c>
      <c r="N5" s="183" t="s">
        <v>1028</v>
      </c>
      <c r="O5" s="183" t="s">
        <v>1029</v>
      </c>
      <c r="P5" s="183" t="s">
        <v>1030</v>
      </c>
      <c r="Q5" s="183" t="s">
        <v>1031</v>
      </c>
      <c r="R5" s="183" t="s">
        <v>1032</v>
      </c>
      <c r="S5" s="183" t="s">
        <v>1033</v>
      </c>
      <c r="T5" s="183" t="s">
        <v>1034</v>
      </c>
      <c r="U5" s="183" t="s">
        <v>110</v>
      </c>
      <c r="V5" s="340"/>
    </row>
    <row r="6" spans="1:43" x14ac:dyDescent="0.3">
      <c r="A6" s="305" t="s">
        <v>1035</v>
      </c>
      <c r="B6" s="169" t="s">
        <v>186</v>
      </c>
      <c r="C6" s="178">
        <v>7196</v>
      </c>
      <c r="D6" s="169">
        <v>291</v>
      </c>
      <c r="E6" s="178">
        <v>1411</v>
      </c>
      <c r="F6" s="178">
        <v>8897</v>
      </c>
      <c r="G6" s="178">
        <v>5897</v>
      </c>
      <c r="H6" s="169">
        <v>1053</v>
      </c>
      <c r="I6" s="169">
        <v>689</v>
      </c>
      <c r="J6" s="169">
        <v>1180</v>
      </c>
      <c r="K6" s="169">
        <v>443</v>
      </c>
      <c r="L6" s="169">
        <v>751</v>
      </c>
      <c r="M6" s="169">
        <v>743</v>
      </c>
      <c r="N6" s="169">
        <v>672</v>
      </c>
      <c r="O6" s="169">
        <v>655</v>
      </c>
      <c r="P6" s="169">
        <v>339</v>
      </c>
      <c r="Q6" s="178">
        <v>1072</v>
      </c>
      <c r="R6" s="169">
        <v>580</v>
      </c>
      <c r="S6" s="169">
        <v>220</v>
      </c>
      <c r="T6" s="169">
        <v>222</v>
      </c>
      <c r="U6" s="178">
        <v>8620</v>
      </c>
      <c r="V6" s="195">
        <v>23414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</row>
    <row r="7" spans="1:43" x14ac:dyDescent="0.3">
      <c r="A7" s="305"/>
      <c r="B7" s="95" t="s">
        <v>170</v>
      </c>
      <c r="C7" s="96">
        <v>8132</v>
      </c>
      <c r="D7" s="95">
        <v>251</v>
      </c>
      <c r="E7" s="96">
        <v>2767</v>
      </c>
      <c r="F7" s="96">
        <v>11150</v>
      </c>
      <c r="G7" s="96">
        <v>3610</v>
      </c>
      <c r="H7" s="95">
        <v>761</v>
      </c>
      <c r="I7" s="95">
        <v>1020</v>
      </c>
      <c r="J7" s="95">
        <v>724</v>
      </c>
      <c r="K7" s="95">
        <v>399</v>
      </c>
      <c r="L7" s="95">
        <v>624</v>
      </c>
      <c r="M7" s="96">
        <v>1708</v>
      </c>
      <c r="N7" s="95">
        <v>375</v>
      </c>
      <c r="O7" s="95">
        <v>735</v>
      </c>
      <c r="P7" s="95">
        <v>135</v>
      </c>
      <c r="Q7" s="95">
        <v>493</v>
      </c>
      <c r="R7" s="95">
        <v>387</v>
      </c>
      <c r="S7" s="95">
        <v>118</v>
      </c>
      <c r="T7" s="95">
        <v>146</v>
      </c>
      <c r="U7" s="96">
        <v>7626</v>
      </c>
      <c r="V7" s="30">
        <v>22386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</row>
    <row r="8" spans="1:43" x14ac:dyDescent="0.3">
      <c r="A8" s="305"/>
      <c r="B8" s="95" t="s">
        <v>166</v>
      </c>
      <c r="C8" s="96">
        <v>2020</v>
      </c>
      <c r="D8" s="95">
        <v>216</v>
      </c>
      <c r="E8" s="96">
        <v>5352</v>
      </c>
      <c r="F8" s="96">
        <v>7588</v>
      </c>
      <c r="G8" s="96">
        <v>28663</v>
      </c>
      <c r="H8" s="95">
        <v>361</v>
      </c>
      <c r="I8" s="95">
        <v>44</v>
      </c>
      <c r="J8" s="95">
        <v>47</v>
      </c>
      <c r="K8" s="95">
        <v>39</v>
      </c>
      <c r="L8" s="95">
        <v>7</v>
      </c>
      <c r="M8" s="95">
        <v>107</v>
      </c>
      <c r="N8" s="95">
        <v>242</v>
      </c>
      <c r="O8" s="95">
        <v>64</v>
      </c>
      <c r="P8" s="95">
        <v>88</v>
      </c>
      <c r="Q8" s="95">
        <v>314</v>
      </c>
      <c r="R8" s="96">
        <v>10026</v>
      </c>
      <c r="S8" s="95">
        <v>1</v>
      </c>
      <c r="T8" s="95">
        <v>96</v>
      </c>
      <c r="U8" s="96">
        <v>11434</v>
      </c>
      <c r="V8" s="30">
        <v>47684</v>
      </c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</row>
    <row r="9" spans="1:43" x14ac:dyDescent="0.3">
      <c r="A9" s="305"/>
      <c r="B9" s="95" t="s">
        <v>171</v>
      </c>
      <c r="C9" s="95">
        <v>416</v>
      </c>
      <c r="D9" s="95">
        <v>15</v>
      </c>
      <c r="E9" s="95">
        <v>443</v>
      </c>
      <c r="F9" s="95">
        <v>874</v>
      </c>
      <c r="G9" s="95">
        <v>58</v>
      </c>
      <c r="H9" s="95">
        <v>32</v>
      </c>
      <c r="I9" s="95">
        <v>13</v>
      </c>
      <c r="J9" s="95">
        <v>26</v>
      </c>
      <c r="K9" s="95">
        <v>12</v>
      </c>
      <c r="L9" s="95">
        <v>12</v>
      </c>
      <c r="M9" s="95">
        <v>17</v>
      </c>
      <c r="N9" s="95">
        <v>5</v>
      </c>
      <c r="O9" s="95">
        <v>31</v>
      </c>
      <c r="P9" s="95">
        <v>2</v>
      </c>
      <c r="Q9" s="95">
        <v>7</v>
      </c>
      <c r="R9" s="95">
        <v>12</v>
      </c>
      <c r="S9" s="95">
        <v>9</v>
      </c>
      <c r="T9" s="95">
        <v>177</v>
      </c>
      <c r="U9" s="95">
        <v>353</v>
      </c>
      <c r="V9" s="30">
        <v>1285</v>
      </c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</row>
    <row r="10" spans="1:43" x14ac:dyDescent="0.3">
      <c r="A10" s="305"/>
      <c r="B10" s="95" t="s">
        <v>172</v>
      </c>
      <c r="C10" s="96">
        <v>2477</v>
      </c>
      <c r="D10" s="95">
        <v>196</v>
      </c>
      <c r="E10" s="96">
        <v>1577</v>
      </c>
      <c r="F10" s="96">
        <v>4251</v>
      </c>
      <c r="G10" s="96">
        <v>7138</v>
      </c>
      <c r="H10" s="95">
        <v>610</v>
      </c>
      <c r="I10" s="95">
        <v>222</v>
      </c>
      <c r="J10" s="95">
        <v>288</v>
      </c>
      <c r="K10" s="95">
        <v>464</v>
      </c>
      <c r="L10" s="95">
        <v>58</v>
      </c>
      <c r="M10" s="95">
        <v>282</v>
      </c>
      <c r="N10" s="95">
        <v>297</v>
      </c>
      <c r="O10" s="95">
        <v>454</v>
      </c>
      <c r="P10" s="95">
        <v>379</v>
      </c>
      <c r="Q10" s="95">
        <v>1098</v>
      </c>
      <c r="R10" s="95">
        <v>1020</v>
      </c>
      <c r="S10" s="95">
        <v>125</v>
      </c>
      <c r="T10" s="95">
        <v>24</v>
      </c>
      <c r="U10" s="96">
        <v>5322</v>
      </c>
      <c r="V10" s="30">
        <v>16710</v>
      </c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</row>
    <row r="11" spans="1:43" x14ac:dyDescent="0.3">
      <c r="A11" s="305"/>
      <c r="B11" s="95" t="s">
        <v>173</v>
      </c>
      <c r="C11" s="95">
        <v>201</v>
      </c>
      <c r="D11" s="95">
        <v>42</v>
      </c>
      <c r="E11" s="95">
        <v>247</v>
      </c>
      <c r="F11" s="95">
        <v>490</v>
      </c>
      <c r="G11" s="96">
        <v>5743</v>
      </c>
      <c r="H11" s="95">
        <v>27</v>
      </c>
      <c r="I11" s="95">
        <v>6</v>
      </c>
      <c r="J11" s="95">
        <v>6</v>
      </c>
      <c r="K11" s="95">
        <v>7</v>
      </c>
      <c r="L11" s="95">
        <v>12</v>
      </c>
      <c r="M11" s="95">
        <v>107</v>
      </c>
      <c r="N11" s="95">
        <v>18</v>
      </c>
      <c r="O11" s="95">
        <v>18</v>
      </c>
      <c r="P11" s="95">
        <v>168</v>
      </c>
      <c r="Q11" s="95">
        <v>13</v>
      </c>
      <c r="R11" s="95">
        <v>393</v>
      </c>
      <c r="S11" s="95">
        <v>0</v>
      </c>
      <c r="T11" s="95">
        <v>48</v>
      </c>
      <c r="U11" s="95">
        <v>823</v>
      </c>
      <c r="V11" s="30">
        <v>7056</v>
      </c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</row>
    <row r="12" spans="1:43" x14ac:dyDescent="0.3">
      <c r="A12" s="305"/>
      <c r="B12" s="95" t="s">
        <v>174</v>
      </c>
      <c r="C12" s="95">
        <v>79</v>
      </c>
      <c r="D12" s="95">
        <v>1101</v>
      </c>
      <c r="E12" s="95">
        <v>23</v>
      </c>
      <c r="F12" s="95">
        <v>1203</v>
      </c>
      <c r="G12" s="96">
        <v>1069</v>
      </c>
      <c r="H12" s="95">
        <v>404</v>
      </c>
      <c r="I12" s="95">
        <v>48</v>
      </c>
      <c r="J12" s="95">
        <v>12</v>
      </c>
      <c r="K12" s="95">
        <v>5</v>
      </c>
      <c r="L12" s="95">
        <v>17</v>
      </c>
      <c r="M12" s="95">
        <v>11</v>
      </c>
      <c r="N12" s="95">
        <v>2</v>
      </c>
      <c r="O12" s="95">
        <v>10</v>
      </c>
      <c r="P12" s="95">
        <v>1</v>
      </c>
      <c r="Q12" s="95">
        <v>78</v>
      </c>
      <c r="R12" s="95">
        <v>4</v>
      </c>
      <c r="S12" s="95">
        <v>176</v>
      </c>
      <c r="T12" s="95">
        <v>2</v>
      </c>
      <c r="U12" s="95">
        <v>771</v>
      </c>
      <c r="V12" s="30">
        <v>3042</v>
      </c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</row>
    <row r="13" spans="1:43" x14ac:dyDescent="0.3">
      <c r="A13" s="305"/>
      <c r="B13" s="95" t="s">
        <v>187</v>
      </c>
      <c r="C13" s="96">
        <v>1836</v>
      </c>
      <c r="D13" s="95">
        <v>141</v>
      </c>
      <c r="E13" s="96">
        <v>2836</v>
      </c>
      <c r="F13" s="96">
        <v>4813</v>
      </c>
      <c r="G13" s="96">
        <v>4325</v>
      </c>
      <c r="H13" s="95">
        <v>215</v>
      </c>
      <c r="I13" s="95">
        <v>208</v>
      </c>
      <c r="J13" s="95">
        <v>151</v>
      </c>
      <c r="K13" s="95">
        <v>62</v>
      </c>
      <c r="L13" s="95">
        <v>46</v>
      </c>
      <c r="M13" s="95">
        <v>249</v>
      </c>
      <c r="N13" s="95">
        <v>142</v>
      </c>
      <c r="O13" s="95">
        <v>142</v>
      </c>
      <c r="P13" s="95">
        <v>108</v>
      </c>
      <c r="Q13" s="95">
        <v>384</v>
      </c>
      <c r="R13" s="95">
        <v>75</v>
      </c>
      <c r="S13" s="95">
        <v>34</v>
      </c>
      <c r="T13" s="95">
        <v>226</v>
      </c>
      <c r="U13" s="96">
        <v>2041</v>
      </c>
      <c r="V13" s="30">
        <v>11179</v>
      </c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</row>
    <row r="14" spans="1:43" x14ac:dyDescent="0.3">
      <c r="A14" s="305"/>
      <c r="B14" s="95" t="s">
        <v>150</v>
      </c>
      <c r="C14" s="96">
        <v>2267</v>
      </c>
      <c r="D14" s="96">
        <v>1133</v>
      </c>
      <c r="E14" s="96">
        <v>1380</v>
      </c>
      <c r="F14" s="96">
        <v>4780</v>
      </c>
      <c r="G14" s="96">
        <v>1581</v>
      </c>
      <c r="H14" s="95">
        <v>773</v>
      </c>
      <c r="I14" s="95">
        <v>199</v>
      </c>
      <c r="J14" s="95">
        <v>262</v>
      </c>
      <c r="K14" s="95">
        <v>168</v>
      </c>
      <c r="L14" s="95">
        <v>147</v>
      </c>
      <c r="M14" s="95">
        <v>173</v>
      </c>
      <c r="N14" s="95">
        <v>336</v>
      </c>
      <c r="O14" s="95">
        <v>302</v>
      </c>
      <c r="P14" s="95">
        <v>177</v>
      </c>
      <c r="Q14" s="95">
        <v>231</v>
      </c>
      <c r="R14" s="95">
        <v>329</v>
      </c>
      <c r="S14" s="95">
        <v>29</v>
      </c>
      <c r="T14" s="95">
        <v>178</v>
      </c>
      <c r="U14" s="96">
        <v>3303</v>
      </c>
      <c r="V14" s="30">
        <v>9664</v>
      </c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</row>
    <row r="15" spans="1:43" x14ac:dyDescent="0.3">
      <c r="A15" s="305"/>
      <c r="B15" s="95" t="s">
        <v>175</v>
      </c>
      <c r="C15" s="95">
        <v>868</v>
      </c>
      <c r="D15" s="95">
        <v>29</v>
      </c>
      <c r="E15" s="95">
        <v>517</v>
      </c>
      <c r="F15" s="96">
        <v>1414</v>
      </c>
      <c r="G15" s="95">
        <v>1163</v>
      </c>
      <c r="H15" s="95">
        <v>103</v>
      </c>
      <c r="I15" s="95">
        <v>49</v>
      </c>
      <c r="J15" s="95">
        <v>50</v>
      </c>
      <c r="K15" s="95">
        <v>199</v>
      </c>
      <c r="L15" s="95">
        <v>116</v>
      </c>
      <c r="M15" s="95">
        <v>69</v>
      </c>
      <c r="N15" s="95">
        <v>149</v>
      </c>
      <c r="O15" s="95">
        <v>94</v>
      </c>
      <c r="P15" s="95">
        <v>29</v>
      </c>
      <c r="Q15" s="95">
        <v>90</v>
      </c>
      <c r="R15" s="95">
        <v>56</v>
      </c>
      <c r="S15" s="95">
        <v>188</v>
      </c>
      <c r="T15" s="95">
        <v>13</v>
      </c>
      <c r="U15" s="96">
        <v>1205</v>
      </c>
      <c r="V15" s="30">
        <v>3782</v>
      </c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</row>
    <row r="16" spans="1:43" x14ac:dyDescent="0.3">
      <c r="A16" s="305"/>
      <c r="B16" s="95" t="s">
        <v>188</v>
      </c>
      <c r="C16" s="95">
        <v>202</v>
      </c>
      <c r="D16" s="95">
        <v>8</v>
      </c>
      <c r="E16" s="95">
        <v>102</v>
      </c>
      <c r="F16" s="95">
        <v>312</v>
      </c>
      <c r="G16" s="95">
        <v>563</v>
      </c>
      <c r="H16" s="95">
        <v>34</v>
      </c>
      <c r="I16" s="95">
        <v>14</v>
      </c>
      <c r="J16" s="95">
        <v>38</v>
      </c>
      <c r="K16" s="95">
        <v>5</v>
      </c>
      <c r="L16" s="95">
        <v>11</v>
      </c>
      <c r="M16" s="95">
        <v>4</v>
      </c>
      <c r="N16" s="95">
        <v>39</v>
      </c>
      <c r="O16" s="95">
        <v>10</v>
      </c>
      <c r="P16" s="95">
        <v>3</v>
      </c>
      <c r="Q16" s="95">
        <v>14</v>
      </c>
      <c r="R16" s="95">
        <v>10</v>
      </c>
      <c r="S16" s="95">
        <v>15</v>
      </c>
      <c r="T16" s="95">
        <v>3</v>
      </c>
      <c r="U16" s="95">
        <v>199</v>
      </c>
      <c r="V16" s="123">
        <v>1074</v>
      </c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</row>
    <row r="17" spans="1:43" x14ac:dyDescent="0.3">
      <c r="A17" s="305"/>
      <c r="B17" s="95" t="s">
        <v>176</v>
      </c>
      <c r="C17" s="96">
        <v>3209</v>
      </c>
      <c r="D17" s="95">
        <v>179</v>
      </c>
      <c r="E17" s="95">
        <v>1092</v>
      </c>
      <c r="F17" s="96">
        <v>4480</v>
      </c>
      <c r="G17" s="95">
        <v>1191</v>
      </c>
      <c r="H17" s="96">
        <v>1536</v>
      </c>
      <c r="I17" s="95">
        <v>791</v>
      </c>
      <c r="J17" s="95">
        <v>787</v>
      </c>
      <c r="K17" s="95">
        <v>154</v>
      </c>
      <c r="L17" s="95">
        <v>674</v>
      </c>
      <c r="M17" s="96">
        <v>1300</v>
      </c>
      <c r="N17" s="95">
        <v>808</v>
      </c>
      <c r="O17" s="95">
        <v>741</v>
      </c>
      <c r="P17" s="95">
        <v>424</v>
      </c>
      <c r="Q17" s="95">
        <v>753</v>
      </c>
      <c r="R17" s="95">
        <v>715</v>
      </c>
      <c r="S17" s="95">
        <v>276</v>
      </c>
      <c r="T17" s="95">
        <v>144</v>
      </c>
      <c r="U17" s="96">
        <v>9102</v>
      </c>
      <c r="V17" s="30">
        <v>14773</v>
      </c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</row>
    <row r="18" spans="1:43" x14ac:dyDescent="0.3">
      <c r="A18" s="305"/>
      <c r="B18" s="95" t="s">
        <v>177</v>
      </c>
      <c r="C18" s="96">
        <v>5841</v>
      </c>
      <c r="D18" s="95">
        <v>679</v>
      </c>
      <c r="E18" s="96">
        <v>2934</v>
      </c>
      <c r="F18" s="96">
        <v>9454</v>
      </c>
      <c r="G18" s="96">
        <v>10721</v>
      </c>
      <c r="H18" s="96">
        <v>1412</v>
      </c>
      <c r="I18" s="96">
        <v>1744</v>
      </c>
      <c r="J18" s="95">
        <v>715</v>
      </c>
      <c r="K18" s="95">
        <v>711</v>
      </c>
      <c r="L18" s="95">
        <v>399</v>
      </c>
      <c r="M18" s="96">
        <v>1477</v>
      </c>
      <c r="N18" s="96">
        <v>2119</v>
      </c>
      <c r="O18" s="96">
        <v>1386</v>
      </c>
      <c r="P18" s="95">
        <v>516</v>
      </c>
      <c r="Q18" s="95">
        <v>774</v>
      </c>
      <c r="R18" s="95">
        <v>1067</v>
      </c>
      <c r="S18" s="95">
        <v>216</v>
      </c>
      <c r="T18" s="96">
        <v>4621</v>
      </c>
      <c r="U18" s="96">
        <v>17159</v>
      </c>
      <c r="V18" s="30">
        <v>37334</v>
      </c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</row>
    <row r="19" spans="1:43" x14ac:dyDescent="0.3">
      <c r="A19" s="306"/>
      <c r="B19" s="97" t="s">
        <v>110</v>
      </c>
      <c r="C19" s="98">
        <v>34745</v>
      </c>
      <c r="D19" s="98">
        <v>4280</v>
      </c>
      <c r="E19" s="98">
        <v>20681</v>
      </c>
      <c r="F19" s="98">
        <v>59706</v>
      </c>
      <c r="G19" s="98">
        <v>71720</v>
      </c>
      <c r="H19" s="98">
        <v>7321</v>
      </c>
      <c r="I19" s="98">
        <v>5045</v>
      </c>
      <c r="J19" s="98">
        <v>4285</v>
      </c>
      <c r="K19" s="98">
        <v>2667</v>
      </c>
      <c r="L19" s="98">
        <v>2873</v>
      </c>
      <c r="M19" s="98">
        <v>6246</v>
      </c>
      <c r="N19" s="98">
        <v>5207</v>
      </c>
      <c r="O19" s="98">
        <v>4642</v>
      </c>
      <c r="P19" s="98">
        <v>2369</v>
      </c>
      <c r="Q19" s="98">
        <v>5322</v>
      </c>
      <c r="R19" s="98">
        <v>14673</v>
      </c>
      <c r="S19" s="98">
        <v>1406</v>
      </c>
      <c r="T19" s="98">
        <v>5901</v>
      </c>
      <c r="U19" s="98">
        <v>67958</v>
      </c>
      <c r="V19" s="32">
        <v>199384</v>
      </c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</row>
    <row r="20" spans="1:43" x14ac:dyDescent="0.3">
      <c r="A20" s="304" t="s">
        <v>1036</v>
      </c>
      <c r="B20" s="95" t="s">
        <v>189</v>
      </c>
      <c r="C20" s="96">
        <v>1597</v>
      </c>
      <c r="D20" s="95">
        <v>96</v>
      </c>
      <c r="E20" s="96">
        <v>1120</v>
      </c>
      <c r="F20" s="96">
        <v>2813</v>
      </c>
      <c r="G20" s="95">
        <v>483</v>
      </c>
      <c r="H20" s="96">
        <v>1640</v>
      </c>
      <c r="I20" s="95">
        <v>212</v>
      </c>
      <c r="J20" s="95">
        <v>306</v>
      </c>
      <c r="K20" s="95">
        <v>37</v>
      </c>
      <c r="L20" s="95">
        <v>424</v>
      </c>
      <c r="M20" s="95">
        <v>460</v>
      </c>
      <c r="N20" s="95">
        <v>747</v>
      </c>
      <c r="O20" s="96">
        <v>4372</v>
      </c>
      <c r="P20" s="95">
        <v>567</v>
      </c>
      <c r="Q20" s="95">
        <v>729</v>
      </c>
      <c r="R20" s="95">
        <v>531</v>
      </c>
      <c r="S20" s="95">
        <v>344</v>
      </c>
      <c r="T20" s="95">
        <v>43</v>
      </c>
      <c r="U20" s="96">
        <v>10410</v>
      </c>
      <c r="V20" s="30">
        <v>13706</v>
      </c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</row>
    <row r="21" spans="1:43" x14ac:dyDescent="0.3">
      <c r="A21" s="305"/>
      <c r="B21" s="95" t="s">
        <v>190</v>
      </c>
      <c r="C21" s="95">
        <v>145</v>
      </c>
      <c r="D21" s="95">
        <v>26</v>
      </c>
      <c r="E21" s="95">
        <v>179</v>
      </c>
      <c r="F21" s="95">
        <v>350</v>
      </c>
      <c r="G21" s="95">
        <v>22</v>
      </c>
      <c r="H21" s="95">
        <v>35</v>
      </c>
      <c r="I21" s="95">
        <v>23</v>
      </c>
      <c r="J21" s="95">
        <v>26</v>
      </c>
      <c r="K21" s="95">
        <v>2</v>
      </c>
      <c r="L21" s="95">
        <v>50</v>
      </c>
      <c r="M21" s="95">
        <v>57</v>
      </c>
      <c r="N21" s="95">
        <v>41</v>
      </c>
      <c r="O21" s="95">
        <v>86</v>
      </c>
      <c r="P21" s="95">
        <v>21</v>
      </c>
      <c r="Q21" s="95">
        <v>40</v>
      </c>
      <c r="R21" s="95">
        <v>42</v>
      </c>
      <c r="S21" s="95">
        <v>37</v>
      </c>
      <c r="T21" s="95">
        <v>7</v>
      </c>
      <c r="U21" s="95">
        <v>467</v>
      </c>
      <c r="V21" s="123">
        <v>839</v>
      </c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</row>
    <row r="22" spans="1:43" x14ac:dyDescent="0.3">
      <c r="A22" s="305"/>
      <c r="B22" s="95" t="s">
        <v>191</v>
      </c>
      <c r="C22" s="95">
        <v>289</v>
      </c>
      <c r="D22" s="95">
        <v>16</v>
      </c>
      <c r="E22" s="95">
        <v>140</v>
      </c>
      <c r="F22" s="95">
        <v>446</v>
      </c>
      <c r="G22" s="95">
        <v>29</v>
      </c>
      <c r="H22" s="95">
        <v>139</v>
      </c>
      <c r="I22" s="95">
        <v>184</v>
      </c>
      <c r="J22" s="95">
        <v>6</v>
      </c>
      <c r="K22" s="95">
        <v>56</v>
      </c>
      <c r="L22" s="95">
        <v>2</v>
      </c>
      <c r="M22" s="95">
        <v>13</v>
      </c>
      <c r="N22" s="95">
        <v>22</v>
      </c>
      <c r="O22" s="95">
        <v>50</v>
      </c>
      <c r="P22" s="95">
        <v>1</v>
      </c>
      <c r="Q22" s="95">
        <v>198</v>
      </c>
      <c r="R22" s="95">
        <v>85</v>
      </c>
      <c r="S22" s="95">
        <v>0</v>
      </c>
      <c r="T22" s="95">
        <v>2</v>
      </c>
      <c r="U22" s="95">
        <v>759</v>
      </c>
      <c r="V22" s="123">
        <v>1234</v>
      </c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</row>
    <row r="23" spans="1:43" x14ac:dyDescent="0.3">
      <c r="A23" s="305"/>
      <c r="B23" s="95" t="s">
        <v>192</v>
      </c>
      <c r="C23" s="95">
        <v>78</v>
      </c>
      <c r="D23" s="95">
        <v>6</v>
      </c>
      <c r="E23" s="95">
        <v>45</v>
      </c>
      <c r="F23" s="95">
        <v>129</v>
      </c>
      <c r="G23" s="95">
        <v>22</v>
      </c>
      <c r="H23" s="95">
        <v>9</v>
      </c>
      <c r="I23" s="95">
        <v>4</v>
      </c>
      <c r="J23" s="95">
        <v>1</v>
      </c>
      <c r="K23" s="95">
        <v>2</v>
      </c>
      <c r="L23" s="95">
        <v>15</v>
      </c>
      <c r="M23" s="95">
        <v>12</v>
      </c>
      <c r="N23" s="95">
        <v>6</v>
      </c>
      <c r="O23" s="95">
        <v>6</v>
      </c>
      <c r="P23" s="95">
        <v>1</v>
      </c>
      <c r="Q23" s="95">
        <v>11</v>
      </c>
      <c r="R23" s="95">
        <v>5</v>
      </c>
      <c r="S23" s="95">
        <v>2</v>
      </c>
      <c r="T23" s="95">
        <v>1</v>
      </c>
      <c r="U23" s="95">
        <v>73</v>
      </c>
      <c r="V23" s="123">
        <v>225</v>
      </c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</row>
    <row r="24" spans="1:43" x14ac:dyDescent="0.3">
      <c r="A24" s="305"/>
      <c r="B24" s="95" t="s">
        <v>193</v>
      </c>
      <c r="C24" s="96">
        <v>1172</v>
      </c>
      <c r="D24" s="95">
        <v>314</v>
      </c>
      <c r="E24" s="95">
        <v>1147</v>
      </c>
      <c r="F24" s="96">
        <v>2632</v>
      </c>
      <c r="G24" s="95">
        <v>1020</v>
      </c>
      <c r="H24" s="95">
        <v>313</v>
      </c>
      <c r="I24" s="95">
        <v>100</v>
      </c>
      <c r="J24" s="95">
        <v>98</v>
      </c>
      <c r="K24" s="95">
        <v>443</v>
      </c>
      <c r="L24" s="95">
        <v>91</v>
      </c>
      <c r="M24" s="95">
        <v>435</v>
      </c>
      <c r="N24" s="95">
        <v>367</v>
      </c>
      <c r="O24" s="95">
        <v>303</v>
      </c>
      <c r="P24" s="95">
        <v>141</v>
      </c>
      <c r="Q24" s="95">
        <v>415</v>
      </c>
      <c r="R24" s="95">
        <v>280</v>
      </c>
      <c r="S24" s="95">
        <v>51</v>
      </c>
      <c r="T24" s="95">
        <v>56</v>
      </c>
      <c r="U24" s="96">
        <v>3093</v>
      </c>
      <c r="V24" s="30">
        <v>6746</v>
      </c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</row>
    <row r="25" spans="1:43" x14ac:dyDescent="0.3">
      <c r="A25" s="305"/>
      <c r="B25" s="95" t="s">
        <v>194</v>
      </c>
      <c r="C25" s="96">
        <v>1505</v>
      </c>
      <c r="D25" s="95">
        <v>122</v>
      </c>
      <c r="E25" s="95">
        <v>870</v>
      </c>
      <c r="F25" s="96">
        <v>2497</v>
      </c>
      <c r="G25" s="95">
        <v>424</v>
      </c>
      <c r="H25" s="95">
        <v>74</v>
      </c>
      <c r="I25" s="95">
        <v>151</v>
      </c>
      <c r="J25" s="95">
        <v>75</v>
      </c>
      <c r="K25" s="95">
        <v>40</v>
      </c>
      <c r="L25" s="95">
        <v>139</v>
      </c>
      <c r="M25" s="95">
        <v>129</v>
      </c>
      <c r="N25" s="95">
        <v>55</v>
      </c>
      <c r="O25" s="95">
        <v>80</v>
      </c>
      <c r="P25" s="95">
        <v>61</v>
      </c>
      <c r="Q25" s="95">
        <v>117</v>
      </c>
      <c r="R25" s="95">
        <v>68</v>
      </c>
      <c r="S25" s="95">
        <v>23</v>
      </c>
      <c r="T25" s="95">
        <v>15</v>
      </c>
      <c r="U25" s="95">
        <v>1027</v>
      </c>
      <c r="V25" s="30">
        <v>3948</v>
      </c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</row>
    <row r="26" spans="1:43" x14ac:dyDescent="0.3">
      <c r="A26" s="305"/>
      <c r="B26" s="95" t="s">
        <v>195</v>
      </c>
      <c r="C26" s="95">
        <v>388</v>
      </c>
      <c r="D26" s="95">
        <v>247</v>
      </c>
      <c r="E26" s="95">
        <v>504</v>
      </c>
      <c r="F26" s="95">
        <v>1138</v>
      </c>
      <c r="G26" s="95">
        <v>358</v>
      </c>
      <c r="H26" s="95">
        <v>143</v>
      </c>
      <c r="I26" s="95">
        <v>122</v>
      </c>
      <c r="J26" s="95">
        <v>33</v>
      </c>
      <c r="K26" s="95">
        <v>61</v>
      </c>
      <c r="L26" s="95">
        <v>79</v>
      </c>
      <c r="M26" s="95">
        <v>119</v>
      </c>
      <c r="N26" s="95">
        <v>297</v>
      </c>
      <c r="O26" s="95">
        <v>93</v>
      </c>
      <c r="P26" s="95">
        <v>140</v>
      </c>
      <c r="Q26" s="95">
        <v>501</v>
      </c>
      <c r="R26" s="95">
        <v>457</v>
      </c>
      <c r="S26" s="95">
        <v>1</v>
      </c>
      <c r="T26" s="95">
        <v>98</v>
      </c>
      <c r="U26" s="96">
        <v>2144</v>
      </c>
      <c r="V26" s="30">
        <v>3639</v>
      </c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</row>
    <row r="27" spans="1:43" ht="16.5" customHeight="1" x14ac:dyDescent="0.3">
      <c r="A27" s="305"/>
      <c r="B27" s="168" t="s">
        <v>1037</v>
      </c>
      <c r="C27" s="177">
        <v>2777</v>
      </c>
      <c r="D27" s="168">
        <v>402</v>
      </c>
      <c r="E27" s="177">
        <v>3638</v>
      </c>
      <c r="F27" s="177">
        <v>6817</v>
      </c>
      <c r="G27" s="177">
        <v>1992</v>
      </c>
      <c r="H27" s="168">
        <v>230</v>
      </c>
      <c r="I27" s="168">
        <v>285</v>
      </c>
      <c r="J27" s="168">
        <v>308</v>
      </c>
      <c r="K27" s="168">
        <v>202</v>
      </c>
      <c r="L27" s="168">
        <v>58</v>
      </c>
      <c r="M27" s="168">
        <v>386</v>
      </c>
      <c r="N27" s="168">
        <v>506</v>
      </c>
      <c r="O27" s="168">
        <v>185</v>
      </c>
      <c r="P27" s="168">
        <v>50</v>
      </c>
      <c r="Q27" s="168">
        <v>491</v>
      </c>
      <c r="R27" s="168">
        <v>458</v>
      </c>
      <c r="S27" s="168">
        <v>8</v>
      </c>
      <c r="T27" s="168">
        <v>53</v>
      </c>
      <c r="U27" s="177">
        <v>3220</v>
      </c>
      <c r="V27" s="190">
        <v>12029</v>
      </c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</row>
    <row r="28" spans="1:43" x14ac:dyDescent="0.3">
      <c r="A28" s="305"/>
      <c r="B28" s="95" t="s">
        <v>847</v>
      </c>
      <c r="C28" s="96">
        <v>1524</v>
      </c>
      <c r="D28" s="95">
        <v>186</v>
      </c>
      <c r="E28" s="96">
        <v>1301</v>
      </c>
      <c r="F28" s="96">
        <v>3010</v>
      </c>
      <c r="G28" s="95">
        <v>673</v>
      </c>
      <c r="H28" s="95">
        <v>225</v>
      </c>
      <c r="I28" s="95">
        <v>290</v>
      </c>
      <c r="J28" s="95">
        <v>284</v>
      </c>
      <c r="K28" s="95">
        <v>59</v>
      </c>
      <c r="L28" s="95">
        <v>172</v>
      </c>
      <c r="M28" s="95">
        <v>178</v>
      </c>
      <c r="N28" s="95">
        <v>139</v>
      </c>
      <c r="O28" s="95">
        <v>81</v>
      </c>
      <c r="P28" s="95">
        <v>89</v>
      </c>
      <c r="Q28" s="95">
        <v>226</v>
      </c>
      <c r="R28" s="95">
        <v>167</v>
      </c>
      <c r="S28" s="95">
        <v>13</v>
      </c>
      <c r="T28" s="95">
        <v>21</v>
      </c>
      <c r="U28" s="96">
        <v>1947</v>
      </c>
      <c r="V28" s="30">
        <v>5631</v>
      </c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</row>
    <row r="29" spans="1:43" x14ac:dyDescent="0.3">
      <c r="A29" s="305"/>
      <c r="B29" s="95" t="s">
        <v>197</v>
      </c>
      <c r="C29" s="95">
        <v>1383</v>
      </c>
      <c r="D29" s="95">
        <v>333</v>
      </c>
      <c r="E29" s="96">
        <v>3701</v>
      </c>
      <c r="F29" s="96">
        <v>5416</v>
      </c>
      <c r="G29" s="95">
        <v>1192</v>
      </c>
      <c r="H29" s="95">
        <v>539</v>
      </c>
      <c r="I29" s="95">
        <v>348</v>
      </c>
      <c r="J29" s="95">
        <v>220</v>
      </c>
      <c r="K29" s="95">
        <v>194</v>
      </c>
      <c r="L29" s="95">
        <v>64</v>
      </c>
      <c r="M29" s="95">
        <v>210</v>
      </c>
      <c r="N29" s="95">
        <v>581</v>
      </c>
      <c r="O29" s="95">
        <v>222</v>
      </c>
      <c r="P29" s="95">
        <v>196</v>
      </c>
      <c r="Q29" s="95">
        <v>341</v>
      </c>
      <c r="R29" s="95">
        <v>1401</v>
      </c>
      <c r="S29" s="95">
        <v>27</v>
      </c>
      <c r="T29" s="95">
        <v>41</v>
      </c>
      <c r="U29" s="96">
        <v>4383</v>
      </c>
      <c r="V29" s="30">
        <v>10992</v>
      </c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</row>
    <row r="30" spans="1:43" x14ac:dyDescent="0.3">
      <c r="A30" s="305"/>
      <c r="B30" s="95" t="s">
        <v>198</v>
      </c>
      <c r="C30" s="95">
        <v>895</v>
      </c>
      <c r="D30" s="95">
        <v>317</v>
      </c>
      <c r="E30" s="95">
        <v>2289</v>
      </c>
      <c r="F30" s="96">
        <v>3501</v>
      </c>
      <c r="G30" s="95">
        <v>655</v>
      </c>
      <c r="H30" s="95">
        <v>714</v>
      </c>
      <c r="I30" s="95">
        <v>379</v>
      </c>
      <c r="J30" s="95">
        <v>105</v>
      </c>
      <c r="K30" s="95">
        <v>535</v>
      </c>
      <c r="L30" s="95">
        <v>21</v>
      </c>
      <c r="M30" s="95">
        <v>204</v>
      </c>
      <c r="N30" s="95">
        <v>1188</v>
      </c>
      <c r="O30" s="95">
        <v>395</v>
      </c>
      <c r="P30" s="95">
        <v>61</v>
      </c>
      <c r="Q30" s="95">
        <v>704</v>
      </c>
      <c r="R30" s="95">
        <v>1153</v>
      </c>
      <c r="S30" s="95">
        <v>4</v>
      </c>
      <c r="T30" s="95">
        <v>48</v>
      </c>
      <c r="U30" s="96">
        <v>5509</v>
      </c>
      <c r="V30" s="30">
        <v>9665</v>
      </c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</row>
    <row r="31" spans="1:43" x14ac:dyDescent="0.3">
      <c r="A31" s="305"/>
      <c r="B31" s="95" t="s">
        <v>199</v>
      </c>
      <c r="C31" s="95">
        <v>205</v>
      </c>
      <c r="D31" s="95">
        <v>23</v>
      </c>
      <c r="E31" s="95">
        <v>238</v>
      </c>
      <c r="F31" s="95">
        <v>466</v>
      </c>
      <c r="G31" s="95">
        <v>191</v>
      </c>
      <c r="H31" s="95">
        <v>54</v>
      </c>
      <c r="I31" s="95">
        <v>22</v>
      </c>
      <c r="J31" s="95">
        <v>13</v>
      </c>
      <c r="K31" s="95">
        <v>38</v>
      </c>
      <c r="L31" s="95">
        <v>5</v>
      </c>
      <c r="M31" s="95">
        <v>49</v>
      </c>
      <c r="N31" s="95">
        <v>42</v>
      </c>
      <c r="O31" s="95">
        <v>9</v>
      </c>
      <c r="P31" s="95">
        <v>144</v>
      </c>
      <c r="Q31" s="95">
        <v>29</v>
      </c>
      <c r="R31" s="95">
        <v>54</v>
      </c>
      <c r="S31" s="95">
        <v>18</v>
      </c>
      <c r="T31" s="95">
        <v>1</v>
      </c>
      <c r="U31" s="95">
        <v>477</v>
      </c>
      <c r="V31" s="30">
        <v>1134</v>
      </c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</row>
    <row r="32" spans="1:43" x14ac:dyDescent="0.3">
      <c r="A32" s="305"/>
      <c r="B32" s="168" t="s">
        <v>1038</v>
      </c>
      <c r="C32" s="168">
        <v>157</v>
      </c>
      <c r="D32" s="168">
        <v>37</v>
      </c>
      <c r="E32" s="168">
        <v>135</v>
      </c>
      <c r="F32" s="168">
        <v>330</v>
      </c>
      <c r="G32" s="168">
        <v>148</v>
      </c>
      <c r="H32" s="168">
        <v>40</v>
      </c>
      <c r="I32" s="168">
        <v>25</v>
      </c>
      <c r="J32" s="168">
        <v>36</v>
      </c>
      <c r="K32" s="168">
        <v>16</v>
      </c>
      <c r="L32" s="168">
        <v>16</v>
      </c>
      <c r="M32" s="168">
        <v>12</v>
      </c>
      <c r="N32" s="168">
        <v>64</v>
      </c>
      <c r="O32" s="168">
        <v>41</v>
      </c>
      <c r="P32" s="168">
        <v>38</v>
      </c>
      <c r="Q32" s="168">
        <v>46</v>
      </c>
      <c r="R32" s="168">
        <v>36</v>
      </c>
      <c r="S32" s="168">
        <v>11</v>
      </c>
      <c r="T32" s="168">
        <v>2</v>
      </c>
      <c r="U32" s="168">
        <v>383</v>
      </c>
      <c r="V32" s="38">
        <v>861</v>
      </c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</row>
    <row r="33" spans="1:43" x14ac:dyDescent="0.3">
      <c r="A33" s="305"/>
      <c r="B33" s="95" t="s">
        <v>178</v>
      </c>
      <c r="C33" s="95">
        <v>735</v>
      </c>
      <c r="D33" s="95">
        <v>40</v>
      </c>
      <c r="E33" s="96">
        <v>1004</v>
      </c>
      <c r="F33" s="96">
        <v>1779</v>
      </c>
      <c r="G33" s="95">
        <v>245</v>
      </c>
      <c r="H33" s="95">
        <v>146</v>
      </c>
      <c r="I33" s="95">
        <v>142</v>
      </c>
      <c r="J33" s="95">
        <v>28</v>
      </c>
      <c r="K33" s="95">
        <v>25</v>
      </c>
      <c r="L33" s="95">
        <v>41</v>
      </c>
      <c r="M33" s="95">
        <v>73</v>
      </c>
      <c r="N33" s="95">
        <v>67</v>
      </c>
      <c r="O33" s="95">
        <v>74</v>
      </c>
      <c r="P33" s="95">
        <v>20</v>
      </c>
      <c r="Q33" s="95">
        <v>46</v>
      </c>
      <c r="R33" s="95">
        <v>102</v>
      </c>
      <c r="S33" s="95">
        <v>1</v>
      </c>
      <c r="T33" s="95">
        <v>18</v>
      </c>
      <c r="U33" s="95">
        <v>786</v>
      </c>
      <c r="V33" s="30">
        <v>2810</v>
      </c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</row>
    <row r="34" spans="1:43" x14ac:dyDescent="0.3">
      <c r="A34" s="305"/>
      <c r="B34" s="95" t="s">
        <v>200</v>
      </c>
      <c r="C34" s="96">
        <v>1292</v>
      </c>
      <c r="D34" s="95">
        <v>22</v>
      </c>
      <c r="E34" s="95">
        <v>629</v>
      </c>
      <c r="F34" s="96">
        <v>1943</v>
      </c>
      <c r="G34" s="95">
        <v>742</v>
      </c>
      <c r="H34" s="95">
        <v>119</v>
      </c>
      <c r="I34" s="95">
        <v>77</v>
      </c>
      <c r="J34" s="95">
        <v>61</v>
      </c>
      <c r="K34" s="95">
        <v>17</v>
      </c>
      <c r="L34" s="95">
        <v>17</v>
      </c>
      <c r="M34" s="95">
        <v>28</v>
      </c>
      <c r="N34" s="95">
        <v>33</v>
      </c>
      <c r="O34" s="95">
        <v>44</v>
      </c>
      <c r="P34" s="95">
        <v>22</v>
      </c>
      <c r="Q34" s="95">
        <v>28</v>
      </c>
      <c r="R34" s="95">
        <v>12</v>
      </c>
      <c r="S34" s="95">
        <v>15</v>
      </c>
      <c r="T34" s="95">
        <v>21</v>
      </c>
      <c r="U34" s="95">
        <v>491</v>
      </c>
      <c r="V34" s="30">
        <v>3175</v>
      </c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</row>
    <row r="35" spans="1:43" x14ac:dyDescent="0.3">
      <c r="A35" s="305"/>
      <c r="B35" s="95" t="s">
        <v>201</v>
      </c>
      <c r="C35" s="96">
        <v>3461</v>
      </c>
      <c r="D35" s="95">
        <v>205</v>
      </c>
      <c r="E35" s="95">
        <v>1146</v>
      </c>
      <c r="F35" s="96">
        <v>4812</v>
      </c>
      <c r="G35" s="96">
        <v>1604</v>
      </c>
      <c r="H35" s="95">
        <v>637</v>
      </c>
      <c r="I35" s="95">
        <v>250</v>
      </c>
      <c r="J35" s="95">
        <v>170</v>
      </c>
      <c r="K35" s="95">
        <v>176</v>
      </c>
      <c r="L35" s="95">
        <v>153</v>
      </c>
      <c r="M35" s="95">
        <v>198</v>
      </c>
      <c r="N35" s="95">
        <v>162</v>
      </c>
      <c r="O35" s="95">
        <v>107</v>
      </c>
      <c r="P35" s="95">
        <v>57</v>
      </c>
      <c r="Q35" s="95">
        <v>354</v>
      </c>
      <c r="R35" s="95">
        <v>225</v>
      </c>
      <c r="S35" s="95">
        <v>71</v>
      </c>
      <c r="T35" s="95">
        <v>64</v>
      </c>
      <c r="U35" s="96">
        <v>2624</v>
      </c>
      <c r="V35" s="30">
        <v>9041</v>
      </c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</row>
    <row r="36" spans="1:43" x14ac:dyDescent="0.3">
      <c r="A36" s="305"/>
      <c r="B36" s="95" t="s">
        <v>179</v>
      </c>
      <c r="C36" s="95">
        <v>281</v>
      </c>
      <c r="D36" s="95">
        <v>6</v>
      </c>
      <c r="E36" s="95">
        <v>120</v>
      </c>
      <c r="F36" s="95">
        <v>408</v>
      </c>
      <c r="G36" s="95">
        <v>83</v>
      </c>
      <c r="H36" s="95">
        <v>32</v>
      </c>
      <c r="I36" s="95">
        <v>19</v>
      </c>
      <c r="J36" s="95">
        <v>26</v>
      </c>
      <c r="K36" s="95">
        <v>8</v>
      </c>
      <c r="L36" s="95">
        <v>13</v>
      </c>
      <c r="M36" s="95">
        <v>21</v>
      </c>
      <c r="N36" s="95">
        <v>20</v>
      </c>
      <c r="O36" s="95">
        <v>17</v>
      </c>
      <c r="P36" s="95">
        <v>11</v>
      </c>
      <c r="Q36" s="95">
        <v>37</v>
      </c>
      <c r="R36" s="95">
        <v>6</v>
      </c>
      <c r="S36" s="95">
        <v>2</v>
      </c>
      <c r="T36" s="95">
        <v>21</v>
      </c>
      <c r="U36" s="95">
        <v>234</v>
      </c>
      <c r="V36" s="123">
        <v>725</v>
      </c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</row>
    <row r="37" spans="1:43" x14ac:dyDescent="0.3">
      <c r="A37" s="305"/>
      <c r="B37" s="95" t="s">
        <v>180</v>
      </c>
      <c r="C37" s="95">
        <v>1276</v>
      </c>
      <c r="D37" s="95">
        <v>51</v>
      </c>
      <c r="E37" s="95">
        <v>498</v>
      </c>
      <c r="F37" s="96">
        <v>1825</v>
      </c>
      <c r="G37" s="95">
        <v>217</v>
      </c>
      <c r="H37" s="95">
        <v>116</v>
      </c>
      <c r="I37" s="95">
        <v>60</v>
      </c>
      <c r="J37" s="95">
        <v>92</v>
      </c>
      <c r="K37" s="95">
        <v>34</v>
      </c>
      <c r="L37" s="95">
        <v>75</v>
      </c>
      <c r="M37" s="95">
        <v>83</v>
      </c>
      <c r="N37" s="95">
        <v>42</v>
      </c>
      <c r="O37" s="95">
        <v>59</v>
      </c>
      <c r="P37" s="95">
        <v>35</v>
      </c>
      <c r="Q37" s="95">
        <v>38</v>
      </c>
      <c r="R37" s="95">
        <v>57</v>
      </c>
      <c r="S37" s="95">
        <v>3</v>
      </c>
      <c r="T37" s="95">
        <v>293</v>
      </c>
      <c r="U37" s="95">
        <v>987</v>
      </c>
      <c r="V37" s="30">
        <v>3029</v>
      </c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</row>
    <row r="38" spans="1:43" x14ac:dyDescent="0.3">
      <c r="A38" s="305"/>
      <c r="B38" s="95" t="s">
        <v>851</v>
      </c>
      <c r="C38" s="95">
        <v>206</v>
      </c>
      <c r="D38" s="95">
        <v>27</v>
      </c>
      <c r="E38" s="95">
        <v>107</v>
      </c>
      <c r="F38" s="95">
        <v>340</v>
      </c>
      <c r="G38" s="95">
        <v>118</v>
      </c>
      <c r="H38" s="95">
        <v>17</v>
      </c>
      <c r="I38" s="95">
        <v>4</v>
      </c>
      <c r="J38" s="95">
        <v>22</v>
      </c>
      <c r="K38" s="95">
        <v>8</v>
      </c>
      <c r="L38" s="95">
        <v>3</v>
      </c>
      <c r="M38" s="95">
        <v>2</v>
      </c>
      <c r="N38" s="95">
        <v>21</v>
      </c>
      <c r="O38" s="95">
        <v>5</v>
      </c>
      <c r="P38" s="95">
        <v>3</v>
      </c>
      <c r="Q38" s="95">
        <v>11</v>
      </c>
      <c r="R38" s="95">
        <v>1</v>
      </c>
      <c r="S38" s="95">
        <v>14</v>
      </c>
      <c r="T38" s="95">
        <v>16</v>
      </c>
      <c r="U38" s="95">
        <v>127</v>
      </c>
      <c r="V38" s="123">
        <v>585</v>
      </c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</row>
    <row r="39" spans="1:43" x14ac:dyDescent="0.3">
      <c r="A39" s="305"/>
      <c r="B39" s="95" t="s">
        <v>181</v>
      </c>
      <c r="C39" s="96">
        <v>1913</v>
      </c>
      <c r="D39" s="95">
        <v>181</v>
      </c>
      <c r="E39" s="96">
        <v>1573</v>
      </c>
      <c r="F39" s="96">
        <v>3667</v>
      </c>
      <c r="G39" s="96">
        <v>1111</v>
      </c>
      <c r="H39" s="95">
        <v>770</v>
      </c>
      <c r="I39" s="96">
        <v>947</v>
      </c>
      <c r="J39" s="95">
        <v>200</v>
      </c>
      <c r="K39" s="95">
        <v>166</v>
      </c>
      <c r="L39" s="95">
        <v>219</v>
      </c>
      <c r="M39" s="95">
        <v>219</v>
      </c>
      <c r="N39" s="95">
        <v>676</v>
      </c>
      <c r="O39" s="95">
        <v>604</v>
      </c>
      <c r="P39" s="95">
        <v>245</v>
      </c>
      <c r="Q39" s="95">
        <v>391</v>
      </c>
      <c r="R39" s="96">
        <v>784</v>
      </c>
      <c r="S39" s="95">
        <v>57</v>
      </c>
      <c r="T39" s="95">
        <v>110</v>
      </c>
      <c r="U39" s="96">
        <v>5389</v>
      </c>
      <c r="V39" s="30">
        <v>10167</v>
      </c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</row>
    <row r="40" spans="1:43" x14ac:dyDescent="0.3">
      <c r="A40" s="306"/>
      <c r="B40" s="97" t="s">
        <v>110</v>
      </c>
      <c r="C40" s="98">
        <v>21278</v>
      </c>
      <c r="D40" s="98">
        <v>2657</v>
      </c>
      <c r="E40" s="98">
        <v>20384</v>
      </c>
      <c r="F40" s="98">
        <v>44319</v>
      </c>
      <c r="G40" s="98">
        <v>11330</v>
      </c>
      <c r="H40" s="98">
        <v>5991</v>
      </c>
      <c r="I40" s="98">
        <v>3644</v>
      </c>
      <c r="J40" s="98">
        <v>2110</v>
      </c>
      <c r="K40" s="98">
        <v>2117</v>
      </c>
      <c r="L40" s="98">
        <v>1661</v>
      </c>
      <c r="M40" s="98">
        <v>2887</v>
      </c>
      <c r="N40" s="98">
        <v>5078</v>
      </c>
      <c r="O40" s="98">
        <v>6833</v>
      </c>
      <c r="P40" s="98">
        <v>1901</v>
      </c>
      <c r="Q40" s="98">
        <v>4753</v>
      </c>
      <c r="R40" s="98">
        <v>5926</v>
      </c>
      <c r="S40" s="97">
        <v>702</v>
      </c>
      <c r="T40" s="97">
        <v>929</v>
      </c>
      <c r="U40" s="98">
        <v>44532</v>
      </c>
      <c r="V40" s="32">
        <v>100180</v>
      </c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</row>
    <row r="41" spans="1:43" x14ac:dyDescent="0.3">
      <c r="A41" s="321" t="s">
        <v>86</v>
      </c>
      <c r="B41" s="322"/>
      <c r="C41" s="98">
        <v>56024</v>
      </c>
      <c r="D41" s="98">
        <v>6937</v>
      </c>
      <c r="E41" s="98">
        <v>41064</v>
      </c>
      <c r="F41" s="98">
        <v>104025</v>
      </c>
      <c r="G41" s="98">
        <v>83050</v>
      </c>
      <c r="H41" s="98">
        <v>13312</v>
      </c>
      <c r="I41" s="98">
        <v>8689</v>
      </c>
      <c r="J41" s="98">
        <v>6396</v>
      </c>
      <c r="K41" s="98">
        <v>4784</v>
      </c>
      <c r="L41" s="98">
        <v>4534</v>
      </c>
      <c r="M41" s="98">
        <v>9134</v>
      </c>
      <c r="N41" s="98">
        <v>10284</v>
      </c>
      <c r="O41" s="98">
        <v>11475</v>
      </c>
      <c r="P41" s="98">
        <v>4270</v>
      </c>
      <c r="Q41" s="98">
        <v>10075</v>
      </c>
      <c r="R41" s="98">
        <v>20598</v>
      </c>
      <c r="S41" s="98">
        <v>2108</v>
      </c>
      <c r="T41" s="98">
        <v>6830</v>
      </c>
      <c r="U41" s="98">
        <v>112490</v>
      </c>
      <c r="V41" s="32">
        <v>299565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</row>
    <row r="43" spans="1:43" x14ac:dyDescent="0.3">
      <c r="A43" t="s">
        <v>1363</v>
      </c>
    </row>
    <row r="44" spans="1:43" x14ac:dyDescent="0.3">
      <c r="A44" t="s">
        <v>137</v>
      </c>
    </row>
    <row r="45" spans="1:43" x14ac:dyDescent="0.3">
      <c r="A45" t="s">
        <v>136</v>
      </c>
    </row>
    <row r="47" spans="1:43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</row>
    <row r="48" spans="1:43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</row>
    <row r="49" spans="3:22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</row>
    <row r="50" spans="3:22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</row>
    <row r="51" spans="3:22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</row>
    <row r="52" spans="3:22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</row>
    <row r="53" spans="3:22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</row>
    <row r="54" spans="3:22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</row>
    <row r="55" spans="3:22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</row>
    <row r="56" spans="3:22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</row>
    <row r="57" spans="3:22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</row>
    <row r="58" spans="3:22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</row>
    <row r="59" spans="3:22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</row>
    <row r="60" spans="3:22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</row>
    <row r="61" spans="3:22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</row>
    <row r="62" spans="3:22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</row>
    <row r="63" spans="3:22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</row>
    <row r="64" spans="3:22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</row>
    <row r="65" spans="3:22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</row>
    <row r="66" spans="3:22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</row>
    <row r="67" spans="3:22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</row>
    <row r="68" spans="3:22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</row>
    <row r="69" spans="3:22" x14ac:dyDescent="0.3"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</row>
    <row r="70" spans="3:22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</row>
    <row r="71" spans="3:22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</row>
    <row r="72" spans="3:22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</row>
    <row r="73" spans="3:22" x14ac:dyDescent="0.3"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</row>
    <row r="74" spans="3:22" x14ac:dyDescent="0.3"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</row>
    <row r="75" spans="3:22" x14ac:dyDescent="0.3"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</row>
    <row r="76" spans="3:22" x14ac:dyDescent="0.3"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</row>
    <row r="77" spans="3:22" x14ac:dyDescent="0.3"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</row>
    <row r="78" spans="3:22" x14ac:dyDescent="0.3"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</row>
    <row r="79" spans="3:22" x14ac:dyDescent="0.3"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</row>
    <row r="80" spans="3:22" x14ac:dyDescent="0.3"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</row>
    <row r="81" spans="3:22" x14ac:dyDescent="0.3"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</row>
    <row r="82" spans="3:22" x14ac:dyDescent="0.3"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</row>
  </sheetData>
  <mergeCells count="9">
    <mergeCell ref="H4:U4"/>
    <mergeCell ref="V4:V5"/>
    <mergeCell ref="A6:A19"/>
    <mergeCell ref="A20:A40"/>
    <mergeCell ref="A41:B41"/>
    <mergeCell ref="A4:A5"/>
    <mergeCell ref="B4:B5"/>
    <mergeCell ref="C4:F4"/>
    <mergeCell ref="G4:G5"/>
  </mergeCells>
  <phoneticPr fontId="1" type="noConversion"/>
  <hyperlinks>
    <hyperlink ref="F1" location="목차!A1" display="목차" xr:uid="{DFFAD022-0426-4DB9-B2AB-A099B2FF6937}"/>
  </hyperlinks>
  <pageMargins left="0.7" right="0.7" top="0.75" bottom="0.75" header="0.3" footer="0.3"/>
  <pageSetup paperSize="9" orientation="portrait" copies="16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BC72-FEA2-4550-92EF-5C090EB95D35}">
  <sheetPr>
    <tabColor theme="0" tint="-4.9989318521683403E-2"/>
  </sheetPr>
  <dimension ref="A1:AR120"/>
  <sheetViews>
    <sheetView topLeftCell="A73" zoomScale="70" zoomScaleNormal="70" workbookViewId="0">
      <selection activeCell="A118" sqref="A118"/>
    </sheetView>
  </sheetViews>
  <sheetFormatPr defaultRowHeight="16.5" x14ac:dyDescent="0.3"/>
  <cols>
    <col min="1" max="1" width="17.625" customWidth="1"/>
    <col min="2" max="2" width="21.75" customWidth="1"/>
    <col min="3" max="3" width="44" customWidth="1"/>
  </cols>
  <sheetData>
    <row r="1" spans="1:44" ht="17.25" x14ac:dyDescent="0.3">
      <c r="A1" s="7" t="s">
        <v>1279</v>
      </c>
      <c r="B1" s="4"/>
      <c r="C1" s="4"/>
      <c r="D1" s="199"/>
      <c r="E1" s="71" t="s">
        <v>367</v>
      </c>
      <c r="F1" s="199"/>
      <c r="G1" s="199"/>
    </row>
    <row r="3" spans="1:44" x14ac:dyDescent="0.3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 t="s">
        <v>843</v>
      </c>
    </row>
    <row r="4" spans="1:44" ht="17.25" thickBot="1" x14ac:dyDescent="0.35">
      <c r="A4" s="342" t="s">
        <v>496</v>
      </c>
      <c r="B4" s="341" t="s">
        <v>497</v>
      </c>
      <c r="C4" s="341" t="s">
        <v>853</v>
      </c>
      <c r="D4" s="335" t="s">
        <v>115</v>
      </c>
      <c r="E4" s="336"/>
      <c r="F4" s="336"/>
      <c r="G4" s="345"/>
      <c r="H4" s="341" t="s">
        <v>833</v>
      </c>
      <c r="I4" s="335" t="s">
        <v>1003</v>
      </c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45"/>
      <c r="W4" s="340" t="s">
        <v>86</v>
      </c>
    </row>
    <row r="5" spans="1:44" ht="17.25" thickTop="1" x14ac:dyDescent="0.3">
      <c r="A5" s="342"/>
      <c r="B5" s="341"/>
      <c r="C5" s="341"/>
      <c r="D5" s="183" t="s">
        <v>1019</v>
      </c>
      <c r="E5" s="183" t="s">
        <v>1020</v>
      </c>
      <c r="F5" s="183" t="s">
        <v>1021</v>
      </c>
      <c r="G5" s="183" t="s">
        <v>110</v>
      </c>
      <c r="H5" s="341"/>
      <c r="I5" s="183" t="s">
        <v>1022</v>
      </c>
      <c r="J5" s="183" t="s">
        <v>1023</v>
      </c>
      <c r="K5" s="183" t="s">
        <v>1024</v>
      </c>
      <c r="L5" s="183" t="s">
        <v>1025</v>
      </c>
      <c r="M5" s="183" t="s">
        <v>1026</v>
      </c>
      <c r="N5" s="183" t="s">
        <v>1027</v>
      </c>
      <c r="O5" s="183" t="s">
        <v>1028</v>
      </c>
      <c r="P5" s="183" t="s">
        <v>1029</v>
      </c>
      <c r="Q5" s="183" t="s">
        <v>1030</v>
      </c>
      <c r="R5" s="183" t="s">
        <v>1031</v>
      </c>
      <c r="S5" s="183" t="s">
        <v>1032</v>
      </c>
      <c r="T5" s="183" t="s">
        <v>1033</v>
      </c>
      <c r="U5" s="183" t="s">
        <v>1034</v>
      </c>
      <c r="V5" s="183" t="s">
        <v>110</v>
      </c>
      <c r="W5" s="340"/>
    </row>
    <row r="6" spans="1:44" x14ac:dyDescent="0.3">
      <c r="A6" s="305" t="s">
        <v>993</v>
      </c>
      <c r="B6" s="323" t="s">
        <v>855</v>
      </c>
      <c r="C6" s="169" t="s">
        <v>856</v>
      </c>
      <c r="D6" s="169">
        <v>231</v>
      </c>
      <c r="E6" s="169">
        <v>9</v>
      </c>
      <c r="F6" s="169">
        <v>51</v>
      </c>
      <c r="G6" s="169">
        <v>290</v>
      </c>
      <c r="H6" s="169">
        <v>236</v>
      </c>
      <c r="I6" s="169">
        <v>7</v>
      </c>
      <c r="J6" s="169">
        <v>0</v>
      </c>
      <c r="K6" s="169">
        <v>65</v>
      </c>
      <c r="L6" s="169">
        <v>5</v>
      </c>
      <c r="M6" s="169">
        <v>0</v>
      </c>
      <c r="N6" s="169">
        <v>42</v>
      </c>
      <c r="O6" s="169">
        <v>1</v>
      </c>
      <c r="P6" s="169">
        <v>5</v>
      </c>
      <c r="Q6" s="169">
        <v>14</v>
      </c>
      <c r="R6" s="169">
        <v>17</v>
      </c>
      <c r="S6" s="169">
        <v>1</v>
      </c>
      <c r="T6" s="169">
        <v>0</v>
      </c>
      <c r="U6" s="169">
        <v>0</v>
      </c>
      <c r="V6" s="169">
        <v>157</v>
      </c>
      <c r="W6" s="117">
        <v>683</v>
      </c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</row>
    <row r="7" spans="1:44" x14ac:dyDescent="0.3">
      <c r="A7" s="305"/>
      <c r="B7" s="323"/>
      <c r="C7" s="95" t="s">
        <v>857</v>
      </c>
      <c r="D7" s="95">
        <v>1132</v>
      </c>
      <c r="E7" s="95">
        <v>105</v>
      </c>
      <c r="F7" s="95">
        <v>1753</v>
      </c>
      <c r="G7" s="96">
        <v>2991</v>
      </c>
      <c r="H7" s="95">
        <v>1059</v>
      </c>
      <c r="I7" s="95">
        <v>20</v>
      </c>
      <c r="J7" s="95">
        <v>65</v>
      </c>
      <c r="K7" s="95">
        <v>29</v>
      </c>
      <c r="L7" s="95">
        <v>98</v>
      </c>
      <c r="M7" s="95">
        <v>7</v>
      </c>
      <c r="N7" s="95">
        <v>228</v>
      </c>
      <c r="O7" s="95">
        <v>139</v>
      </c>
      <c r="P7" s="95">
        <v>102</v>
      </c>
      <c r="Q7" s="95">
        <v>25</v>
      </c>
      <c r="R7" s="95">
        <v>135</v>
      </c>
      <c r="S7" s="95">
        <v>44</v>
      </c>
      <c r="T7" s="95">
        <v>0</v>
      </c>
      <c r="U7" s="95">
        <v>2</v>
      </c>
      <c r="V7" s="95">
        <v>894</v>
      </c>
      <c r="W7" s="30">
        <v>4943</v>
      </c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</row>
    <row r="8" spans="1:44" x14ac:dyDescent="0.3">
      <c r="A8" s="305"/>
      <c r="B8" s="323"/>
      <c r="C8" s="95" t="s">
        <v>858</v>
      </c>
      <c r="D8" s="95">
        <v>447</v>
      </c>
      <c r="E8" s="95">
        <v>134</v>
      </c>
      <c r="F8" s="95">
        <v>1230</v>
      </c>
      <c r="G8" s="95">
        <v>1811</v>
      </c>
      <c r="H8" s="95">
        <v>303</v>
      </c>
      <c r="I8" s="95">
        <v>33</v>
      </c>
      <c r="J8" s="95">
        <v>70</v>
      </c>
      <c r="K8" s="95">
        <v>74</v>
      </c>
      <c r="L8" s="95">
        <v>35</v>
      </c>
      <c r="M8" s="95">
        <v>2</v>
      </c>
      <c r="N8" s="95">
        <v>130</v>
      </c>
      <c r="O8" s="95">
        <v>398</v>
      </c>
      <c r="P8" s="95">
        <v>63</v>
      </c>
      <c r="Q8" s="95">
        <v>17</v>
      </c>
      <c r="R8" s="95">
        <v>20</v>
      </c>
      <c r="S8" s="95">
        <v>32</v>
      </c>
      <c r="T8" s="95">
        <v>2</v>
      </c>
      <c r="U8" s="95">
        <v>26</v>
      </c>
      <c r="V8" s="95">
        <v>903</v>
      </c>
      <c r="W8" s="30">
        <v>3017</v>
      </c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</row>
    <row r="9" spans="1:44" x14ac:dyDescent="0.3">
      <c r="A9" s="305"/>
      <c r="B9" s="323"/>
      <c r="C9" s="168" t="s">
        <v>1039</v>
      </c>
      <c r="D9" s="168">
        <v>157</v>
      </c>
      <c r="E9" s="168">
        <v>13</v>
      </c>
      <c r="F9" s="168">
        <v>92</v>
      </c>
      <c r="G9" s="168">
        <v>263</v>
      </c>
      <c r="H9" s="168">
        <v>52</v>
      </c>
      <c r="I9" s="168">
        <v>3</v>
      </c>
      <c r="J9" s="168">
        <v>10</v>
      </c>
      <c r="K9" s="168">
        <v>14</v>
      </c>
      <c r="L9" s="168">
        <v>19</v>
      </c>
      <c r="M9" s="168">
        <v>1</v>
      </c>
      <c r="N9" s="168">
        <v>3</v>
      </c>
      <c r="O9" s="168">
        <v>24</v>
      </c>
      <c r="P9" s="168">
        <v>3</v>
      </c>
      <c r="Q9" s="168">
        <v>0</v>
      </c>
      <c r="R9" s="168">
        <v>32</v>
      </c>
      <c r="S9" s="168">
        <v>5</v>
      </c>
      <c r="T9" s="168">
        <v>0</v>
      </c>
      <c r="U9" s="168">
        <v>4</v>
      </c>
      <c r="V9" s="168">
        <v>119</v>
      </c>
      <c r="W9" s="38">
        <v>434</v>
      </c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</row>
    <row r="10" spans="1:44" x14ac:dyDescent="0.3">
      <c r="A10" s="305"/>
      <c r="B10" s="308"/>
      <c r="C10" s="95" t="s">
        <v>860</v>
      </c>
      <c r="D10" s="95">
        <v>415</v>
      </c>
      <c r="E10" s="95">
        <v>174</v>
      </c>
      <c r="F10" s="95">
        <v>1008</v>
      </c>
      <c r="G10" s="95">
        <v>1598</v>
      </c>
      <c r="H10" s="95">
        <v>573</v>
      </c>
      <c r="I10" s="95">
        <v>93</v>
      </c>
      <c r="J10" s="95">
        <v>105</v>
      </c>
      <c r="K10" s="95">
        <v>140</v>
      </c>
      <c r="L10" s="95">
        <v>26</v>
      </c>
      <c r="M10" s="95">
        <v>10</v>
      </c>
      <c r="N10" s="95">
        <v>84</v>
      </c>
      <c r="O10" s="95">
        <v>101</v>
      </c>
      <c r="P10" s="95">
        <v>77</v>
      </c>
      <c r="Q10" s="95">
        <v>30</v>
      </c>
      <c r="R10" s="95">
        <v>99</v>
      </c>
      <c r="S10" s="95">
        <v>163</v>
      </c>
      <c r="T10" s="95">
        <v>1</v>
      </c>
      <c r="U10" s="95">
        <v>5</v>
      </c>
      <c r="V10" s="95">
        <v>933</v>
      </c>
      <c r="W10" s="30">
        <v>3105</v>
      </c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</row>
    <row r="11" spans="1:44" x14ac:dyDescent="0.3">
      <c r="A11" s="305"/>
      <c r="B11" s="307" t="s">
        <v>861</v>
      </c>
      <c r="C11" s="95" t="s">
        <v>862</v>
      </c>
      <c r="D11" s="95">
        <v>93</v>
      </c>
      <c r="E11" s="95">
        <v>4</v>
      </c>
      <c r="F11" s="95">
        <v>384</v>
      </c>
      <c r="G11" s="95">
        <v>481</v>
      </c>
      <c r="H11" s="95">
        <v>323</v>
      </c>
      <c r="I11" s="95">
        <v>2</v>
      </c>
      <c r="J11" s="95">
        <v>10</v>
      </c>
      <c r="K11" s="95">
        <v>4</v>
      </c>
      <c r="L11" s="95">
        <v>3</v>
      </c>
      <c r="M11" s="95">
        <v>2</v>
      </c>
      <c r="N11" s="95">
        <v>4</v>
      </c>
      <c r="O11" s="95">
        <v>19</v>
      </c>
      <c r="P11" s="95">
        <v>10</v>
      </c>
      <c r="Q11" s="95">
        <v>3</v>
      </c>
      <c r="R11" s="95">
        <v>8</v>
      </c>
      <c r="S11" s="95">
        <v>12</v>
      </c>
      <c r="T11" s="95">
        <v>1</v>
      </c>
      <c r="U11" s="95">
        <v>3</v>
      </c>
      <c r="V11" s="95">
        <v>81</v>
      </c>
      <c r="W11" s="123">
        <v>884</v>
      </c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</row>
    <row r="12" spans="1:44" x14ac:dyDescent="0.3">
      <c r="A12" s="305"/>
      <c r="B12" s="323"/>
      <c r="C12" s="95" t="s">
        <v>863</v>
      </c>
      <c r="D12" s="95">
        <v>15</v>
      </c>
      <c r="E12" s="95">
        <v>0</v>
      </c>
      <c r="F12" s="95">
        <v>29</v>
      </c>
      <c r="G12" s="95">
        <v>43</v>
      </c>
      <c r="H12" s="95">
        <v>79</v>
      </c>
      <c r="I12" s="95">
        <v>25</v>
      </c>
      <c r="J12" s="95">
        <v>0</v>
      </c>
      <c r="K12" s="95">
        <v>15</v>
      </c>
      <c r="L12" s="95">
        <v>0</v>
      </c>
      <c r="M12" s="95">
        <v>2</v>
      </c>
      <c r="N12" s="95">
        <v>0</v>
      </c>
      <c r="O12" s="95">
        <v>1</v>
      </c>
      <c r="P12" s="95">
        <v>0</v>
      </c>
      <c r="Q12" s="95">
        <v>0</v>
      </c>
      <c r="R12" s="95">
        <v>12</v>
      </c>
      <c r="S12" s="95">
        <v>0</v>
      </c>
      <c r="T12" s="95">
        <v>0</v>
      </c>
      <c r="U12" s="95">
        <v>0</v>
      </c>
      <c r="V12" s="95">
        <v>55</v>
      </c>
      <c r="W12" s="123">
        <v>177</v>
      </c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</row>
    <row r="13" spans="1:44" x14ac:dyDescent="0.3">
      <c r="A13" s="305"/>
      <c r="B13" s="323"/>
      <c r="C13" s="95" t="s">
        <v>864</v>
      </c>
      <c r="D13" s="95">
        <v>42</v>
      </c>
      <c r="E13" s="95">
        <v>2</v>
      </c>
      <c r="F13" s="95">
        <v>51</v>
      </c>
      <c r="G13" s="95">
        <v>95</v>
      </c>
      <c r="H13" s="95">
        <v>347</v>
      </c>
      <c r="I13" s="95">
        <v>8</v>
      </c>
      <c r="J13" s="95">
        <v>224</v>
      </c>
      <c r="K13" s="95">
        <v>3</v>
      </c>
      <c r="L13" s="95">
        <v>2</v>
      </c>
      <c r="M13" s="95">
        <v>13</v>
      </c>
      <c r="N13" s="95">
        <v>0</v>
      </c>
      <c r="O13" s="95">
        <v>3</v>
      </c>
      <c r="P13" s="95">
        <v>3</v>
      </c>
      <c r="Q13" s="95">
        <v>0</v>
      </c>
      <c r="R13" s="95">
        <v>11</v>
      </c>
      <c r="S13" s="95">
        <v>2</v>
      </c>
      <c r="T13" s="95">
        <v>4</v>
      </c>
      <c r="U13" s="95">
        <v>2</v>
      </c>
      <c r="V13" s="95">
        <v>275</v>
      </c>
      <c r="W13" s="123">
        <v>718</v>
      </c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</row>
    <row r="14" spans="1:44" x14ac:dyDescent="0.3">
      <c r="A14" s="305"/>
      <c r="B14" s="308"/>
      <c r="C14" s="95" t="s">
        <v>865</v>
      </c>
      <c r="D14" s="95">
        <v>375</v>
      </c>
      <c r="E14" s="95">
        <v>16</v>
      </c>
      <c r="F14" s="95">
        <v>423</v>
      </c>
      <c r="G14" s="95">
        <v>813</v>
      </c>
      <c r="H14" s="95">
        <v>810</v>
      </c>
      <c r="I14" s="95">
        <v>40</v>
      </c>
      <c r="J14" s="95">
        <v>34</v>
      </c>
      <c r="K14" s="95">
        <v>28</v>
      </c>
      <c r="L14" s="95">
        <v>14</v>
      </c>
      <c r="M14" s="95">
        <v>1</v>
      </c>
      <c r="N14" s="95">
        <v>21</v>
      </c>
      <c r="O14" s="95">
        <v>62</v>
      </c>
      <c r="P14" s="95">
        <v>17</v>
      </c>
      <c r="Q14" s="95">
        <v>16</v>
      </c>
      <c r="R14" s="95">
        <v>56</v>
      </c>
      <c r="S14" s="95">
        <v>15</v>
      </c>
      <c r="T14" s="95">
        <v>30</v>
      </c>
      <c r="U14" s="95">
        <v>10</v>
      </c>
      <c r="V14" s="95">
        <v>345</v>
      </c>
      <c r="W14" s="30">
        <v>1968</v>
      </c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</row>
    <row r="15" spans="1:44" x14ac:dyDescent="0.3">
      <c r="A15" s="305"/>
      <c r="B15" s="307" t="s">
        <v>866</v>
      </c>
      <c r="C15" s="95" t="s">
        <v>867</v>
      </c>
      <c r="D15" s="95">
        <v>124</v>
      </c>
      <c r="E15" s="95">
        <v>6</v>
      </c>
      <c r="F15" s="95">
        <v>159</v>
      </c>
      <c r="G15" s="95">
        <v>289</v>
      </c>
      <c r="H15" s="95">
        <v>84</v>
      </c>
      <c r="I15" s="95">
        <v>16</v>
      </c>
      <c r="J15" s="95">
        <v>22</v>
      </c>
      <c r="K15" s="95">
        <v>4</v>
      </c>
      <c r="L15" s="95">
        <v>17</v>
      </c>
      <c r="M15" s="95">
        <v>5</v>
      </c>
      <c r="N15" s="95">
        <v>7</v>
      </c>
      <c r="O15" s="95">
        <v>9</v>
      </c>
      <c r="P15" s="95">
        <v>11</v>
      </c>
      <c r="Q15" s="95">
        <v>11</v>
      </c>
      <c r="R15" s="95">
        <v>33</v>
      </c>
      <c r="S15" s="95">
        <v>10</v>
      </c>
      <c r="T15" s="95">
        <v>1</v>
      </c>
      <c r="U15" s="95">
        <v>8</v>
      </c>
      <c r="V15" s="95">
        <v>154</v>
      </c>
      <c r="W15" s="123">
        <v>527</v>
      </c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</row>
    <row r="16" spans="1:44" x14ac:dyDescent="0.3">
      <c r="A16" s="305"/>
      <c r="B16" s="323"/>
      <c r="C16" s="95" t="s">
        <v>868</v>
      </c>
      <c r="D16" s="95">
        <v>938</v>
      </c>
      <c r="E16" s="95">
        <v>7</v>
      </c>
      <c r="F16" s="95">
        <v>274</v>
      </c>
      <c r="G16" s="96">
        <v>1219</v>
      </c>
      <c r="H16" s="96">
        <v>1352</v>
      </c>
      <c r="I16" s="95">
        <v>72</v>
      </c>
      <c r="J16" s="95">
        <v>21</v>
      </c>
      <c r="K16" s="95">
        <v>75</v>
      </c>
      <c r="L16" s="95">
        <v>5</v>
      </c>
      <c r="M16" s="95">
        <v>19</v>
      </c>
      <c r="N16" s="95">
        <v>1</v>
      </c>
      <c r="O16" s="95">
        <v>24</v>
      </c>
      <c r="P16" s="95">
        <v>4</v>
      </c>
      <c r="Q16" s="95">
        <v>103</v>
      </c>
      <c r="R16" s="95">
        <v>39</v>
      </c>
      <c r="S16" s="95">
        <v>7</v>
      </c>
      <c r="T16" s="95">
        <v>5</v>
      </c>
      <c r="U16" s="95">
        <v>13</v>
      </c>
      <c r="V16" s="95">
        <v>388</v>
      </c>
      <c r="W16" s="30">
        <v>2959</v>
      </c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</row>
    <row r="17" spans="1:44" x14ac:dyDescent="0.3">
      <c r="A17" s="305"/>
      <c r="B17" s="323"/>
      <c r="C17" s="95" t="s">
        <v>869</v>
      </c>
      <c r="D17" s="95">
        <v>173</v>
      </c>
      <c r="E17" s="95">
        <v>9</v>
      </c>
      <c r="F17" s="95">
        <v>53</v>
      </c>
      <c r="G17" s="95">
        <v>235</v>
      </c>
      <c r="H17" s="95">
        <v>11</v>
      </c>
      <c r="I17" s="95">
        <v>15</v>
      </c>
      <c r="J17" s="95">
        <v>4</v>
      </c>
      <c r="K17" s="95">
        <v>6</v>
      </c>
      <c r="L17" s="95">
        <v>2</v>
      </c>
      <c r="M17" s="95">
        <v>3</v>
      </c>
      <c r="N17" s="95">
        <v>1</v>
      </c>
      <c r="O17" s="95">
        <v>7</v>
      </c>
      <c r="P17" s="95">
        <v>1</v>
      </c>
      <c r="Q17" s="95">
        <v>1</v>
      </c>
      <c r="R17" s="95">
        <v>9</v>
      </c>
      <c r="S17" s="95">
        <v>2</v>
      </c>
      <c r="T17" s="95">
        <v>1</v>
      </c>
      <c r="U17" s="95">
        <v>1</v>
      </c>
      <c r="V17" s="95">
        <v>52</v>
      </c>
      <c r="W17" s="123">
        <v>299</v>
      </c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</row>
    <row r="18" spans="1:44" x14ac:dyDescent="0.3">
      <c r="A18" s="305"/>
      <c r="B18" s="323"/>
      <c r="C18" s="168" t="s">
        <v>870</v>
      </c>
      <c r="D18" s="168">
        <v>1048</v>
      </c>
      <c r="E18" s="168">
        <v>74</v>
      </c>
      <c r="F18" s="168">
        <v>1436</v>
      </c>
      <c r="G18" s="177">
        <v>2558</v>
      </c>
      <c r="H18" s="168">
        <v>714</v>
      </c>
      <c r="I18" s="168">
        <v>89</v>
      </c>
      <c r="J18" s="168">
        <v>127</v>
      </c>
      <c r="K18" s="168">
        <v>88</v>
      </c>
      <c r="L18" s="168">
        <v>35</v>
      </c>
      <c r="M18" s="168">
        <v>32</v>
      </c>
      <c r="N18" s="168">
        <v>21</v>
      </c>
      <c r="O18" s="168">
        <v>31</v>
      </c>
      <c r="P18" s="168">
        <v>21</v>
      </c>
      <c r="Q18" s="168">
        <v>9</v>
      </c>
      <c r="R18" s="168">
        <v>106</v>
      </c>
      <c r="S18" s="168">
        <v>475</v>
      </c>
      <c r="T18" s="168">
        <v>4</v>
      </c>
      <c r="U18" s="168">
        <v>14</v>
      </c>
      <c r="V18" s="177">
        <v>1052</v>
      </c>
      <c r="W18" s="190">
        <v>4324</v>
      </c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</row>
    <row r="19" spans="1:44" x14ac:dyDescent="0.3">
      <c r="A19" s="305"/>
      <c r="B19" s="323"/>
      <c r="C19" s="95" t="s">
        <v>871</v>
      </c>
      <c r="D19" s="95">
        <v>792</v>
      </c>
      <c r="E19" s="95">
        <v>27</v>
      </c>
      <c r="F19" s="95">
        <v>317</v>
      </c>
      <c r="G19" s="95">
        <v>1136</v>
      </c>
      <c r="H19" s="95">
        <v>440</v>
      </c>
      <c r="I19" s="95">
        <v>38</v>
      </c>
      <c r="J19" s="95">
        <v>47</v>
      </c>
      <c r="K19" s="95">
        <v>13</v>
      </c>
      <c r="L19" s="95">
        <v>26</v>
      </c>
      <c r="M19" s="95">
        <v>15</v>
      </c>
      <c r="N19" s="95">
        <v>35</v>
      </c>
      <c r="O19" s="95">
        <v>29</v>
      </c>
      <c r="P19" s="95">
        <v>34</v>
      </c>
      <c r="Q19" s="95">
        <v>5</v>
      </c>
      <c r="R19" s="95">
        <v>72</v>
      </c>
      <c r="S19" s="95">
        <v>18</v>
      </c>
      <c r="T19" s="95">
        <v>16</v>
      </c>
      <c r="U19" s="95">
        <v>4</v>
      </c>
      <c r="V19" s="95">
        <v>354</v>
      </c>
      <c r="W19" s="30">
        <v>1929</v>
      </c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</row>
    <row r="20" spans="1:44" x14ac:dyDescent="0.3">
      <c r="A20" s="305"/>
      <c r="B20" s="323"/>
      <c r="C20" s="168" t="s">
        <v>1040</v>
      </c>
      <c r="D20" s="177">
        <v>3514</v>
      </c>
      <c r="E20" s="168">
        <v>205</v>
      </c>
      <c r="F20" s="177">
        <v>2555</v>
      </c>
      <c r="G20" s="177">
        <v>6273</v>
      </c>
      <c r="H20" s="177">
        <v>2716</v>
      </c>
      <c r="I20" s="168">
        <v>640</v>
      </c>
      <c r="J20" s="168">
        <v>490</v>
      </c>
      <c r="K20" s="168">
        <v>188</v>
      </c>
      <c r="L20" s="168">
        <v>181</v>
      </c>
      <c r="M20" s="168">
        <v>77</v>
      </c>
      <c r="N20" s="168">
        <v>250</v>
      </c>
      <c r="O20" s="168">
        <v>238</v>
      </c>
      <c r="P20" s="168">
        <v>183</v>
      </c>
      <c r="Q20" s="168">
        <v>121</v>
      </c>
      <c r="R20" s="168">
        <v>436</v>
      </c>
      <c r="S20" s="168">
        <v>1269</v>
      </c>
      <c r="T20" s="168">
        <v>50</v>
      </c>
      <c r="U20" s="168">
        <v>89</v>
      </c>
      <c r="V20" s="177">
        <v>4211</v>
      </c>
      <c r="W20" s="190">
        <v>13200</v>
      </c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</row>
    <row r="21" spans="1:44" x14ac:dyDescent="0.3">
      <c r="A21" s="305"/>
      <c r="B21" s="95" t="s">
        <v>873</v>
      </c>
      <c r="C21" s="95" t="s">
        <v>873</v>
      </c>
      <c r="D21" s="96">
        <v>3047</v>
      </c>
      <c r="E21" s="95">
        <v>220</v>
      </c>
      <c r="F21" s="96">
        <v>2756</v>
      </c>
      <c r="G21" s="96">
        <v>6023</v>
      </c>
      <c r="H21" s="96">
        <v>4316</v>
      </c>
      <c r="I21" s="95">
        <v>493</v>
      </c>
      <c r="J21" s="95">
        <v>254</v>
      </c>
      <c r="K21" s="95">
        <v>277</v>
      </c>
      <c r="L21" s="95">
        <v>129</v>
      </c>
      <c r="M21" s="95">
        <v>87</v>
      </c>
      <c r="N21" s="95">
        <v>119</v>
      </c>
      <c r="O21" s="95">
        <v>414</v>
      </c>
      <c r="P21" s="95">
        <v>235</v>
      </c>
      <c r="Q21" s="95">
        <v>236</v>
      </c>
      <c r="R21" s="95">
        <v>338</v>
      </c>
      <c r="S21" s="95">
        <v>235</v>
      </c>
      <c r="T21" s="95">
        <v>43</v>
      </c>
      <c r="U21" s="95">
        <v>161</v>
      </c>
      <c r="V21" s="96">
        <v>3021</v>
      </c>
      <c r="W21" s="30">
        <v>13360</v>
      </c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</row>
    <row r="22" spans="1:44" x14ac:dyDescent="0.3">
      <c r="A22" s="306"/>
      <c r="B22" s="339" t="s">
        <v>110</v>
      </c>
      <c r="C22" s="322"/>
      <c r="D22" s="98">
        <v>12544</v>
      </c>
      <c r="E22" s="97">
        <v>1005</v>
      </c>
      <c r="F22" s="98">
        <v>12570</v>
      </c>
      <c r="G22" s="98">
        <v>26119</v>
      </c>
      <c r="H22" s="98">
        <v>13416</v>
      </c>
      <c r="I22" s="98">
        <v>1594</v>
      </c>
      <c r="J22" s="98">
        <v>1484</v>
      </c>
      <c r="K22" s="97">
        <v>1023</v>
      </c>
      <c r="L22" s="97">
        <v>597</v>
      </c>
      <c r="M22" s="97">
        <v>277</v>
      </c>
      <c r="N22" s="97">
        <v>947</v>
      </c>
      <c r="O22" s="97">
        <v>1500</v>
      </c>
      <c r="P22" s="97">
        <v>769</v>
      </c>
      <c r="Q22" s="97">
        <v>591</v>
      </c>
      <c r="R22" s="97">
        <v>1422</v>
      </c>
      <c r="S22" s="98">
        <v>2290</v>
      </c>
      <c r="T22" s="97">
        <v>157</v>
      </c>
      <c r="U22" s="97">
        <v>341</v>
      </c>
      <c r="V22" s="98">
        <v>12993</v>
      </c>
      <c r="W22" s="32">
        <v>52528</v>
      </c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</row>
    <row r="23" spans="1:44" ht="16.5" customHeight="1" x14ac:dyDescent="0.3">
      <c r="A23" s="304" t="s">
        <v>995</v>
      </c>
      <c r="B23" s="307" t="s">
        <v>1041</v>
      </c>
      <c r="C23" s="95" t="s">
        <v>876</v>
      </c>
      <c r="D23" s="95">
        <v>874</v>
      </c>
      <c r="E23" s="95">
        <v>16</v>
      </c>
      <c r="F23" s="95">
        <v>100</v>
      </c>
      <c r="G23" s="95">
        <v>991</v>
      </c>
      <c r="H23" s="95">
        <v>693</v>
      </c>
      <c r="I23" s="95">
        <v>28</v>
      </c>
      <c r="J23" s="95">
        <v>24</v>
      </c>
      <c r="K23" s="95">
        <v>31</v>
      </c>
      <c r="L23" s="95">
        <v>48</v>
      </c>
      <c r="M23" s="95">
        <v>81</v>
      </c>
      <c r="N23" s="95">
        <v>57</v>
      </c>
      <c r="O23" s="95">
        <v>38</v>
      </c>
      <c r="P23" s="95">
        <v>81</v>
      </c>
      <c r="Q23" s="95">
        <v>18</v>
      </c>
      <c r="R23" s="95">
        <v>33</v>
      </c>
      <c r="S23" s="95">
        <v>22</v>
      </c>
      <c r="T23" s="95">
        <v>33</v>
      </c>
      <c r="U23" s="95">
        <v>1</v>
      </c>
      <c r="V23" s="95">
        <v>494</v>
      </c>
      <c r="W23" s="30">
        <v>2178</v>
      </c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</row>
    <row r="24" spans="1:44" x14ac:dyDescent="0.3">
      <c r="A24" s="305"/>
      <c r="B24" s="323"/>
      <c r="C24" s="95" t="s">
        <v>877</v>
      </c>
      <c r="D24" s="95">
        <v>191</v>
      </c>
      <c r="E24" s="95">
        <v>2</v>
      </c>
      <c r="F24" s="95">
        <v>55</v>
      </c>
      <c r="G24" s="95">
        <v>249</v>
      </c>
      <c r="H24" s="95">
        <v>52</v>
      </c>
      <c r="I24" s="95">
        <v>11</v>
      </c>
      <c r="J24" s="95">
        <v>24</v>
      </c>
      <c r="K24" s="95">
        <v>18</v>
      </c>
      <c r="L24" s="95">
        <v>22</v>
      </c>
      <c r="M24" s="95">
        <v>5</v>
      </c>
      <c r="N24" s="95">
        <v>22</v>
      </c>
      <c r="O24" s="95">
        <v>9</v>
      </c>
      <c r="P24" s="95">
        <v>15</v>
      </c>
      <c r="Q24" s="95">
        <v>1</v>
      </c>
      <c r="R24" s="95">
        <v>9</v>
      </c>
      <c r="S24" s="95">
        <v>7</v>
      </c>
      <c r="T24" s="95">
        <v>4</v>
      </c>
      <c r="U24" s="95">
        <v>13</v>
      </c>
      <c r="V24" s="95">
        <v>160</v>
      </c>
      <c r="W24" s="123">
        <v>461</v>
      </c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</row>
    <row r="25" spans="1:44" x14ac:dyDescent="0.3">
      <c r="A25" s="305"/>
      <c r="B25" s="323"/>
      <c r="C25" s="95" t="s">
        <v>878</v>
      </c>
      <c r="D25" s="95">
        <v>320</v>
      </c>
      <c r="E25" s="95">
        <v>13</v>
      </c>
      <c r="F25" s="95">
        <v>55</v>
      </c>
      <c r="G25" s="95">
        <v>387</v>
      </c>
      <c r="H25" s="95">
        <v>108</v>
      </c>
      <c r="I25" s="95">
        <v>11</v>
      </c>
      <c r="J25" s="95">
        <v>20</v>
      </c>
      <c r="K25" s="95">
        <v>35</v>
      </c>
      <c r="L25" s="95">
        <v>10</v>
      </c>
      <c r="M25" s="95">
        <v>9</v>
      </c>
      <c r="N25" s="95">
        <v>16</v>
      </c>
      <c r="O25" s="95">
        <v>20</v>
      </c>
      <c r="P25" s="95">
        <v>22</v>
      </c>
      <c r="Q25" s="95">
        <v>30</v>
      </c>
      <c r="R25" s="95">
        <v>27</v>
      </c>
      <c r="S25" s="95">
        <v>14</v>
      </c>
      <c r="T25" s="95">
        <v>5</v>
      </c>
      <c r="U25" s="95">
        <v>2</v>
      </c>
      <c r="V25" s="95">
        <v>220</v>
      </c>
      <c r="W25" s="123">
        <v>715</v>
      </c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</row>
    <row r="26" spans="1:44" x14ac:dyDescent="0.3">
      <c r="A26" s="305"/>
      <c r="B26" s="323"/>
      <c r="C26" s="95" t="s">
        <v>879</v>
      </c>
      <c r="D26" s="96">
        <v>1586</v>
      </c>
      <c r="E26" s="95">
        <v>64</v>
      </c>
      <c r="F26" s="95">
        <v>244</v>
      </c>
      <c r="G26" s="96">
        <v>1895</v>
      </c>
      <c r="H26" s="95">
        <v>478</v>
      </c>
      <c r="I26" s="95">
        <v>133</v>
      </c>
      <c r="J26" s="95">
        <v>194</v>
      </c>
      <c r="K26" s="95">
        <v>195</v>
      </c>
      <c r="L26" s="95">
        <v>201</v>
      </c>
      <c r="M26" s="95">
        <v>168</v>
      </c>
      <c r="N26" s="95">
        <v>123</v>
      </c>
      <c r="O26" s="95">
        <v>74</v>
      </c>
      <c r="P26" s="95">
        <v>159</v>
      </c>
      <c r="Q26" s="95">
        <v>46</v>
      </c>
      <c r="R26" s="95">
        <v>159</v>
      </c>
      <c r="S26" s="95">
        <v>113</v>
      </c>
      <c r="T26" s="95">
        <v>42</v>
      </c>
      <c r="U26" s="95">
        <v>8</v>
      </c>
      <c r="V26" s="96">
        <v>1613</v>
      </c>
      <c r="W26" s="30">
        <v>3987</v>
      </c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</row>
    <row r="27" spans="1:44" x14ac:dyDescent="0.3">
      <c r="A27" s="305"/>
      <c r="B27" s="323"/>
      <c r="C27" s="95" t="s">
        <v>880</v>
      </c>
      <c r="D27" s="95">
        <v>948</v>
      </c>
      <c r="E27" s="95">
        <v>18</v>
      </c>
      <c r="F27" s="95">
        <v>150</v>
      </c>
      <c r="G27" s="95">
        <v>1116</v>
      </c>
      <c r="H27" s="95">
        <v>271</v>
      </c>
      <c r="I27" s="95">
        <v>45</v>
      </c>
      <c r="J27" s="95">
        <v>255</v>
      </c>
      <c r="K27" s="95">
        <v>47</v>
      </c>
      <c r="L27" s="95">
        <v>22</v>
      </c>
      <c r="M27" s="95">
        <v>56</v>
      </c>
      <c r="N27" s="95">
        <v>30</v>
      </c>
      <c r="O27" s="95">
        <v>23</v>
      </c>
      <c r="P27" s="95">
        <v>18</v>
      </c>
      <c r="Q27" s="95">
        <v>2</v>
      </c>
      <c r="R27" s="95">
        <v>38</v>
      </c>
      <c r="S27" s="95">
        <v>25</v>
      </c>
      <c r="T27" s="95">
        <v>1</v>
      </c>
      <c r="U27" s="95">
        <v>0</v>
      </c>
      <c r="V27" s="95">
        <v>564</v>
      </c>
      <c r="W27" s="30">
        <v>1951</v>
      </c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</row>
    <row r="28" spans="1:44" x14ac:dyDescent="0.3">
      <c r="A28" s="305"/>
      <c r="B28" s="323"/>
      <c r="C28" s="95" t="s">
        <v>881</v>
      </c>
      <c r="D28" s="95">
        <v>183</v>
      </c>
      <c r="E28" s="95">
        <v>21</v>
      </c>
      <c r="F28" s="95">
        <v>180</v>
      </c>
      <c r="G28" s="95">
        <v>383</v>
      </c>
      <c r="H28" s="95">
        <v>146</v>
      </c>
      <c r="I28" s="95">
        <v>15</v>
      </c>
      <c r="J28" s="95">
        <v>12</v>
      </c>
      <c r="K28" s="95">
        <v>8</v>
      </c>
      <c r="L28" s="95">
        <v>10</v>
      </c>
      <c r="M28" s="95">
        <v>12</v>
      </c>
      <c r="N28" s="95">
        <v>41</v>
      </c>
      <c r="O28" s="95">
        <v>18</v>
      </c>
      <c r="P28" s="95">
        <v>29</v>
      </c>
      <c r="Q28" s="95">
        <v>6</v>
      </c>
      <c r="R28" s="95">
        <v>33</v>
      </c>
      <c r="S28" s="95">
        <v>31</v>
      </c>
      <c r="T28" s="95">
        <v>22</v>
      </c>
      <c r="U28" s="95">
        <v>19</v>
      </c>
      <c r="V28" s="95">
        <v>255</v>
      </c>
      <c r="W28" s="123">
        <v>785</v>
      </c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</row>
    <row r="29" spans="1:44" x14ac:dyDescent="0.3">
      <c r="A29" s="305"/>
      <c r="B29" s="323"/>
      <c r="C29" s="168" t="s">
        <v>882</v>
      </c>
      <c r="D29" s="168">
        <v>288</v>
      </c>
      <c r="E29" s="168">
        <v>4</v>
      </c>
      <c r="F29" s="168">
        <v>143</v>
      </c>
      <c r="G29" s="168">
        <v>435</v>
      </c>
      <c r="H29" s="168">
        <v>218</v>
      </c>
      <c r="I29" s="168">
        <v>12</v>
      </c>
      <c r="J29" s="168">
        <v>53</v>
      </c>
      <c r="K29" s="168">
        <v>7</v>
      </c>
      <c r="L29" s="168">
        <v>0</v>
      </c>
      <c r="M29" s="168">
        <v>21</v>
      </c>
      <c r="N29" s="168">
        <v>114</v>
      </c>
      <c r="O29" s="168">
        <v>4</v>
      </c>
      <c r="P29" s="168">
        <v>95</v>
      </c>
      <c r="Q29" s="168">
        <v>5</v>
      </c>
      <c r="R29" s="168">
        <v>16</v>
      </c>
      <c r="S29" s="168">
        <v>21</v>
      </c>
      <c r="T29" s="168">
        <v>10</v>
      </c>
      <c r="U29" s="168">
        <v>0</v>
      </c>
      <c r="V29" s="168">
        <v>357</v>
      </c>
      <c r="W29" s="38">
        <v>1010</v>
      </c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</row>
    <row r="30" spans="1:44" x14ac:dyDescent="0.3">
      <c r="A30" s="305"/>
      <c r="B30" s="323"/>
      <c r="C30" s="95" t="s">
        <v>883</v>
      </c>
      <c r="D30" s="95">
        <v>263</v>
      </c>
      <c r="E30" s="95">
        <v>13</v>
      </c>
      <c r="F30" s="95">
        <v>158</v>
      </c>
      <c r="G30" s="95">
        <v>434</v>
      </c>
      <c r="H30" s="95">
        <v>104</v>
      </c>
      <c r="I30" s="95">
        <v>13</v>
      </c>
      <c r="J30" s="95">
        <v>35</v>
      </c>
      <c r="K30" s="95">
        <v>13</v>
      </c>
      <c r="L30" s="95">
        <v>28</v>
      </c>
      <c r="M30" s="95">
        <v>17</v>
      </c>
      <c r="N30" s="95">
        <v>40</v>
      </c>
      <c r="O30" s="95">
        <v>16</v>
      </c>
      <c r="P30" s="95">
        <v>4</v>
      </c>
      <c r="Q30" s="95">
        <v>0</v>
      </c>
      <c r="R30" s="95">
        <v>18</v>
      </c>
      <c r="S30" s="95">
        <v>20</v>
      </c>
      <c r="T30" s="95">
        <v>4</v>
      </c>
      <c r="U30" s="95">
        <v>2</v>
      </c>
      <c r="V30" s="95">
        <v>210</v>
      </c>
      <c r="W30" s="123">
        <v>748</v>
      </c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</row>
    <row r="31" spans="1:44" x14ac:dyDescent="0.3">
      <c r="A31" s="305"/>
      <c r="B31" s="308"/>
      <c r="C31" s="95" t="s">
        <v>884</v>
      </c>
      <c r="D31" s="95">
        <v>502</v>
      </c>
      <c r="E31" s="95">
        <v>111</v>
      </c>
      <c r="F31" s="95">
        <v>580</v>
      </c>
      <c r="G31" s="95">
        <v>1193</v>
      </c>
      <c r="H31" s="95">
        <v>572</v>
      </c>
      <c r="I31" s="95">
        <v>94</v>
      </c>
      <c r="J31" s="95">
        <v>38</v>
      </c>
      <c r="K31" s="95">
        <v>46</v>
      </c>
      <c r="L31" s="95">
        <v>72</v>
      </c>
      <c r="M31" s="95">
        <v>48</v>
      </c>
      <c r="N31" s="95">
        <v>89</v>
      </c>
      <c r="O31" s="95">
        <v>50</v>
      </c>
      <c r="P31" s="95">
        <v>270</v>
      </c>
      <c r="Q31" s="95">
        <v>42</v>
      </c>
      <c r="R31" s="95">
        <v>109</v>
      </c>
      <c r="S31" s="95">
        <v>102</v>
      </c>
      <c r="T31" s="95">
        <v>37</v>
      </c>
      <c r="U31" s="95">
        <v>13</v>
      </c>
      <c r="V31" s="95">
        <v>1010</v>
      </c>
      <c r="W31" s="30">
        <v>2775</v>
      </c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</row>
    <row r="32" spans="1:44" x14ac:dyDescent="0.3">
      <c r="A32" s="305"/>
      <c r="B32" s="307" t="s">
        <v>885</v>
      </c>
      <c r="C32" s="95" t="s">
        <v>886</v>
      </c>
      <c r="D32" s="96">
        <v>1504</v>
      </c>
      <c r="E32" s="95">
        <v>89</v>
      </c>
      <c r="F32" s="95">
        <v>805</v>
      </c>
      <c r="G32" s="96">
        <v>2397</v>
      </c>
      <c r="H32" s="95">
        <v>857</v>
      </c>
      <c r="I32" s="95">
        <v>96</v>
      </c>
      <c r="J32" s="95">
        <v>162</v>
      </c>
      <c r="K32" s="95">
        <v>134</v>
      </c>
      <c r="L32" s="95">
        <v>53</v>
      </c>
      <c r="M32" s="95">
        <v>173</v>
      </c>
      <c r="N32" s="95">
        <v>357</v>
      </c>
      <c r="O32" s="95">
        <v>13</v>
      </c>
      <c r="P32" s="95">
        <v>103</v>
      </c>
      <c r="Q32" s="95">
        <v>21</v>
      </c>
      <c r="R32" s="95">
        <v>112</v>
      </c>
      <c r="S32" s="95">
        <v>84</v>
      </c>
      <c r="T32" s="95">
        <v>7</v>
      </c>
      <c r="U32" s="95">
        <v>22</v>
      </c>
      <c r="V32" s="96">
        <v>1338</v>
      </c>
      <c r="W32" s="30">
        <v>4592</v>
      </c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</row>
    <row r="33" spans="1:44" x14ac:dyDescent="0.3">
      <c r="A33" s="305"/>
      <c r="B33" s="323"/>
      <c r="C33" s="95" t="s">
        <v>887</v>
      </c>
      <c r="D33" s="96">
        <v>1474</v>
      </c>
      <c r="E33" s="95">
        <v>63</v>
      </c>
      <c r="F33" s="95">
        <v>409</v>
      </c>
      <c r="G33" s="96">
        <v>1947</v>
      </c>
      <c r="H33" s="95">
        <v>269</v>
      </c>
      <c r="I33" s="95">
        <v>88</v>
      </c>
      <c r="J33" s="95">
        <v>422</v>
      </c>
      <c r="K33" s="95">
        <v>139</v>
      </c>
      <c r="L33" s="95">
        <v>77</v>
      </c>
      <c r="M33" s="95">
        <v>53</v>
      </c>
      <c r="N33" s="95">
        <v>79</v>
      </c>
      <c r="O33" s="95">
        <v>93</v>
      </c>
      <c r="P33" s="95">
        <v>36</v>
      </c>
      <c r="Q33" s="95">
        <v>19</v>
      </c>
      <c r="R33" s="95">
        <v>89</v>
      </c>
      <c r="S33" s="95">
        <v>56</v>
      </c>
      <c r="T33" s="95">
        <v>6</v>
      </c>
      <c r="U33" s="95">
        <v>17</v>
      </c>
      <c r="V33" s="95">
        <v>1173</v>
      </c>
      <c r="W33" s="30">
        <v>3388</v>
      </c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</row>
    <row r="34" spans="1:44" x14ac:dyDescent="0.3">
      <c r="A34" s="305"/>
      <c r="B34" s="323"/>
      <c r="C34" s="95" t="s">
        <v>888</v>
      </c>
      <c r="D34" s="95">
        <v>424</v>
      </c>
      <c r="E34" s="95">
        <v>9</v>
      </c>
      <c r="F34" s="95">
        <v>219</v>
      </c>
      <c r="G34" s="95">
        <v>652</v>
      </c>
      <c r="H34" s="95">
        <v>78</v>
      </c>
      <c r="I34" s="95">
        <v>46</v>
      </c>
      <c r="J34" s="95">
        <v>38</v>
      </c>
      <c r="K34" s="95">
        <v>42</v>
      </c>
      <c r="L34" s="95">
        <v>27</v>
      </c>
      <c r="M34" s="95">
        <v>16</v>
      </c>
      <c r="N34" s="95">
        <v>38</v>
      </c>
      <c r="O34" s="95">
        <v>53</v>
      </c>
      <c r="P34" s="95">
        <v>10</v>
      </c>
      <c r="Q34" s="95">
        <v>4</v>
      </c>
      <c r="R34" s="95">
        <v>55</v>
      </c>
      <c r="S34" s="95">
        <v>20</v>
      </c>
      <c r="T34" s="95">
        <v>1</v>
      </c>
      <c r="U34" s="95">
        <v>1</v>
      </c>
      <c r="V34" s="95">
        <v>353</v>
      </c>
      <c r="W34" s="123">
        <v>1084</v>
      </c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</row>
    <row r="35" spans="1:44" x14ac:dyDescent="0.3">
      <c r="A35" s="305"/>
      <c r="B35" s="323"/>
      <c r="C35" s="95" t="s">
        <v>889</v>
      </c>
      <c r="D35" s="95">
        <v>216</v>
      </c>
      <c r="E35" s="95">
        <v>4</v>
      </c>
      <c r="F35" s="95">
        <v>38</v>
      </c>
      <c r="G35" s="95">
        <v>257</v>
      </c>
      <c r="H35" s="95">
        <v>50</v>
      </c>
      <c r="I35" s="95">
        <v>15</v>
      </c>
      <c r="J35" s="95">
        <v>11</v>
      </c>
      <c r="K35" s="95">
        <v>18</v>
      </c>
      <c r="L35" s="95">
        <v>6</v>
      </c>
      <c r="M35" s="95">
        <v>8</v>
      </c>
      <c r="N35" s="95">
        <v>9</v>
      </c>
      <c r="O35" s="95">
        <v>2</v>
      </c>
      <c r="P35" s="95">
        <v>2</v>
      </c>
      <c r="Q35" s="95">
        <v>22</v>
      </c>
      <c r="R35" s="95">
        <v>10</v>
      </c>
      <c r="S35" s="95">
        <v>19</v>
      </c>
      <c r="T35" s="95">
        <v>4</v>
      </c>
      <c r="U35" s="95">
        <v>0</v>
      </c>
      <c r="V35" s="95">
        <v>126</v>
      </c>
      <c r="W35" s="123">
        <v>433</v>
      </c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</row>
    <row r="36" spans="1:44" x14ac:dyDescent="0.3">
      <c r="A36" s="305"/>
      <c r="B36" s="323"/>
      <c r="C36" s="95" t="s">
        <v>890</v>
      </c>
      <c r="D36" s="95">
        <v>495</v>
      </c>
      <c r="E36" s="95">
        <v>30</v>
      </c>
      <c r="F36" s="95">
        <v>355</v>
      </c>
      <c r="G36" s="95">
        <v>881</v>
      </c>
      <c r="H36" s="95">
        <v>226</v>
      </c>
      <c r="I36" s="95">
        <v>114</v>
      </c>
      <c r="J36" s="95">
        <v>132</v>
      </c>
      <c r="K36" s="95">
        <v>134</v>
      </c>
      <c r="L36" s="95">
        <v>7</v>
      </c>
      <c r="M36" s="95">
        <v>155</v>
      </c>
      <c r="N36" s="95">
        <v>124</v>
      </c>
      <c r="O36" s="95">
        <v>42</v>
      </c>
      <c r="P36" s="95">
        <v>165</v>
      </c>
      <c r="Q36" s="95">
        <v>50</v>
      </c>
      <c r="R36" s="95">
        <v>111</v>
      </c>
      <c r="S36" s="95">
        <v>40</v>
      </c>
      <c r="T36" s="95">
        <v>77</v>
      </c>
      <c r="U36" s="95">
        <v>33</v>
      </c>
      <c r="V36" s="95">
        <v>1183</v>
      </c>
      <c r="W36" s="30">
        <v>2290</v>
      </c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</row>
    <row r="37" spans="1:44" x14ac:dyDescent="0.3">
      <c r="A37" s="305"/>
      <c r="B37" s="323"/>
      <c r="C37" s="95" t="s">
        <v>891</v>
      </c>
      <c r="D37" s="95">
        <v>132</v>
      </c>
      <c r="E37" s="95">
        <v>5</v>
      </c>
      <c r="F37" s="95">
        <v>29</v>
      </c>
      <c r="G37" s="95">
        <v>166</v>
      </c>
      <c r="H37" s="95">
        <v>595</v>
      </c>
      <c r="I37" s="95">
        <v>46</v>
      </c>
      <c r="J37" s="95">
        <v>16</v>
      </c>
      <c r="K37" s="95">
        <v>1</v>
      </c>
      <c r="L37" s="95">
        <v>0</v>
      </c>
      <c r="M37" s="95">
        <v>13</v>
      </c>
      <c r="N37" s="95">
        <v>2</v>
      </c>
      <c r="O37" s="95">
        <v>3</v>
      </c>
      <c r="P37" s="95">
        <v>57</v>
      </c>
      <c r="Q37" s="95">
        <v>82</v>
      </c>
      <c r="R37" s="95">
        <v>79</v>
      </c>
      <c r="S37" s="95">
        <v>6</v>
      </c>
      <c r="T37" s="95">
        <v>2</v>
      </c>
      <c r="U37" s="95">
        <v>2</v>
      </c>
      <c r="V37" s="95">
        <v>308</v>
      </c>
      <c r="W37" s="123">
        <v>1069</v>
      </c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</row>
    <row r="38" spans="1:44" x14ac:dyDescent="0.3">
      <c r="A38" s="305"/>
      <c r="B38" s="323"/>
      <c r="C38" s="95" t="s">
        <v>892</v>
      </c>
      <c r="D38" s="96">
        <v>2032</v>
      </c>
      <c r="E38" s="95">
        <v>93</v>
      </c>
      <c r="F38" s="95">
        <v>659</v>
      </c>
      <c r="G38" s="96">
        <v>2784</v>
      </c>
      <c r="H38" s="95">
        <v>354</v>
      </c>
      <c r="I38" s="95">
        <v>170</v>
      </c>
      <c r="J38" s="95">
        <v>256</v>
      </c>
      <c r="K38" s="95">
        <v>150</v>
      </c>
      <c r="L38" s="95">
        <v>70</v>
      </c>
      <c r="M38" s="95">
        <v>183</v>
      </c>
      <c r="N38" s="95">
        <v>104</v>
      </c>
      <c r="O38" s="95">
        <v>133</v>
      </c>
      <c r="P38" s="95">
        <v>90</v>
      </c>
      <c r="Q38" s="95">
        <v>7</v>
      </c>
      <c r="R38" s="95">
        <v>94</v>
      </c>
      <c r="S38" s="95">
        <v>103</v>
      </c>
      <c r="T38" s="95">
        <v>8</v>
      </c>
      <c r="U38" s="95">
        <v>7</v>
      </c>
      <c r="V38" s="96">
        <v>1375</v>
      </c>
      <c r="W38" s="30">
        <v>4514</v>
      </c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</row>
    <row r="39" spans="1:44" x14ac:dyDescent="0.3">
      <c r="A39" s="305"/>
      <c r="B39" s="323"/>
      <c r="C39" s="95" t="s">
        <v>893</v>
      </c>
      <c r="D39" s="95">
        <v>259</v>
      </c>
      <c r="E39" s="95">
        <v>10</v>
      </c>
      <c r="F39" s="95">
        <v>99</v>
      </c>
      <c r="G39" s="95">
        <v>368</v>
      </c>
      <c r="H39" s="95">
        <v>41</v>
      </c>
      <c r="I39" s="95">
        <v>33</v>
      </c>
      <c r="J39" s="95">
        <v>39</v>
      </c>
      <c r="K39" s="95">
        <v>96</v>
      </c>
      <c r="L39" s="95">
        <v>0</v>
      </c>
      <c r="M39" s="95">
        <v>27</v>
      </c>
      <c r="N39" s="95">
        <v>68</v>
      </c>
      <c r="O39" s="95">
        <v>19</v>
      </c>
      <c r="P39" s="95">
        <v>166</v>
      </c>
      <c r="Q39" s="95">
        <v>17</v>
      </c>
      <c r="R39" s="95">
        <v>22</v>
      </c>
      <c r="S39" s="95">
        <v>24</v>
      </c>
      <c r="T39" s="95">
        <v>13</v>
      </c>
      <c r="U39" s="95">
        <v>12</v>
      </c>
      <c r="V39" s="95">
        <v>535</v>
      </c>
      <c r="W39" s="123">
        <v>945</v>
      </c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</row>
    <row r="40" spans="1:44" x14ac:dyDescent="0.3">
      <c r="A40" s="305"/>
      <c r="B40" s="308"/>
      <c r="C40" s="95" t="s">
        <v>894</v>
      </c>
      <c r="D40" s="96">
        <v>2848</v>
      </c>
      <c r="E40" s="95">
        <v>127</v>
      </c>
      <c r="F40" s="95">
        <v>1349</v>
      </c>
      <c r="G40" s="96">
        <v>4324</v>
      </c>
      <c r="H40" s="95">
        <v>624</v>
      </c>
      <c r="I40" s="95">
        <v>257</v>
      </c>
      <c r="J40" s="95">
        <v>227</v>
      </c>
      <c r="K40" s="95">
        <v>165</v>
      </c>
      <c r="L40" s="95">
        <v>63</v>
      </c>
      <c r="M40" s="95">
        <v>307</v>
      </c>
      <c r="N40" s="96">
        <v>1003</v>
      </c>
      <c r="O40" s="95">
        <v>188</v>
      </c>
      <c r="P40" s="95">
        <v>185</v>
      </c>
      <c r="Q40" s="95">
        <v>37</v>
      </c>
      <c r="R40" s="95">
        <v>157</v>
      </c>
      <c r="S40" s="95">
        <v>185</v>
      </c>
      <c r="T40" s="95">
        <v>15</v>
      </c>
      <c r="U40" s="95">
        <v>41</v>
      </c>
      <c r="V40" s="96">
        <v>2830</v>
      </c>
      <c r="W40" s="30">
        <v>7778</v>
      </c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</row>
    <row r="41" spans="1:44" x14ac:dyDescent="0.3">
      <c r="A41" s="305"/>
      <c r="B41" s="307" t="s">
        <v>1042</v>
      </c>
      <c r="C41" s="95" t="s">
        <v>896</v>
      </c>
      <c r="D41" s="95">
        <v>80</v>
      </c>
      <c r="E41" s="95">
        <v>4</v>
      </c>
      <c r="F41" s="95">
        <v>42</v>
      </c>
      <c r="G41" s="95">
        <v>125</v>
      </c>
      <c r="H41" s="95">
        <v>68</v>
      </c>
      <c r="I41" s="95">
        <v>16</v>
      </c>
      <c r="J41" s="95">
        <v>17</v>
      </c>
      <c r="K41" s="95">
        <v>14</v>
      </c>
      <c r="L41" s="95">
        <v>0</v>
      </c>
      <c r="M41" s="95">
        <v>8</v>
      </c>
      <c r="N41" s="95">
        <v>38</v>
      </c>
      <c r="O41" s="95">
        <v>4</v>
      </c>
      <c r="P41" s="95">
        <v>333</v>
      </c>
      <c r="Q41" s="95">
        <v>1</v>
      </c>
      <c r="R41" s="95">
        <v>7</v>
      </c>
      <c r="S41" s="95">
        <v>19</v>
      </c>
      <c r="T41" s="95">
        <v>10</v>
      </c>
      <c r="U41" s="95">
        <v>0</v>
      </c>
      <c r="V41" s="95">
        <v>468</v>
      </c>
      <c r="W41" s="123">
        <v>661</v>
      </c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</row>
    <row r="42" spans="1:44" x14ac:dyDescent="0.3">
      <c r="A42" s="305"/>
      <c r="B42" s="323"/>
      <c r="C42" s="95" t="s">
        <v>897</v>
      </c>
      <c r="D42" s="95">
        <v>215</v>
      </c>
      <c r="E42" s="95">
        <v>76</v>
      </c>
      <c r="F42" s="95">
        <v>330</v>
      </c>
      <c r="G42" s="95">
        <v>621</v>
      </c>
      <c r="H42" s="95">
        <v>136</v>
      </c>
      <c r="I42" s="95">
        <v>205</v>
      </c>
      <c r="J42" s="95">
        <v>43</v>
      </c>
      <c r="K42" s="95">
        <v>59</v>
      </c>
      <c r="L42" s="95">
        <v>12</v>
      </c>
      <c r="M42" s="95">
        <v>125</v>
      </c>
      <c r="N42" s="95">
        <v>126</v>
      </c>
      <c r="O42" s="95">
        <v>1046</v>
      </c>
      <c r="P42" s="95">
        <v>734</v>
      </c>
      <c r="Q42" s="95">
        <v>91</v>
      </c>
      <c r="R42" s="95">
        <v>111</v>
      </c>
      <c r="S42" s="95">
        <v>118</v>
      </c>
      <c r="T42" s="95">
        <v>112</v>
      </c>
      <c r="U42" s="95">
        <v>4</v>
      </c>
      <c r="V42" s="96">
        <v>2783</v>
      </c>
      <c r="W42" s="30">
        <v>3540</v>
      </c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</row>
    <row r="43" spans="1:44" x14ac:dyDescent="0.3">
      <c r="A43" s="305"/>
      <c r="B43" s="323"/>
      <c r="C43" s="95" t="s">
        <v>898</v>
      </c>
      <c r="D43" s="95">
        <v>143</v>
      </c>
      <c r="E43" s="95">
        <v>14</v>
      </c>
      <c r="F43" s="95">
        <v>82</v>
      </c>
      <c r="G43" s="95">
        <v>238</v>
      </c>
      <c r="H43" s="95">
        <v>69</v>
      </c>
      <c r="I43" s="95">
        <v>52</v>
      </c>
      <c r="J43" s="95">
        <v>53</v>
      </c>
      <c r="K43" s="95">
        <v>57</v>
      </c>
      <c r="L43" s="95">
        <v>0</v>
      </c>
      <c r="M43" s="95">
        <v>62</v>
      </c>
      <c r="N43" s="95">
        <v>38</v>
      </c>
      <c r="O43" s="95">
        <v>17</v>
      </c>
      <c r="P43" s="95">
        <v>266</v>
      </c>
      <c r="Q43" s="95">
        <v>25</v>
      </c>
      <c r="R43" s="95">
        <v>121</v>
      </c>
      <c r="S43" s="95">
        <v>40</v>
      </c>
      <c r="T43" s="95">
        <v>29</v>
      </c>
      <c r="U43" s="95">
        <v>0</v>
      </c>
      <c r="V43" s="95">
        <v>760</v>
      </c>
      <c r="W43" s="30">
        <v>1067</v>
      </c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</row>
    <row r="44" spans="1:44" x14ac:dyDescent="0.3">
      <c r="A44" s="305"/>
      <c r="B44" s="323"/>
      <c r="C44" s="95" t="s">
        <v>899</v>
      </c>
      <c r="D44" s="95">
        <v>253</v>
      </c>
      <c r="E44" s="95">
        <v>18</v>
      </c>
      <c r="F44" s="95">
        <v>81</v>
      </c>
      <c r="G44" s="95">
        <v>352</v>
      </c>
      <c r="H44" s="95">
        <v>99</v>
      </c>
      <c r="I44" s="95">
        <v>28</v>
      </c>
      <c r="J44" s="95">
        <v>22</v>
      </c>
      <c r="K44" s="95">
        <v>18</v>
      </c>
      <c r="L44" s="95">
        <v>61</v>
      </c>
      <c r="M44" s="95">
        <v>22</v>
      </c>
      <c r="N44" s="95">
        <v>13</v>
      </c>
      <c r="O44" s="95">
        <v>54</v>
      </c>
      <c r="P44" s="95">
        <v>39</v>
      </c>
      <c r="Q44" s="95">
        <v>9</v>
      </c>
      <c r="R44" s="95">
        <v>47</v>
      </c>
      <c r="S44" s="95">
        <v>28</v>
      </c>
      <c r="T44" s="95">
        <v>9</v>
      </c>
      <c r="U44" s="95">
        <v>3</v>
      </c>
      <c r="V44" s="95">
        <v>352</v>
      </c>
      <c r="W44" s="123">
        <v>803</v>
      </c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</row>
    <row r="45" spans="1:44" x14ac:dyDescent="0.3">
      <c r="A45" s="305"/>
      <c r="B45" s="308"/>
      <c r="C45" s="95" t="s">
        <v>900</v>
      </c>
      <c r="D45" s="95">
        <v>276</v>
      </c>
      <c r="E45" s="95">
        <v>32</v>
      </c>
      <c r="F45" s="95">
        <v>328</v>
      </c>
      <c r="G45" s="95">
        <v>636</v>
      </c>
      <c r="H45" s="95">
        <v>173</v>
      </c>
      <c r="I45" s="95">
        <v>361</v>
      </c>
      <c r="J45" s="95">
        <v>97</v>
      </c>
      <c r="K45" s="95">
        <v>115</v>
      </c>
      <c r="L45" s="95">
        <v>12</v>
      </c>
      <c r="M45" s="95">
        <v>268</v>
      </c>
      <c r="N45" s="95">
        <v>243</v>
      </c>
      <c r="O45" s="95">
        <v>202</v>
      </c>
      <c r="P45" s="96">
        <v>2448</v>
      </c>
      <c r="Q45" s="95">
        <v>190</v>
      </c>
      <c r="R45" s="95">
        <v>364</v>
      </c>
      <c r="S45" s="95">
        <v>265</v>
      </c>
      <c r="T45" s="95">
        <v>188</v>
      </c>
      <c r="U45" s="95">
        <v>6</v>
      </c>
      <c r="V45" s="96">
        <v>4760</v>
      </c>
      <c r="W45" s="30">
        <v>5570</v>
      </c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</row>
    <row r="46" spans="1:44" x14ac:dyDescent="0.3">
      <c r="A46" s="306"/>
      <c r="B46" s="339" t="s">
        <v>110</v>
      </c>
      <c r="C46" s="322"/>
      <c r="D46" s="98">
        <v>15506</v>
      </c>
      <c r="E46" s="98">
        <v>836</v>
      </c>
      <c r="F46" s="98">
        <v>6489</v>
      </c>
      <c r="G46" s="98">
        <v>22831</v>
      </c>
      <c r="H46" s="98">
        <v>6281</v>
      </c>
      <c r="I46" s="98">
        <v>1886</v>
      </c>
      <c r="J46" s="98">
        <v>2190</v>
      </c>
      <c r="K46" s="98">
        <v>1542</v>
      </c>
      <c r="L46" s="97">
        <v>802</v>
      </c>
      <c r="M46" s="98">
        <v>1836</v>
      </c>
      <c r="N46" s="98">
        <v>2775</v>
      </c>
      <c r="O46" s="98">
        <v>2117</v>
      </c>
      <c r="P46" s="98">
        <v>5328</v>
      </c>
      <c r="Q46" s="97">
        <v>724</v>
      </c>
      <c r="R46" s="98">
        <v>1820</v>
      </c>
      <c r="S46" s="98">
        <v>1361</v>
      </c>
      <c r="T46" s="97">
        <v>638</v>
      </c>
      <c r="U46" s="97">
        <v>209</v>
      </c>
      <c r="V46" s="98">
        <v>23229</v>
      </c>
      <c r="W46" s="32">
        <v>52342</v>
      </c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</row>
    <row r="47" spans="1:44" x14ac:dyDescent="0.3">
      <c r="A47" s="304" t="s">
        <v>997</v>
      </c>
      <c r="B47" s="307" t="s">
        <v>902</v>
      </c>
      <c r="C47" s="95" t="s">
        <v>903</v>
      </c>
      <c r="D47" s="95">
        <v>641</v>
      </c>
      <c r="E47" s="95">
        <v>16</v>
      </c>
      <c r="F47" s="95">
        <v>153</v>
      </c>
      <c r="G47" s="95">
        <v>810</v>
      </c>
      <c r="H47" s="95">
        <v>332</v>
      </c>
      <c r="I47" s="95">
        <v>18</v>
      </c>
      <c r="J47" s="95">
        <v>68</v>
      </c>
      <c r="K47" s="95">
        <v>24</v>
      </c>
      <c r="L47" s="95">
        <v>69</v>
      </c>
      <c r="M47" s="95">
        <v>5</v>
      </c>
      <c r="N47" s="95">
        <v>7</v>
      </c>
      <c r="O47" s="95">
        <v>30</v>
      </c>
      <c r="P47" s="95">
        <v>31</v>
      </c>
      <c r="Q47" s="95">
        <v>1</v>
      </c>
      <c r="R47" s="95">
        <v>81</v>
      </c>
      <c r="S47" s="95">
        <v>56</v>
      </c>
      <c r="T47" s="95">
        <v>2</v>
      </c>
      <c r="U47" s="95">
        <v>6</v>
      </c>
      <c r="V47" s="95">
        <v>397</v>
      </c>
      <c r="W47" s="125">
        <v>1539</v>
      </c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</row>
    <row r="48" spans="1:44" x14ac:dyDescent="0.3">
      <c r="A48" s="305"/>
      <c r="B48" s="323"/>
      <c r="C48" s="95" t="s">
        <v>904</v>
      </c>
      <c r="D48" s="95">
        <v>42</v>
      </c>
      <c r="E48" s="95">
        <v>2</v>
      </c>
      <c r="F48" s="95">
        <v>3</v>
      </c>
      <c r="G48" s="95">
        <v>47</v>
      </c>
      <c r="H48" s="95">
        <v>7</v>
      </c>
      <c r="I48" s="95">
        <v>2</v>
      </c>
      <c r="J48" s="95">
        <v>8</v>
      </c>
      <c r="K48" s="95">
        <v>3</v>
      </c>
      <c r="L48" s="95">
        <v>2</v>
      </c>
      <c r="M48" s="95">
        <v>0</v>
      </c>
      <c r="N48" s="95">
        <v>1</v>
      </c>
      <c r="O48" s="95">
        <v>0</v>
      </c>
      <c r="P48" s="95">
        <v>1</v>
      </c>
      <c r="Q48" s="95">
        <v>0</v>
      </c>
      <c r="R48" s="95">
        <v>2</v>
      </c>
      <c r="S48" s="95">
        <v>0</v>
      </c>
      <c r="T48" s="95">
        <v>6</v>
      </c>
      <c r="U48" s="95">
        <v>2</v>
      </c>
      <c r="V48" s="95">
        <v>27</v>
      </c>
      <c r="W48" s="123">
        <v>81</v>
      </c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</row>
    <row r="49" spans="1:44" x14ac:dyDescent="0.3">
      <c r="A49" s="305"/>
      <c r="B49" s="323"/>
      <c r="C49" s="95" t="s">
        <v>905</v>
      </c>
      <c r="D49" s="95">
        <v>34</v>
      </c>
      <c r="E49" s="95">
        <v>2</v>
      </c>
      <c r="F49" s="95">
        <v>41</v>
      </c>
      <c r="G49" s="95">
        <v>77</v>
      </c>
      <c r="H49" s="95">
        <v>63</v>
      </c>
      <c r="I49" s="95">
        <v>1</v>
      </c>
      <c r="J49" s="95">
        <v>8</v>
      </c>
      <c r="K49" s="95">
        <v>13</v>
      </c>
      <c r="L49" s="95">
        <v>1</v>
      </c>
      <c r="M49" s="95">
        <v>0</v>
      </c>
      <c r="N49" s="95">
        <v>6</v>
      </c>
      <c r="O49" s="95">
        <v>15</v>
      </c>
      <c r="P49" s="95">
        <v>5</v>
      </c>
      <c r="Q49" s="95">
        <v>0</v>
      </c>
      <c r="R49" s="95">
        <v>2</v>
      </c>
      <c r="S49" s="95">
        <v>5</v>
      </c>
      <c r="T49" s="95">
        <v>0</v>
      </c>
      <c r="U49" s="95">
        <v>0</v>
      </c>
      <c r="V49" s="95">
        <v>56</v>
      </c>
      <c r="W49" s="123">
        <v>196</v>
      </c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</row>
    <row r="50" spans="1:44" x14ac:dyDescent="0.3">
      <c r="A50" s="305"/>
      <c r="B50" s="323"/>
      <c r="C50" s="95" t="s">
        <v>906</v>
      </c>
      <c r="D50" s="95">
        <v>94</v>
      </c>
      <c r="E50" s="95">
        <v>11</v>
      </c>
      <c r="F50" s="95">
        <v>78</v>
      </c>
      <c r="G50" s="95">
        <v>184</v>
      </c>
      <c r="H50" s="95">
        <v>102</v>
      </c>
      <c r="I50" s="95">
        <v>19</v>
      </c>
      <c r="J50" s="95">
        <v>8</v>
      </c>
      <c r="K50" s="95">
        <v>25</v>
      </c>
      <c r="L50" s="95">
        <v>48</v>
      </c>
      <c r="M50" s="95">
        <v>8</v>
      </c>
      <c r="N50" s="95">
        <v>5</v>
      </c>
      <c r="O50" s="95">
        <v>6</v>
      </c>
      <c r="P50" s="95">
        <v>3</v>
      </c>
      <c r="Q50" s="95">
        <v>1</v>
      </c>
      <c r="R50" s="95">
        <v>25</v>
      </c>
      <c r="S50" s="95">
        <v>2</v>
      </c>
      <c r="T50" s="95">
        <v>1</v>
      </c>
      <c r="U50" s="95">
        <v>0</v>
      </c>
      <c r="V50" s="95">
        <v>151</v>
      </c>
      <c r="W50" s="123">
        <v>437</v>
      </c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</row>
    <row r="51" spans="1:44" x14ac:dyDescent="0.3">
      <c r="A51" s="305"/>
      <c r="B51" s="308"/>
      <c r="C51" s="95" t="s">
        <v>907</v>
      </c>
      <c r="D51" s="95">
        <v>97</v>
      </c>
      <c r="E51" s="95">
        <v>11</v>
      </c>
      <c r="F51" s="95">
        <v>63</v>
      </c>
      <c r="G51" s="95">
        <v>170</v>
      </c>
      <c r="H51" s="95">
        <v>198</v>
      </c>
      <c r="I51" s="95">
        <v>25</v>
      </c>
      <c r="J51" s="95">
        <v>4</v>
      </c>
      <c r="K51" s="95">
        <v>21</v>
      </c>
      <c r="L51" s="95">
        <v>10</v>
      </c>
      <c r="M51" s="95">
        <v>1</v>
      </c>
      <c r="N51" s="95">
        <v>6</v>
      </c>
      <c r="O51" s="95">
        <v>22</v>
      </c>
      <c r="P51" s="95">
        <v>4</v>
      </c>
      <c r="Q51" s="95">
        <v>0</v>
      </c>
      <c r="R51" s="95">
        <v>15</v>
      </c>
      <c r="S51" s="95">
        <v>46</v>
      </c>
      <c r="T51" s="95">
        <v>0</v>
      </c>
      <c r="U51" s="95">
        <v>0</v>
      </c>
      <c r="V51" s="95">
        <v>154</v>
      </c>
      <c r="W51" s="123">
        <v>523</v>
      </c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</row>
    <row r="52" spans="1:44" ht="33" x14ac:dyDescent="0.3">
      <c r="A52" s="305"/>
      <c r="B52" s="307" t="s">
        <v>908</v>
      </c>
      <c r="C52" s="168" t="s">
        <v>1043</v>
      </c>
      <c r="D52" s="177">
        <v>1064</v>
      </c>
      <c r="E52" s="168">
        <v>131</v>
      </c>
      <c r="F52" s="168">
        <v>626</v>
      </c>
      <c r="G52" s="177">
        <v>1821</v>
      </c>
      <c r="H52" s="168">
        <v>608</v>
      </c>
      <c r="I52" s="168">
        <v>102</v>
      </c>
      <c r="J52" s="168">
        <v>137</v>
      </c>
      <c r="K52" s="168">
        <v>132</v>
      </c>
      <c r="L52" s="168">
        <v>165</v>
      </c>
      <c r="M52" s="168">
        <v>47</v>
      </c>
      <c r="N52" s="168">
        <v>146</v>
      </c>
      <c r="O52" s="168">
        <v>161</v>
      </c>
      <c r="P52" s="168">
        <v>424</v>
      </c>
      <c r="Q52" s="168">
        <v>55</v>
      </c>
      <c r="R52" s="168">
        <v>314</v>
      </c>
      <c r="S52" s="168">
        <v>220</v>
      </c>
      <c r="T52" s="168">
        <v>4</v>
      </c>
      <c r="U52" s="168">
        <v>48</v>
      </c>
      <c r="V52" s="177">
        <v>1956</v>
      </c>
      <c r="W52" s="190">
        <v>4386</v>
      </c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</row>
    <row r="53" spans="1:44" x14ac:dyDescent="0.3">
      <c r="A53" s="305"/>
      <c r="B53" s="308"/>
      <c r="C53" s="95" t="s">
        <v>910</v>
      </c>
      <c r="D53" s="95">
        <v>537</v>
      </c>
      <c r="E53" s="95">
        <v>64</v>
      </c>
      <c r="F53" s="95">
        <v>284</v>
      </c>
      <c r="G53" s="95">
        <v>884</v>
      </c>
      <c r="H53" s="95">
        <v>195</v>
      </c>
      <c r="I53" s="95">
        <v>99</v>
      </c>
      <c r="J53" s="95">
        <v>55</v>
      </c>
      <c r="K53" s="95">
        <v>58</v>
      </c>
      <c r="L53" s="95">
        <v>156</v>
      </c>
      <c r="M53" s="95">
        <v>20</v>
      </c>
      <c r="N53" s="95">
        <v>84</v>
      </c>
      <c r="O53" s="95">
        <v>50</v>
      </c>
      <c r="P53" s="95">
        <v>49</v>
      </c>
      <c r="Q53" s="95">
        <v>18</v>
      </c>
      <c r="R53" s="95">
        <v>101</v>
      </c>
      <c r="S53" s="95">
        <v>143</v>
      </c>
      <c r="T53" s="95">
        <v>2</v>
      </c>
      <c r="U53" s="95">
        <v>16</v>
      </c>
      <c r="V53" s="95">
        <v>851</v>
      </c>
      <c r="W53" s="30">
        <v>1931</v>
      </c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</row>
    <row r="54" spans="1:44" x14ac:dyDescent="0.3">
      <c r="A54" s="305"/>
      <c r="B54" s="307" t="s">
        <v>911</v>
      </c>
      <c r="C54" s="95" t="s">
        <v>912</v>
      </c>
      <c r="D54" s="95">
        <v>251</v>
      </c>
      <c r="E54" s="95">
        <v>6</v>
      </c>
      <c r="F54" s="95">
        <v>79</v>
      </c>
      <c r="G54" s="95">
        <v>336</v>
      </c>
      <c r="H54" s="95">
        <v>55</v>
      </c>
      <c r="I54" s="95">
        <v>11</v>
      </c>
      <c r="J54" s="95">
        <v>3</v>
      </c>
      <c r="K54" s="95">
        <v>8</v>
      </c>
      <c r="L54" s="95">
        <v>4</v>
      </c>
      <c r="M54" s="95">
        <v>6</v>
      </c>
      <c r="N54" s="95">
        <v>20</v>
      </c>
      <c r="O54" s="95">
        <v>20</v>
      </c>
      <c r="P54" s="95">
        <v>1</v>
      </c>
      <c r="Q54" s="95">
        <v>1</v>
      </c>
      <c r="R54" s="95">
        <v>5</v>
      </c>
      <c r="S54" s="95">
        <v>5</v>
      </c>
      <c r="T54" s="95">
        <v>0</v>
      </c>
      <c r="U54" s="95">
        <v>0</v>
      </c>
      <c r="V54" s="95">
        <v>84</v>
      </c>
      <c r="W54" s="123">
        <v>476</v>
      </c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</row>
    <row r="55" spans="1:44" x14ac:dyDescent="0.3">
      <c r="A55" s="305"/>
      <c r="B55" s="323"/>
      <c r="C55" s="95" t="s">
        <v>913</v>
      </c>
      <c r="D55" s="95">
        <v>192</v>
      </c>
      <c r="E55" s="95">
        <v>12</v>
      </c>
      <c r="F55" s="95">
        <v>88</v>
      </c>
      <c r="G55" s="95">
        <v>292</v>
      </c>
      <c r="H55" s="95">
        <v>34</v>
      </c>
      <c r="I55" s="95">
        <v>8</v>
      </c>
      <c r="J55" s="95">
        <v>8</v>
      </c>
      <c r="K55" s="95">
        <v>5</v>
      </c>
      <c r="L55" s="95">
        <v>7</v>
      </c>
      <c r="M55" s="95">
        <v>10</v>
      </c>
      <c r="N55" s="95">
        <v>6</v>
      </c>
      <c r="O55" s="95">
        <v>4</v>
      </c>
      <c r="P55" s="95">
        <v>3</v>
      </c>
      <c r="Q55" s="95">
        <v>5</v>
      </c>
      <c r="R55" s="95">
        <v>20</v>
      </c>
      <c r="S55" s="95">
        <v>3</v>
      </c>
      <c r="T55" s="95">
        <v>0</v>
      </c>
      <c r="U55" s="95">
        <v>0</v>
      </c>
      <c r="V55" s="95">
        <v>78</v>
      </c>
      <c r="W55" s="123">
        <v>405</v>
      </c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</row>
    <row r="56" spans="1:44" x14ac:dyDescent="0.3">
      <c r="A56" s="305"/>
      <c r="B56" s="308"/>
      <c r="C56" s="95" t="s">
        <v>914</v>
      </c>
      <c r="D56" s="95">
        <v>44</v>
      </c>
      <c r="E56" s="95">
        <v>0</v>
      </c>
      <c r="F56" s="95">
        <v>21</v>
      </c>
      <c r="G56" s="95">
        <v>65</v>
      </c>
      <c r="H56" s="95">
        <v>185</v>
      </c>
      <c r="I56" s="95">
        <v>8</v>
      </c>
      <c r="J56" s="95">
        <v>41</v>
      </c>
      <c r="K56" s="95">
        <v>7</v>
      </c>
      <c r="L56" s="95">
        <v>0</v>
      </c>
      <c r="M56" s="95">
        <v>0</v>
      </c>
      <c r="N56" s="95">
        <v>0</v>
      </c>
      <c r="O56" s="95">
        <v>10</v>
      </c>
      <c r="P56" s="95">
        <v>2</v>
      </c>
      <c r="Q56" s="95">
        <v>0</v>
      </c>
      <c r="R56" s="95">
        <v>1</v>
      </c>
      <c r="S56" s="95">
        <v>0</v>
      </c>
      <c r="T56" s="95">
        <v>8</v>
      </c>
      <c r="U56" s="95">
        <v>0</v>
      </c>
      <c r="V56" s="95">
        <v>77</v>
      </c>
      <c r="W56" s="123">
        <v>327</v>
      </c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</row>
    <row r="57" spans="1:44" x14ac:dyDescent="0.3">
      <c r="A57" s="305"/>
      <c r="B57" s="307" t="s">
        <v>1044</v>
      </c>
      <c r="C57" s="95" t="s">
        <v>916</v>
      </c>
      <c r="D57" s="95">
        <v>149</v>
      </c>
      <c r="E57" s="95">
        <v>8</v>
      </c>
      <c r="F57" s="95">
        <v>64</v>
      </c>
      <c r="G57" s="95">
        <v>222</v>
      </c>
      <c r="H57" s="95">
        <v>60</v>
      </c>
      <c r="I57" s="95">
        <v>1</v>
      </c>
      <c r="J57" s="95">
        <v>3</v>
      </c>
      <c r="K57" s="95">
        <v>5</v>
      </c>
      <c r="L57" s="95">
        <v>4</v>
      </c>
      <c r="M57" s="95">
        <v>2</v>
      </c>
      <c r="N57" s="95">
        <v>0</v>
      </c>
      <c r="O57" s="95">
        <v>0</v>
      </c>
      <c r="P57" s="95">
        <v>0</v>
      </c>
      <c r="Q57" s="95">
        <v>0</v>
      </c>
      <c r="R57" s="95">
        <v>85</v>
      </c>
      <c r="S57" s="95">
        <v>4</v>
      </c>
      <c r="T57" s="95">
        <v>0</v>
      </c>
      <c r="U57" s="95">
        <v>3</v>
      </c>
      <c r="V57" s="95">
        <v>107</v>
      </c>
      <c r="W57" s="123">
        <v>389</v>
      </c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</row>
    <row r="58" spans="1:44" x14ac:dyDescent="0.3">
      <c r="A58" s="305"/>
      <c r="B58" s="323"/>
      <c r="C58" s="95" t="s">
        <v>985</v>
      </c>
      <c r="D58" s="95">
        <v>76</v>
      </c>
      <c r="E58" s="95">
        <v>10</v>
      </c>
      <c r="F58" s="95">
        <v>95</v>
      </c>
      <c r="G58" s="95">
        <v>181</v>
      </c>
      <c r="H58" s="95">
        <v>110</v>
      </c>
      <c r="I58" s="95">
        <v>4</v>
      </c>
      <c r="J58" s="95">
        <v>3</v>
      </c>
      <c r="K58" s="95">
        <v>10</v>
      </c>
      <c r="L58" s="95">
        <v>5</v>
      </c>
      <c r="M58" s="95">
        <v>1</v>
      </c>
      <c r="N58" s="95">
        <v>5</v>
      </c>
      <c r="O58" s="95">
        <v>20</v>
      </c>
      <c r="P58" s="95">
        <v>16</v>
      </c>
      <c r="Q58" s="95">
        <v>0</v>
      </c>
      <c r="R58" s="95">
        <v>19</v>
      </c>
      <c r="S58" s="95">
        <v>8</v>
      </c>
      <c r="T58" s="95">
        <v>0</v>
      </c>
      <c r="U58" s="95">
        <v>0</v>
      </c>
      <c r="V58" s="95">
        <v>90</v>
      </c>
      <c r="W58" s="123">
        <v>381</v>
      </c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</row>
    <row r="59" spans="1:44" x14ac:dyDescent="0.3">
      <c r="A59" s="305"/>
      <c r="B59" s="323"/>
      <c r="C59" s="95" t="s">
        <v>918</v>
      </c>
      <c r="D59" s="95">
        <v>36</v>
      </c>
      <c r="E59" s="95">
        <v>1</v>
      </c>
      <c r="F59" s="95">
        <v>12</v>
      </c>
      <c r="G59" s="95">
        <v>49</v>
      </c>
      <c r="H59" s="95">
        <v>13</v>
      </c>
      <c r="I59" s="95">
        <v>1</v>
      </c>
      <c r="J59" s="95">
        <v>3</v>
      </c>
      <c r="K59" s="95">
        <v>2</v>
      </c>
      <c r="L59" s="95">
        <v>14</v>
      </c>
      <c r="M59" s="95">
        <v>1</v>
      </c>
      <c r="N59" s="95">
        <v>0</v>
      </c>
      <c r="O59" s="95">
        <v>0</v>
      </c>
      <c r="P59" s="95">
        <v>0</v>
      </c>
      <c r="Q59" s="95">
        <v>0</v>
      </c>
      <c r="R59" s="95">
        <v>3</v>
      </c>
      <c r="S59" s="95">
        <v>2</v>
      </c>
      <c r="T59" s="95">
        <v>1</v>
      </c>
      <c r="U59" s="95">
        <v>0</v>
      </c>
      <c r="V59" s="95">
        <v>28</v>
      </c>
      <c r="W59" s="123">
        <v>90</v>
      </c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</row>
    <row r="60" spans="1:44" x14ac:dyDescent="0.3">
      <c r="A60" s="305"/>
      <c r="B60" s="323"/>
      <c r="C60" s="95" t="s">
        <v>919</v>
      </c>
      <c r="D60" s="95">
        <v>61</v>
      </c>
      <c r="E60" s="95">
        <v>16</v>
      </c>
      <c r="F60" s="95">
        <v>20</v>
      </c>
      <c r="G60" s="95">
        <v>97</v>
      </c>
      <c r="H60" s="95">
        <v>22</v>
      </c>
      <c r="I60" s="95">
        <v>16</v>
      </c>
      <c r="J60" s="95">
        <v>6</v>
      </c>
      <c r="K60" s="95">
        <v>6</v>
      </c>
      <c r="L60" s="95">
        <v>5</v>
      </c>
      <c r="M60" s="95">
        <v>2</v>
      </c>
      <c r="N60" s="95">
        <v>12</v>
      </c>
      <c r="O60" s="95">
        <v>14</v>
      </c>
      <c r="P60" s="95">
        <v>1</v>
      </c>
      <c r="Q60" s="95">
        <v>1</v>
      </c>
      <c r="R60" s="95">
        <v>8</v>
      </c>
      <c r="S60" s="95">
        <v>21</v>
      </c>
      <c r="T60" s="95">
        <v>0</v>
      </c>
      <c r="U60" s="95">
        <v>1</v>
      </c>
      <c r="V60" s="95">
        <v>93</v>
      </c>
      <c r="W60" s="123">
        <v>212</v>
      </c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</row>
    <row r="61" spans="1:44" x14ac:dyDescent="0.3">
      <c r="A61" s="305"/>
      <c r="B61" s="323"/>
      <c r="C61" s="95" t="s">
        <v>920</v>
      </c>
      <c r="D61" s="95">
        <v>157</v>
      </c>
      <c r="E61" s="95">
        <v>1</v>
      </c>
      <c r="F61" s="95">
        <v>19</v>
      </c>
      <c r="G61" s="95">
        <v>178</v>
      </c>
      <c r="H61" s="95">
        <v>10</v>
      </c>
      <c r="I61" s="95">
        <v>4</v>
      </c>
      <c r="J61" s="95">
        <v>1</v>
      </c>
      <c r="K61" s="95">
        <v>8</v>
      </c>
      <c r="L61" s="95">
        <v>2</v>
      </c>
      <c r="M61" s="95">
        <v>0</v>
      </c>
      <c r="N61" s="95">
        <v>0</v>
      </c>
      <c r="O61" s="95">
        <v>0</v>
      </c>
      <c r="P61" s="95">
        <v>1</v>
      </c>
      <c r="Q61" s="95">
        <v>0</v>
      </c>
      <c r="R61" s="95">
        <v>0</v>
      </c>
      <c r="S61" s="95">
        <v>23</v>
      </c>
      <c r="T61" s="95">
        <v>0</v>
      </c>
      <c r="U61" s="95">
        <v>0</v>
      </c>
      <c r="V61" s="95">
        <v>40</v>
      </c>
      <c r="W61" s="123">
        <v>228</v>
      </c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</row>
    <row r="62" spans="1:44" x14ac:dyDescent="0.3">
      <c r="A62" s="305"/>
      <c r="B62" s="323"/>
      <c r="C62" s="95" t="s">
        <v>921</v>
      </c>
      <c r="D62" s="95">
        <v>57</v>
      </c>
      <c r="E62" s="95">
        <v>33</v>
      </c>
      <c r="F62" s="95">
        <v>73</v>
      </c>
      <c r="G62" s="95">
        <v>164</v>
      </c>
      <c r="H62" s="95">
        <v>79</v>
      </c>
      <c r="I62" s="95">
        <v>10</v>
      </c>
      <c r="J62" s="95">
        <v>7</v>
      </c>
      <c r="K62" s="95">
        <v>2</v>
      </c>
      <c r="L62" s="95">
        <v>11</v>
      </c>
      <c r="M62" s="95">
        <v>0</v>
      </c>
      <c r="N62" s="95">
        <v>1</v>
      </c>
      <c r="O62" s="95">
        <v>9</v>
      </c>
      <c r="P62" s="95">
        <v>10</v>
      </c>
      <c r="Q62" s="95">
        <v>0</v>
      </c>
      <c r="R62" s="95">
        <v>19</v>
      </c>
      <c r="S62" s="95">
        <v>11</v>
      </c>
      <c r="T62" s="95">
        <v>1</v>
      </c>
      <c r="U62" s="95">
        <v>0</v>
      </c>
      <c r="V62" s="95">
        <v>80</v>
      </c>
      <c r="W62" s="123">
        <v>323</v>
      </c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</row>
    <row r="63" spans="1:44" x14ac:dyDescent="0.3">
      <c r="A63" s="305"/>
      <c r="B63" s="323"/>
      <c r="C63" s="95" t="s">
        <v>922</v>
      </c>
      <c r="D63" s="95">
        <v>89</v>
      </c>
      <c r="E63" s="95">
        <v>18</v>
      </c>
      <c r="F63" s="95">
        <v>89</v>
      </c>
      <c r="G63" s="95">
        <v>197</v>
      </c>
      <c r="H63" s="95">
        <v>45</v>
      </c>
      <c r="I63" s="95">
        <v>13</v>
      </c>
      <c r="J63" s="95">
        <v>3</v>
      </c>
      <c r="K63" s="95">
        <v>3</v>
      </c>
      <c r="L63" s="95">
        <v>77</v>
      </c>
      <c r="M63" s="95">
        <v>3</v>
      </c>
      <c r="N63" s="95">
        <v>28</v>
      </c>
      <c r="O63" s="95">
        <v>8</v>
      </c>
      <c r="P63" s="95">
        <v>5</v>
      </c>
      <c r="Q63" s="95">
        <v>0</v>
      </c>
      <c r="R63" s="95">
        <v>23</v>
      </c>
      <c r="S63" s="95">
        <v>21</v>
      </c>
      <c r="T63" s="95">
        <v>0</v>
      </c>
      <c r="U63" s="95">
        <v>0</v>
      </c>
      <c r="V63" s="95">
        <v>183</v>
      </c>
      <c r="W63" s="123">
        <v>425</v>
      </c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</row>
    <row r="64" spans="1:44" x14ac:dyDescent="0.3">
      <c r="A64" s="305"/>
      <c r="B64" s="308"/>
      <c r="C64" s="95" t="s">
        <v>923</v>
      </c>
      <c r="D64" s="95">
        <v>93</v>
      </c>
      <c r="E64" s="95">
        <v>52</v>
      </c>
      <c r="F64" s="95">
        <v>193</v>
      </c>
      <c r="G64" s="95">
        <v>337</v>
      </c>
      <c r="H64" s="95">
        <v>328</v>
      </c>
      <c r="I64" s="95">
        <v>37</v>
      </c>
      <c r="J64" s="95">
        <v>5</v>
      </c>
      <c r="K64" s="95">
        <v>18</v>
      </c>
      <c r="L64" s="95">
        <v>11</v>
      </c>
      <c r="M64" s="95">
        <v>0</v>
      </c>
      <c r="N64" s="95">
        <v>5</v>
      </c>
      <c r="O64" s="95">
        <v>12</v>
      </c>
      <c r="P64" s="95">
        <v>16</v>
      </c>
      <c r="Q64" s="95">
        <v>2</v>
      </c>
      <c r="R64" s="95">
        <v>39</v>
      </c>
      <c r="S64" s="95">
        <v>48</v>
      </c>
      <c r="T64" s="95">
        <v>0</v>
      </c>
      <c r="U64" s="95">
        <v>0</v>
      </c>
      <c r="V64" s="95">
        <v>192</v>
      </c>
      <c r="W64" s="123">
        <v>858</v>
      </c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</row>
    <row r="65" spans="1:44" x14ac:dyDescent="0.3">
      <c r="A65" s="306"/>
      <c r="B65" s="339" t="s">
        <v>110</v>
      </c>
      <c r="C65" s="322"/>
      <c r="D65" s="98">
        <v>3714</v>
      </c>
      <c r="E65" s="97">
        <v>395</v>
      </c>
      <c r="F65" s="98">
        <v>2004</v>
      </c>
      <c r="G65" s="98">
        <v>6113</v>
      </c>
      <c r="H65" s="98">
        <v>2447</v>
      </c>
      <c r="I65" s="97">
        <v>377</v>
      </c>
      <c r="J65" s="97">
        <v>371</v>
      </c>
      <c r="K65" s="97">
        <v>350</v>
      </c>
      <c r="L65" s="97">
        <v>592</v>
      </c>
      <c r="M65" s="97">
        <v>104</v>
      </c>
      <c r="N65" s="97">
        <v>331</v>
      </c>
      <c r="O65" s="97">
        <v>382</v>
      </c>
      <c r="P65" s="97">
        <v>572</v>
      </c>
      <c r="Q65" s="97">
        <v>84</v>
      </c>
      <c r="R65" s="97">
        <v>762</v>
      </c>
      <c r="S65" s="97">
        <v>618</v>
      </c>
      <c r="T65" s="97">
        <v>25</v>
      </c>
      <c r="U65" s="97">
        <v>77</v>
      </c>
      <c r="V65" s="98">
        <v>4645</v>
      </c>
      <c r="W65" s="32">
        <v>13205</v>
      </c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</row>
    <row r="66" spans="1:44" x14ac:dyDescent="0.3">
      <c r="A66" s="304" t="s">
        <v>998</v>
      </c>
      <c r="B66" s="307" t="s">
        <v>925</v>
      </c>
      <c r="C66" s="95" t="s">
        <v>926</v>
      </c>
      <c r="D66" s="95">
        <v>47</v>
      </c>
      <c r="E66" s="95">
        <v>0</v>
      </c>
      <c r="F66" s="95">
        <v>85</v>
      </c>
      <c r="G66" s="95">
        <v>131</v>
      </c>
      <c r="H66" s="96">
        <v>3925</v>
      </c>
      <c r="I66" s="95">
        <v>11</v>
      </c>
      <c r="J66" s="95">
        <v>3</v>
      </c>
      <c r="K66" s="95">
        <v>2</v>
      </c>
      <c r="L66" s="95">
        <v>2</v>
      </c>
      <c r="M66" s="95">
        <v>0</v>
      </c>
      <c r="N66" s="95">
        <v>1</v>
      </c>
      <c r="O66" s="95">
        <v>9</v>
      </c>
      <c r="P66" s="95">
        <v>0</v>
      </c>
      <c r="Q66" s="95">
        <v>0</v>
      </c>
      <c r="R66" s="95">
        <v>60</v>
      </c>
      <c r="S66" s="95">
        <v>353</v>
      </c>
      <c r="T66" s="95">
        <v>0</v>
      </c>
      <c r="U66" s="95">
        <v>0</v>
      </c>
      <c r="V66" s="95">
        <v>441</v>
      </c>
      <c r="W66" s="30">
        <v>4497</v>
      </c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</row>
    <row r="67" spans="1:44" x14ac:dyDescent="0.3">
      <c r="A67" s="305"/>
      <c r="B67" s="323"/>
      <c r="C67" s="95" t="s">
        <v>927</v>
      </c>
      <c r="D67" s="95">
        <v>24</v>
      </c>
      <c r="E67" s="95">
        <v>0</v>
      </c>
      <c r="F67" s="95">
        <v>0</v>
      </c>
      <c r="G67" s="95">
        <v>24</v>
      </c>
      <c r="H67" s="95">
        <v>224</v>
      </c>
      <c r="I67" s="95">
        <v>0</v>
      </c>
      <c r="J67" s="95">
        <v>0</v>
      </c>
      <c r="K67" s="95">
        <v>0</v>
      </c>
      <c r="L67" s="95">
        <v>0</v>
      </c>
      <c r="M67" s="95">
        <v>0</v>
      </c>
      <c r="N67" s="95">
        <v>98</v>
      </c>
      <c r="O67" s="95">
        <v>0</v>
      </c>
      <c r="P67" s="95">
        <v>0</v>
      </c>
      <c r="Q67" s="95">
        <v>0</v>
      </c>
      <c r="R67" s="95">
        <v>0</v>
      </c>
      <c r="S67" s="95">
        <v>0</v>
      </c>
      <c r="T67" s="95">
        <v>0</v>
      </c>
      <c r="U67" s="95">
        <v>0</v>
      </c>
      <c r="V67" s="95">
        <v>98</v>
      </c>
      <c r="W67" s="123">
        <v>346</v>
      </c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</row>
    <row r="68" spans="1:44" x14ac:dyDescent="0.3">
      <c r="A68" s="305"/>
      <c r="B68" s="323"/>
      <c r="C68" s="95" t="s">
        <v>928</v>
      </c>
      <c r="D68" s="95">
        <v>8</v>
      </c>
      <c r="E68" s="95">
        <v>5</v>
      </c>
      <c r="F68" s="95">
        <v>162</v>
      </c>
      <c r="G68" s="95">
        <v>175</v>
      </c>
      <c r="H68" s="95">
        <v>696</v>
      </c>
      <c r="I68" s="95">
        <v>0</v>
      </c>
      <c r="J68" s="95">
        <v>0</v>
      </c>
      <c r="K68" s="95">
        <v>1</v>
      </c>
      <c r="L68" s="95">
        <v>5</v>
      </c>
      <c r="M68" s="95">
        <v>0</v>
      </c>
      <c r="N68" s="95">
        <v>3</v>
      </c>
      <c r="O68" s="95">
        <v>51</v>
      </c>
      <c r="P68" s="95">
        <v>1</v>
      </c>
      <c r="Q68" s="95">
        <v>0</v>
      </c>
      <c r="R68" s="95">
        <v>0</v>
      </c>
      <c r="S68" s="95">
        <v>0</v>
      </c>
      <c r="T68" s="95">
        <v>0</v>
      </c>
      <c r="U68" s="95">
        <v>0</v>
      </c>
      <c r="V68" s="95">
        <v>62</v>
      </c>
      <c r="W68" s="123">
        <v>933</v>
      </c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</row>
    <row r="69" spans="1:44" x14ac:dyDescent="0.3">
      <c r="A69" s="305"/>
      <c r="B69" s="308"/>
      <c r="C69" s="95" t="s">
        <v>929</v>
      </c>
      <c r="D69" s="95">
        <v>37</v>
      </c>
      <c r="E69" s="95">
        <v>27</v>
      </c>
      <c r="F69" s="95">
        <v>217</v>
      </c>
      <c r="G69" s="95">
        <v>280</v>
      </c>
      <c r="H69" s="95">
        <v>919</v>
      </c>
      <c r="I69" s="95">
        <v>35</v>
      </c>
      <c r="J69" s="95">
        <v>1</v>
      </c>
      <c r="K69" s="95">
        <v>1</v>
      </c>
      <c r="L69" s="95">
        <v>6</v>
      </c>
      <c r="M69" s="95">
        <v>13</v>
      </c>
      <c r="N69" s="95">
        <v>1</v>
      </c>
      <c r="O69" s="95">
        <v>3</v>
      </c>
      <c r="P69" s="95">
        <v>18</v>
      </c>
      <c r="Q69" s="95">
        <v>0</v>
      </c>
      <c r="R69" s="95">
        <v>0</v>
      </c>
      <c r="S69" s="95">
        <v>0</v>
      </c>
      <c r="T69" s="95">
        <v>0</v>
      </c>
      <c r="U69" s="95">
        <v>0</v>
      </c>
      <c r="V69" s="95">
        <v>78</v>
      </c>
      <c r="W69" s="123">
        <v>1278</v>
      </c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</row>
    <row r="70" spans="1:44" x14ac:dyDescent="0.3">
      <c r="A70" s="305"/>
      <c r="B70" s="307" t="s">
        <v>930</v>
      </c>
      <c r="C70" s="95" t="s">
        <v>931</v>
      </c>
      <c r="D70" s="95">
        <v>26</v>
      </c>
      <c r="E70" s="95">
        <v>1</v>
      </c>
      <c r="F70" s="95">
        <v>13</v>
      </c>
      <c r="G70" s="95">
        <v>41</v>
      </c>
      <c r="H70" s="96">
        <v>1788</v>
      </c>
      <c r="I70" s="95">
        <v>12</v>
      </c>
      <c r="J70" s="95">
        <v>0</v>
      </c>
      <c r="K70" s="95">
        <v>0</v>
      </c>
      <c r="L70" s="95">
        <v>0</v>
      </c>
      <c r="M70" s="95">
        <v>0</v>
      </c>
      <c r="N70" s="95">
        <v>0</v>
      </c>
      <c r="O70" s="95">
        <v>2</v>
      </c>
      <c r="P70" s="95">
        <v>0</v>
      </c>
      <c r="Q70" s="95">
        <v>0</v>
      </c>
      <c r="R70" s="95">
        <v>1</v>
      </c>
      <c r="S70" s="95">
        <v>0</v>
      </c>
      <c r="T70" s="95">
        <v>0</v>
      </c>
      <c r="U70" s="95">
        <v>15</v>
      </c>
      <c r="V70" s="95">
        <v>30</v>
      </c>
      <c r="W70" s="30">
        <v>1859</v>
      </c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</row>
    <row r="71" spans="1:44" x14ac:dyDescent="0.3">
      <c r="A71" s="305"/>
      <c r="B71" s="323"/>
      <c r="C71" s="95" t="s">
        <v>932</v>
      </c>
      <c r="D71" s="95">
        <v>2</v>
      </c>
      <c r="E71" s="95">
        <v>0</v>
      </c>
      <c r="F71" s="95">
        <v>7</v>
      </c>
      <c r="G71" s="95">
        <v>9</v>
      </c>
      <c r="H71" s="95">
        <v>233</v>
      </c>
      <c r="I71" s="95">
        <v>1</v>
      </c>
      <c r="J71" s="95">
        <v>0</v>
      </c>
      <c r="K71" s="95">
        <v>1</v>
      </c>
      <c r="L71" s="95">
        <v>0</v>
      </c>
      <c r="M71" s="95">
        <v>3</v>
      </c>
      <c r="N71" s="95">
        <v>0</v>
      </c>
      <c r="O71" s="95">
        <v>0</v>
      </c>
      <c r="P71" s="95">
        <v>0</v>
      </c>
      <c r="Q71" s="95">
        <v>0</v>
      </c>
      <c r="R71" s="95">
        <v>0</v>
      </c>
      <c r="S71" s="95">
        <v>3</v>
      </c>
      <c r="T71" s="95">
        <v>0</v>
      </c>
      <c r="U71" s="95">
        <v>0</v>
      </c>
      <c r="V71" s="95">
        <v>8</v>
      </c>
      <c r="W71" s="123">
        <v>249</v>
      </c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</row>
    <row r="72" spans="1:44" x14ac:dyDescent="0.3">
      <c r="A72" s="305"/>
      <c r="B72" s="323"/>
      <c r="C72" s="95" t="s">
        <v>933</v>
      </c>
      <c r="D72" s="95">
        <v>16</v>
      </c>
      <c r="E72" s="95">
        <v>0</v>
      </c>
      <c r="F72" s="95">
        <v>0</v>
      </c>
      <c r="G72" s="95">
        <v>16</v>
      </c>
      <c r="H72" s="95">
        <v>4</v>
      </c>
      <c r="I72" s="95">
        <v>0</v>
      </c>
      <c r="J72" s="95">
        <v>1</v>
      </c>
      <c r="K72" s="95">
        <v>0</v>
      </c>
      <c r="L72" s="95">
        <v>0</v>
      </c>
      <c r="M72" s="95">
        <v>1</v>
      </c>
      <c r="N72" s="95">
        <v>0</v>
      </c>
      <c r="O72" s="95">
        <v>0</v>
      </c>
      <c r="P72" s="95">
        <v>0</v>
      </c>
      <c r="Q72" s="95">
        <v>95</v>
      </c>
      <c r="R72" s="95">
        <v>0</v>
      </c>
      <c r="S72" s="95">
        <v>1</v>
      </c>
      <c r="T72" s="95">
        <v>0</v>
      </c>
      <c r="U72" s="95">
        <v>0</v>
      </c>
      <c r="V72" s="95">
        <v>97</v>
      </c>
      <c r="W72" s="123">
        <v>118</v>
      </c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</row>
    <row r="73" spans="1:44" x14ac:dyDescent="0.3">
      <c r="A73" s="305"/>
      <c r="B73" s="308"/>
      <c r="C73" s="95" t="s">
        <v>934</v>
      </c>
      <c r="D73" s="95">
        <v>2</v>
      </c>
      <c r="E73" s="95">
        <v>1</v>
      </c>
      <c r="F73" s="95">
        <v>18</v>
      </c>
      <c r="G73" s="95">
        <v>21</v>
      </c>
      <c r="H73" s="95">
        <v>308</v>
      </c>
      <c r="I73" s="95">
        <v>1</v>
      </c>
      <c r="J73" s="95">
        <v>0</v>
      </c>
      <c r="K73" s="95">
        <v>0</v>
      </c>
      <c r="L73" s="95">
        <v>0</v>
      </c>
      <c r="M73" s="95">
        <v>0</v>
      </c>
      <c r="N73" s="95">
        <v>2</v>
      </c>
      <c r="O73" s="95">
        <v>0</v>
      </c>
      <c r="P73" s="95">
        <v>3</v>
      </c>
      <c r="Q73" s="95">
        <v>0</v>
      </c>
      <c r="R73" s="95">
        <v>0</v>
      </c>
      <c r="S73" s="95">
        <v>126</v>
      </c>
      <c r="T73" s="95">
        <v>0</v>
      </c>
      <c r="U73" s="95">
        <v>3</v>
      </c>
      <c r="V73" s="95">
        <v>136</v>
      </c>
      <c r="W73" s="123">
        <v>464</v>
      </c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</row>
    <row r="74" spans="1:44" x14ac:dyDescent="0.3">
      <c r="A74" s="305"/>
      <c r="B74" s="307" t="s">
        <v>935</v>
      </c>
      <c r="C74" s="95" t="s">
        <v>936</v>
      </c>
      <c r="D74" s="95">
        <v>24</v>
      </c>
      <c r="E74" s="95">
        <v>36</v>
      </c>
      <c r="F74" s="95">
        <v>50</v>
      </c>
      <c r="G74" s="95">
        <v>110</v>
      </c>
      <c r="H74" s="95">
        <v>360</v>
      </c>
      <c r="I74" s="95">
        <v>20</v>
      </c>
      <c r="J74" s="95">
        <v>0</v>
      </c>
      <c r="K74" s="95">
        <v>0</v>
      </c>
      <c r="L74" s="95">
        <v>0</v>
      </c>
      <c r="M74" s="95">
        <v>0</v>
      </c>
      <c r="N74" s="95">
        <v>0</v>
      </c>
      <c r="O74" s="95">
        <v>1</v>
      </c>
      <c r="P74" s="95">
        <v>0</v>
      </c>
      <c r="Q74" s="95">
        <v>55</v>
      </c>
      <c r="R74" s="95">
        <v>0</v>
      </c>
      <c r="S74" s="96">
        <v>3240</v>
      </c>
      <c r="T74" s="95">
        <v>0</v>
      </c>
      <c r="U74" s="95">
        <v>9</v>
      </c>
      <c r="V74" s="96">
        <v>3326</v>
      </c>
      <c r="W74" s="30">
        <v>3796</v>
      </c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</row>
    <row r="75" spans="1:44" x14ac:dyDescent="0.3">
      <c r="A75" s="305"/>
      <c r="B75" s="323"/>
      <c r="C75" s="95" t="s">
        <v>937</v>
      </c>
      <c r="D75" s="95">
        <v>140</v>
      </c>
      <c r="E75" s="95">
        <v>52</v>
      </c>
      <c r="F75" s="95">
        <v>242</v>
      </c>
      <c r="G75" s="95">
        <v>434</v>
      </c>
      <c r="H75" s="95">
        <v>1076</v>
      </c>
      <c r="I75" s="95">
        <v>20</v>
      </c>
      <c r="J75" s="95">
        <v>6</v>
      </c>
      <c r="K75" s="95">
        <v>6</v>
      </c>
      <c r="L75" s="95">
        <v>10</v>
      </c>
      <c r="M75" s="95">
        <v>5</v>
      </c>
      <c r="N75" s="95">
        <v>3</v>
      </c>
      <c r="O75" s="95">
        <v>1</v>
      </c>
      <c r="P75" s="95">
        <v>25</v>
      </c>
      <c r="Q75" s="95">
        <v>12</v>
      </c>
      <c r="R75" s="95">
        <v>5</v>
      </c>
      <c r="S75" s="95">
        <v>78</v>
      </c>
      <c r="T75" s="95">
        <v>0</v>
      </c>
      <c r="U75" s="95">
        <v>12</v>
      </c>
      <c r="V75" s="95">
        <v>182</v>
      </c>
      <c r="W75" s="30">
        <v>1692</v>
      </c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</row>
    <row r="76" spans="1:44" x14ac:dyDescent="0.3">
      <c r="A76" s="305"/>
      <c r="B76" s="323"/>
      <c r="C76" s="95" t="s">
        <v>938</v>
      </c>
      <c r="D76" s="95">
        <v>26</v>
      </c>
      <c r="E76" s="95">
        <v>0</v>
      </c>
      <c r="F76" s="95">
        <v>0</v>
      </c>
      <c r="G76" s="95">
        <v>26</v>
      </c>
      <c r="H76" s="95">
        <v>39</v>
      </c>
      <c r="I76" s="95">
        <v>0</v>
      </c>
      <c r="J76" s="95">
        <v>0</v>
      </c>
      <c r="K76" s="95">
        <v>0</v>
      </c>
      <c r="L76" s="95">
        <v>0</v>
      </c>
      <c r="M76" s="95">
        <v>0</v>
      </c>
      <c r="N76" s="95">
        <v>0</v>
      </c>
      <c r="O76" s="95">
        <v>0</v>
      </c>
      <c r="P76" s="95">
        <v>0</v>
      </c>
      <c r="Q76" s="95">
        <v>0</v>
      </c>
      <c r="R76" s="95">
        <v>0</v>
      </c>
      <c r="S76" s="95">
        <v>1511</v>
      </c>
      <c r="T76" s="95">
        <v>0</v>
      </c>
      <c r="U76" s="95">
        <v>0</v>
      </c>
      <c r="V76" s="95">
        <v>1512</v>
      </c>
      <c r="W76" s="123">
        <v>1577</v>
      </c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</row>
    <row r="77" spans="1:44" x14ac:dyDescent="0.3">
      <c r="A77" s="305"/>
      <c r="B77" s="308"/>
      <c r="C77" s="95" t="s">
        <v>939</v>
      </c>
      <c r="D77" s="95">
        <v>82</v>
      </c>
      <c r="E77" s="95">
        <v>73</v>
      </c>
      <c r="F77" s="95">
        <v>284</v>
      </c>
      <c r="G77" s="95">
        <v>438</v>
      </c>
      <c r="H77" s="95">
        <v>796</v>
      </c>
      <c r="I77" s="95">
        <v>14</v>
      </c>
      <c r="J77" s="95">
        <v>2</v>
      </c>
      <c r="K77" s="95">
        <v>1</v>
      </c>
      <c r="L77" s="95">
        <v>16</v>
      </c>
      <c r="M77" s="95">
        <v>1</v>
      </c>
      <c r="N77" s="95">
        <v>2</v>
      </c>
      <c r="O77" s="95">
        <v>149</v>
      </c>
      <c r="P77" s="95">
        <v>5</v>
      </c>
      <c r="Q77" s="95">
        <v>0</v>
      </c>
      <c r="R77" s="95">
        <v>73</v>
      </c>
      <c r="S77" s="95">
        <v>762</v>
      </c>
      <c r="T77" s="95">
        <v>0</v>
      </c>
      <c r="U77" s="95">
        <v>2</v>
      </c>
      <c r="V77" s="95">
        <v>1027</v>
      </c>
      <c r="W77" s="30">
        <v>2261</v>
      </c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</row>
    <row r="78" spans="1:44" x14ac:dyDescent="0.3">
      <c r="A78" s="305"/>
      <c r="B78" s="95" t="s">
        <v>85</v>
      </c>
      <c r="C78" s="95" t="s">
        <v>940</v>
      </c>
      <c r="D78" s="95">
        <v>87</v>
      </c>
      <c r="E78" s="95">
        <v>490</v>
      </c>
      <c r="F78" s="95">
        <v>67</v>
      </c>
      <c r="G78" s="95">
        <v>643</v>
      </c>
      <c r="H78" s="96">
        <v>1381</v>
      </c>
      <c r="I78" s="95">
        <v>5</v>
      </c>
      <c r="J78" s="95">
        <v>17</v>
      </c>
      <c r="K78" s="95">
        <v>6</v>
      </c>
      <c r="L78" s="95">
        <v>2</v>
      </c>
      <c r="M78" s="95">
        <v>0</v>
      </c>
      <c r="N78" s="95">
        <v>24</v>
      </c>
      <c r="O78" s="95">
        <v>2</v>
      </c>
      <c r="P78" s="95">
        <v>21</v>
      </c>
      <c r="Q78" s="95">
        <v>120</v>
      </c>
      <c r="R78" s="95">
        <v>2</v>
      </c>
      <c r="S78" s="95">
        <v>62</v>
      </c>
      <c r="T78" s="95">
        <v>1</v>
      </c>
      <c r="U78" s="95">
        <v>53</v>
      </c>
      <c r="V78" s="95">
        <v>316</v>
      </c>
      <c r="W78" s="30">
        <v>2341</v>
      </c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</row>
    <row r="79" spans="1:44" x14ac:dyDescent="0.3">
      <c r="A79" s="306"/>
      <c r="B79" s="339" t="s">
        <v>110</v>
      </c>
      <c r="C79" s="322"/>
      <c r="D79" s="97">
        <v>520</v>
      </c>
      <c r="E79" s="97">
        <v>684</v>
      </c>
      <c r="F79" s="97">
        <v>1145</v>
      </c>
      <c r="G79" s="98">
        <v>2349</v>
      </c>
      <c r="H79" s="98">
        <v>11748</v>
      </c>
      <c r="I79" s="97">
        <v>120</v>
      </c>
      <c r="J79" s="97">
        <v>30</v>
      </c>
      <c r="K79" s="97">
        <v>20</v>
      </c>
      <c r="L79" s="97">
        <v>42</v>
      </c>
      <c r="M79" s="97">
        <v>23</v>
      </c>
      <c r="N79" s="97">
        <v>133</v>
      </c>
      <c r="O79" s="97">
        <v>218</v>
      </c>
      <c r="P79" s="97">
        <v>74</v>
      </c>
      <c r="Q79" s="97">
        <v>283</v>
      </c>
      <c r="R79" s="97">
        <v>140</v>
      </c>
      <c r="S79" s="98">
        <v>6135</v>
      </c>
      <c r="T79" s="97">
        <v>1</v>
      </c>
      <c r="U79" s="97">
        <v>94</v>
      </c>
      <c r="V79" s="98">
        <v>7313</v>
      </c>
      <c r="W79" s="32">
        <v>21410</v>
      </c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</row>
    <row r="80" spans="1:44" x14ac:dyDescent="0.3">
      <c r="A80" s="304" t="s">
        <v>999</v>
      </c>
      <c r="B80" s="307" t="s">
        <v>942</v>
      </c>
      <c r="C80" s="95" t="s">
        <v>943</v>
      </c>
      <c r="D80" s="95">
        <v>546</v>
      </c>
      <c r="E80" s="95">
        <v>117</v>
      </c>
      <c r="F80" s="95">
        <v>555</v>
      </c>
      <c r="G80" s="95">
        <v>1219</v>
      </c>
      <c r="H80" s="95">
        <v>491</v>
      </c>
      <c r="I80" s="95">
        <v>155</v>
      </c>
      <c r="J80" s="95">
        <v>51</v>
      </c>
      <c r="K80" s="95">
        <v>57</v>
      </c>
      <c r="L80" s="95">
        <v>80</v>
      </c>
      <c r="M80" s="95">
        <v>47</v>
      </c>
      <c r="N80" s="95">
        <v>56</v>
      </c>
      <c r="O80" s="95">
        <v>221</v>
      </c>
      <c r="P80" s="95">
        <v>124</v>
      </c>
      <c r="Q80" s="95">
        <v>129</v>
      </c>
      <c r="R80" s="95">
        <v>143</v>
      </c>
      <c r="S80" s="95">
        <v>151</v>
      </c>
      <c r="T80" s="95">
        <v>3</v>
      </c>
      <c r="U80" s="95">
        <v>4</v>
      </c>
      <c r="V80" s="95">
        <v>1221</v>
      </c>
      <c r="W80" s="30">
        <v>2931</v>
      </c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</row>
    <row r="81" spans="1:44" x14ac:dyDescent="0.3">
      <c r="A81" s="305"/>
      <c r="B81" s="323"/>
      <c r="C81" s="168" t="s">
        <v>944</v>
      </c>
      <c r="D81" s="168">
        <v>161</v>
      </c>
      <c r="E81" s="168">
        <v>44</v>
      </c>
      <c r="F81" s="168">
        <v>9</v>
      </c>
      <c r="G81" s="168">
        <v>214</v>
      </c>
      <c r="H81" s="168">
        <v>463</v>
      </c>
      <c r="I81" s="168">
        <v>42</v>
      </c>
      <c r="J81" s="168">
        <v>4</v>
      </c>
      <c r="K81" s="168">
        <v>11</v>
      </c>
      <c r="L81" s="168">
        <v>7</v>
      </c>
      <c r="M81" s="168">
        <v>9</v>
      </c>
      <c r="N81" s="168">
        <v>5</v>
      </c>
      <c r="O81" s="168">
        <v>17</v>
      </c>
      <c r="P81" s="168">
        <v>31</v>
      </c>
      <c r="Q81" s="168">
        <v>1</v>
      </c>
      <c r="R81" s="168">
        <v>1</v>
      </c>
      <c r="S81" s="168">
        <v>4</v>
      </c>
      <c r="T81" s="168">
        <v>0</v>
      </c>
      <c r="U81" s="168">
        <v>5</v>
      </c>
      <c r="V81" s="168">
        <v>137</v>
      </c>
      <c r="W81" s="38">
        <v>814</v>
      </c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</row>
    <row r="82" spans="1:44" x14ac:dyDescent="0.3">
      <c r="A82" s="305"/>
      <c r="B82" s="323"/>
      <c r="C82" s="95" t="s">
        <v>945</v>
      </c>
      <c r="D82" s="95">
        <v>113</v>
      </c>
      <c r="E82" s="95">
        <v>22</v>
      </c>
      <c r="F82" s="95">
        <v>76</v>
      </c>
      <c r="G82" s="95">
        <v>210</v>
      </c>
      <c r="H82" s="95">
        <v>24</v>
      </c>
      <c r="I82" s="95">
        <v>24</v>
      </c>
      <c r="J82" s="95">
        <v>40</v>
      </c>
      <c r="K82" s="95">
        <v>16</v>
      </c>
      <c r="L82" s="95">
        <v>5</v>
      </c>
      <c r="M82" s="95">
        <v>6</v>
      </c>
      <c r="N82" s="95">
        <v>17</v>
      </c>
      <c r="O82" s="95">
        <v>20</v>
      </c>
      <c r="P82" s="95">
        <v>36</v>
      </c>
      <c r="Q82" s="95">
        <v>12</v>
      </c>
      <c r="R82" s="95">
        <v>12</v>
      </c>
      <c r="S82" s="95">
        <v>27</v>
      </c>
      <c r="T82" s="95">
        <v>0</v>
      </c>
      <c r="U82" s="95">
        <v>5</v>
      </c>
      <c r="V82" s="95">
        <v>220</v>
      </c>
      <c r="W82" s="123">
        <v>454</v>
      </c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</row>
    <row r="83" spans="1:44" x14ac:dyDescent="0.3">
      <c r="A83" s="305"/>
      <c r="B83" s="323"/>
      <c r="C83" s="95" t="s">
        <v>946</v>
      </c>
      <c r="D83" s="95">
        <v>304</v>
      </c>
      <c r="E83" s="95">
        <v>98</v>
      </c>
      <c r="F83" s="95">
        <v>274</v>
      </c>
      <c r="G83" s="95">
        <v>676</v>
      </c>
      <c r="H83" s="95">
        <v>424</v>
      </c>
      <c r="I83" s="95">
        <v>118</v>
      </c>
      <c r="J83" s="95">
        <v>16</v>
      </c>
      <c r="K83" s="95">
        <v>36</v>
      </c>
      <c r="L83" s="95">
        <v>38</v>
      </c>
      <c r="M83" s="95">
        <v>55</v>
      </c>
      <c r="N83" s="95">
        <v>62</v>
      </c>
      <c r="O83" s="95">
        <v>112</v>
      </c>
      <c r="P83" s="95">
        <v>99</v>
      </c>
      <c r="Q83" s="95">
        <v>56</v>
      </c>
      <c r="R83" s="95">
        <v>151</v>
      </c>
      <c r="S83" s="95">
        <v>126</v>
      </c>
      <c r="T83" s="95">
        <v>7</v>
      </c>
      <c r="U83" s="95">
        <v>7</v>
      </c>
      <c r="V83" s="95">
        <v>884</v>
      </c>
      <c r="W83" s="123">
        <v>1985</v>
      </c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</row>
    <row r="84" spans="1:44" x14ac:dyDescent="0.3">
      <c r="A84" s="305"/>
      <c r="B84" s="323"/>
      <c r="C84" s="95" t="s">
        <v>947</v>
      </c>
      <c r="D84" s="95">
        <v>524</v>
      </c>
      <c r="E84" s="95">
        <v>184</v>
      </c>
      <c r="F84" s="95">
        <v>342</v>
      </c>
      <c r="G84" s="95">
        <v>1050</v>
      </c>
      <c r="H84" s="95">
        <v>238</v>
      </c>
      <c r="I84" s="95">
        <v>102</v>
      </c>
      <c r="J84" s="95">
        <v>31</v>
      </c>
      <c r="K84" s="95">
        <v>29</v>
      </c>
      <c r="L84" s="95">
        <v>30</v>
      </c>
      <c r="M84" s="95">
        <v>20</v>
      </c>
      <c r="N84" s="95">
        <v>12</v>
      </c>
      <c r="O84" s="95">
        <v>36</v>
      </c>
      <c r="P84" s="95">
        <v>44</v>
      </c>
      <c r="Q84" s="95">
        <v>6</v>
      </c>
      <c r="R84" s="95">
        <v>23</v>
      </c>
      <c r="S84" s="95">
        <v>45</v>
      </c>
      <c r="T84" s="95">
        <v>5</v>
      </c>
      <c r="U84" s="95">
        <v>19</v>
      </c>
      <c r="V84" s="95">
        <v>402</v>
      </c>
      <c r="W84" s="30">
        <v>1690</v>
      </c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</row>
    <row r="85" spans="1:44" x14ac:dyDescent="0.3">
      <c r="A85" s="305"/>
      <c r="B85" s="308"/>
      <c r="C85" s="95" t="s">
        <v>948</v>
      </c>
      <c r="D85" s="95">
        <v>789</v>
      </c>
      <c r="E85" s="95">
        <v>530</v>
      </c>
      <c r="F85" s="95">
        <v>429</v>
      </c>
      <c r="G85" s="96">
        <v>1748</v>
      </c>
      <c r="H85" s="95">
        <v>603</v>
      </c>
      <c r="I85" s="95">
        <v>232</v>
      </c>
      <c r="J85" s="95">
        <v>63</v>
      </c>
      <c r="K85" s="95">
        <v>55</v>
      </c>
      <c r="L85" s="95">
        <v>59</v>
      </c>
      <c r="M85" s="95">
        <v>62</v>
      </c>
      <c r="N85" s="95">
        <v>44</v>
      </c>
      <c r="O85" s="95">
        <v>120</v>
      </c>
      <c r="P85" s="95">
        <v>100</v>
      </c>
      <c r="Q85" s="95">
        <v>30</v>
      </c>
      <c r="R85" s="95">
        <v>89</v>
      </c>
      <c r="S85" s="95">
        <v>144</v>
      </c>
      <c r="T85" s="95">
        <v>97</v>
      </c>
      <c r="U85" s="95">
        <v>67</v>
      </c>
      <c r="V85" s="95">
        <v>1162</v>
      </c>
      <c r="W85" s="30">
        <v>3514</v>
      </c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</row>
    <row r="86" spans="1:44" x14ac:dyDescent="0.3">
      <c r="A86" s="305"/>
      <c r="B86" s="307" t="s">
        <v>172</v>
      </c>
      <c r="C86" s="95" t="s">
        <v>949</v>
      </c>
      <c r="D86" s="95">
        <v>831</v>
      </c>
      <c r="E86" s="95">
        <v>76</v>
      </c>
      <c r="F86" s="95">
        <v>766</v>
      </c>
      <c r="G86" s="95">
        <v>1672</v>
      </c>
      <c r="H86" s="96">
        <v>1098</v>
      </c>
      <c r="I86" s="95">
        <v>322</v>
      </c>
      <c r="J86" s="95">
        <v>92</v>
      </c>
      <c r="K86" s="95">
        <v>114</v>
      </c>
      <c r="L86" s="95">
        <v>197</v>
      </c>
      <c r="M86" s="95">
        <v>88</v>
      </c>
      <c r="N86" s="95">
        <v>178</v>
      </c>
      <c r="O86" s="95">
        <v>177</v>
      </c>
      <c r="P86" s="95">
        <v>266</v>
      </c>
      <c r="Q86" s="95">
        <v>148</v>
      </c>
      <c r="R86" s="95">
        <v>307</v>
      </c>
      <c r="S86" s="95">
        <v>253</v>
      </c>
      <c r="T86" s="95">
        <v>4</v>
      </c>
      <c r="U86" s="95">
        <v>19</v>
      </c>
      <c r="V86" s="96">
        <v>2165</v>
      </c>
      <c r="W86" s="30">
        <v>4935</v>
      </c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</row>
    <row r="87" spans="1:44" x14ac:dyDescent="0.3">
      <c r="A87" s="305"/>
      <c r="B87" s="323"/>
      <c r="C87" s="95" t="s">
        <v>950</v>
      </c>
      <c r="D87" s="95">
        <v>228</v>
      </c>
      <c r="E87" s="95">
        <v>15</v>
      </c>
      <c r="F87" s="95">
        <v>204</v>
      </c>
      <c r="G87" s="95">
        <v>447</v>
      </c>
      <c r="H87" s="95">
        <v>1481</v>
      </c>
      <c r="I87" s="95">
        <v>24</v>
      </c>
      <c r="J87" s="95">
        <v>26</v>
      </c>
      <c r="K87" s="95">
        <v>5</v>
      </c>
      <c r="L87" s="95">
        <v>48</v>
      </c>
      <c r="M87" s="95">
        <v>15</v>
      </c>
      <c r="N87" s="95">
        <v>16</v>
      </c>
      <c r="O87" s="95">
        <v>47</v>
      </c>
      <c r="P87" s="95">
        <v>42</v>
      </c>
      <c r="Q87" s="95">
        <v>15</v>
      </c>
      <c r="R87" s="95">
        <v>47</v>
      </c>
      <c r="S87" s="95">
        <v>52</v>
      </c>
      <c r="T87" s="95">
        <v>27</v>
      </c>
      <c r="U87" s="95">
        <v>5</v>
      </c>
      <c r="V87" s="95">
        <v>369</v>
      </c>
      <c r="W87" s="123">
        <v>2296</v>
      </c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</row>
    <row r="88" spans="1:44" x14ac:dyDescent="0.3">
      <c r="A88" s="305"/>
      <c r="B88" s="323"/>
      <c r="C88" s="95" t="s">
        <v>951</v>
      </c>
      <c r="D88" s="95">
        <v>121</v>
      </c>
      <c r="E88" s="95">
        <v>2</v>
      </c>
      <c r="F88" s="95">
        <v>66</v>
      </c>
      <c r="G88" s="95">
        <v>188</v>
      </c>
      <c r="H88" s="95">
        <v>217</v>
      </c>
      <c r="I88" s="95">
        <v>2</v>
      </c>
      <c r="J88" s="95">
        <v>4</v>
      </c>
      <c r="K88" s="95">
        <v>9</v>
      </c>
      <c r="L88" s="95">
        <v>0</v>
      </c>
      <c r="M88" s="95">
        <v>10</v>
      </c>
      <c r="N88" s="95">
        <v>0</v>
      </c>
      <c r="O88" s="95">
        <v>3</v>
      </c>
      <c r="P88" s="95">
        <v>1</v>
      </c>
      <c r="Q88" s="95">
        <v>19</v>
      </c>
      <c r="R88" s="95">
        <v>3</v>
      </c>
      <c r="S88" s="95">
        <v>0</v>
      </c>
      <c r="T88" s="95">
        <v>0</v>
      </c>
      <c r="U88" s="95">
        <v>0</v>
      </c>
      <c r="V88" s="95">
        <v>51</v>
      </c>
      <c r="W88" s="123">
        <v>455</v>
      </c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</row>
    <row r="89" spans="1:44" x14ac:dyDescent="0.3">
      <c r="A89" s="305"/>
      <c r="B89" s="323"/>
      <c r="C89" s="95" t="s">
        <v>952</v>
      </c>
      <c r="D89" s="95">
        <v>248</v>
      </c>
      <c r="E89" s="95">
        <v>86</v>
      </c>
      <c r="F89" s="95">
        <v>376</v>
      </c>
      <c r="G89" s="95">
        <v>710</v>
      </c>
      <c r="H89" s="95">
        <v>420</v>
      </c>
      <c r="I89" s="95">
        <v>93</v>
      </c>
      <c r="J89" s="95">
        <v>59</v>
      </c>
      <c r="K89" s="95">
        <v>16</v>
      </c>
      <c r="L89" s="95">
        <v>97</v>
      </c>
      <c r="M89" s="95">
        <v>0</v>
      </c>
      <c r="N89" s="95">
        <v>120</v>
      </c>
      <c r="O89" s="95">
        <v>224</v>
      </c>
      <c r="P89" s="95">
        <v>131</v>
      </c>
      <c r="Q89" s="95">
        <v>31</v>
      </c>
      <c r="R89" s="95">
        <v>32</v>
      </c>
      <c r="S89" s="95">
        <v>387</v>
      </c>
      <c r="T89" s="95">
        <v>0</v>
      </c>
      <c r="U89" s="95">
        <v>12</v>
      </c>
      <c r="V89" s="95">
        <v>1204</v>
      </c>
      <c r="W89" s="30">
        <v>2334</v>
      </c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</row>
    <row r="90" spans="1:44" x14ac:dyDescent="0.3">
      <c r="A90" s="305"/>
      <c r="B90" s="323"/>
      <c r="C90" s="95" t="s">
        <v>953</v>
      </c>
      <c r="D90" s="95">
        <v>354</v>
      </c>
      <c r="E90" s="95">
        <v>42</v>
      </c>
      <c r="F90" s="95">
        <v>403</v>
      </c>
      <c r="G90" s="95">
        <v>799</v>
      </c>
      <c r="H90" s="95">
        <v>513</v>
      </c>
      <c r="I90" s="95">
        <v>416</v>
      </c>
      <c r="J90" s="95">
        <v>12</v>
      </c>
      <c r="K90" s="95">
        <v>25</v>
      </c>
      <c r="L90" s="95">
        <v>108</v>
      </c>
      <c r="M90" s="95">
        <v>21</v>
      </c>
      <c r="N90" s="95">
        <v>139</v>
      </c>
      <c r="O90" s="95">
        <v>191</v>
      </c>
      <c r="P90" s="95">
        <v>70</v>
      </c>
      <c r="Q90" s="95">
        <v>64</v>
      </c>
      <c r="R90" s="95">
        <v>93</v>
      </c>
      <c r="S90" s="95">
        <v>203</v>
      </c>
      <c r="T90" s="95">
        <v>10</v>
      </c>
      <c r="U90" s="95">
        <v>4</v>
      </c>
      <c r="V90" s="95">
        <v>1356</v>
      </c>
      <c r="W90" s="30">
        <v>2667</v>
      </c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</row>
    <row r="91" spans="1:44" x14ac:dyDescent="0.3">
      <c r="A91" s="305"/>
      <c r="B91" s="323"/>
      <c r="C91" s="95" t="s">
        <v>954</v>
      </c>
      <c r="D91" s="95">
        <v>92</v>
      </c>
      <c r="E91" s="95">
        <v>12</v>
      </c>
      <c r="F91" s="95">
        <v>85</v>
      </c>
      <c r="G91" s="95">
        <v>189</v>
      </c>
      <c r="H91" s="95">
        <v>21</v>
      </c>
      <c r="I91" s="95">
        <v>12</v>
      </c>
      <c r="J91" s="95">
        <v>1</v>
      </c>
      <c r="K91" s="95">
        <v>15</v>
      </c>
      <c r="L91" s="95">
        <v>6</v>
      </c>
      <c r="M91" s="95">
        <v>4</v>
      </c>
      <c r="N91" s="95">
        <v>8</v>
      </c>
      <c r="O91" s="95">
        <v>17</v>
      </c>
      <c r="P91" s="95">
        <v>18</v>
      </c>
      <c r="Q91" s="95">
        <v>4</v>
      </c>
      <c r="R91" s="95">
        <v>13</v>
      </c>
      <c r="S91" s="95">
        <v>4</v>
      </c>
      <c r="T91" s="95">
        <v>8</v>
      </c>
      <c r="U91" s="95">
        <v>1</v>
      </c>
      <c r="V91" s="95">
        <v>111</v>
      </c>
      <c r="W91" s="123">
        <v>321</v>
      </c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</row>
    <row r="92" spans="1:44" x14ac:dyDescent="0.3">
      <c r="A92" s="305"/>
      <c r="B92" s="323"/>
      <c r="C92" s="95" t="s">
        <v>955</v>
      </c>
      <c r="D92" s="95">
        <v>316</v>
      </c>
      <c r="E92" s="95">
        <v>62</v>
      </c>
      <c r="F92" s="95">
        <v>330</v>
      </c>
      <c r="G92" s="95">
        <v>708</v>
      </c>
      <c r="H92" s="95">
        <v>420</v>
      </c>
      <c r="I92" s="95">
        <v>146</v>
      </c>
      <c r="J92" s="95">
        <v>65</v>
      </c>
      <c r="K92" s="95">
        <v>61</v>
      </c>
      <c r="L92" s="95">
        <v>55</v>
      </c>
      <c r="M92" s="95">
        <v>58</v>
      </c>
      <c r="N92" s="95">
        <v>118</v>
      </c>
      <c r="O92" s="95">
        <v>138</v>
      </c>
      <c r="P92" s="95">
        <v>151</v>
      </c>
      <c r="Q92" s="95">
        <v>58</v>
      </c>
      <c r="R92" s="95">
        <v>107</v>
      </c>
      <c r="S92" s="95">
        <v>285</v>
      </c>
      <c r="T92" s="95">
        <v>24</v>
      </c>
      <c r="U92" s="95">
        <v>6</v>
      </c>
      <c r="V92" s="95">
        <v>1272</v>
      </c>
      <c r="W92" s="30">
        <v>2400</v>
      </c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</row>
    <row r="93" spans="1:44" x14ac:dyDescent="0.3">
      <c r="A93" s="305"/>
      <c r="B93" s="308"/>
      <c r="C93" s="95" t="s">
        <v>956</v>
      </c>
      <c r="D93" s="96">
        <v>1444</v>
      </c>
      <c r="E93" s="95">
        <v>130</v>
      </c>
      <c r="F93" s="96">
        <v>1759</v>
      </c>
      <c r="G93" s="96">
        <v>3332</v>
      </c>
      <c r="H93" s="96">
        <v>3526</v>
      </c>
      <c r="I93" s="95">
        <v>342</v>
      </c>
      <c r="J93" s="95">
        <v>104</v>
      </c>
      <c r="K93" s="95">
        <v>187</v>
      </c>
      <c r="L93" s="95">
        <v>175</v>
      </c>
      <c r="M93" s="95">
        <v>33</v>
      </c>
      <c r="N93" s="95">
        <v>219</v>
      </c>
      <c r="O93" s="95">
        <v>414</v>
      </c>
      <c r="P93" s="95">
        <v>241</v>
      </c>
      <c r="Q93" s="95">
        <v>371</v>
      </c>
      <c r="R93" s="95">
        <v>1027</v>
      </c>
      <c r="S93" s="95">
        <v>944</v>
      </c>
      <c r="T93" s="95">
        <v>103</v>
      </c>
      <c r="U93" s="95">
        <v>16</v>
      </c>
      <c r="V93" s="96">
        <v>4177</v>
      </c>
      <c r="W93" s="30">
        <v>11035</v>
      </c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</row>
    <row r="94" spans="1:44" x14ac:dyDescent="0.3">
      <c r="A94" s="305"/>
      <c r="B94" s="307" t="s">
        <v>957</v>
      </c>
      <c r="C94" s="95" t="s">
        <v>958</v>
      </c>
      <c r="D94" s="95">
        <v>98</v>
      </c>
      <c r="E94" s="95">
        <v>12</v>
      </c>
      <c r="F94" s="95">
        <v>66</v>
      </c>
      <c r="G94" s="95">
        <v>176</v>
      </c>
      <c r="H94" s="95">
        <v>119</v>
      </c>
      <c r="I94" s="95">
        <v>0</v>
      </c>
      <c r="J94" s="95">
        <v>1</v>
      </c>
      <c r="K94" s="95">
        <v>0</v>
      </c>
      <c r="L94" s="95">
        <v>4</v>
      </c>
      <c r="M94" s="95">
        <v>5</v>
      </c>
      <c r="N94" s="95">
        <v>11</v>
      </c>
      <c r="O94" s="95">
        <v>21</v>
      </c>
      <c r="P94" s="95">
        <v>17</v>
      </c>
      <c r="Q94" s="95">
        <v>1</v>
      </c>
      <c r="R94" s="95">
        <v>22</v>
      </c>
      <c r="S94" s="95">
        <v>2</v>
      </c>
      <c r="T94" s="95">
        <v>0</v>
      </c>
      <c r="U94" s="95">
        <v>17</v>
      </c>
      <c r="V94" s="95">
        <v>101</v>
      </c>
      <c r="W94" s="123">
        <v>396</v>
      </c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</row>
    <row r="95" spans="1:44" x14ac:dyDescent="0.3">
      <c r="A95" s="305"/>
      <c r="B95" s="323"/>
      <c r="C95" s="168" t="s">
        <v>1045</v>
      </c>
      <c r="D95" s="168">
        <v>291</v>
      </c>
      <c r="E95" s="168">
        <v>24</v>
      </c>
      <c r="F95" s="168">
        <v>201</v>
      </c>
      <c r="G95" s="168">
        <v>517</v>
      </c>
      <c r="H95" s="168">
        <v>134</v>
      </c>
      <c r="I95" s="168">
        <v>76</v>
      </c>
      <c r="J95" s="168">
        <v>51</v>
      </c>
      <c r="K95" s="168">
        <v>29</v>
      </c>
      <c r="L95" s="168">
        <v>135</v>
      </c>
      <c r="M95" s="168">
        <v>17</v>
      </c>
      <c r="N95" s="168">
        <v>33</v>
      </c>
      <c r="O95" s="168">
        <v>53</v>
      </c>
      <c r="P95" s="168">
        <v>54</v>
      </c>
      <c r="Q95" s="168">
        <v>46</v>
      </c>
      <c r="R95" s="168">
        <v>195</v>
      </c>
      <c r="S95" s="168">
        <v>87</v>
      </c>
      <c r="T95" s="168">
        <v>3</v>
      </c>
      <c r="U95" s="168">
        <v>0</v>
      </c>
      <c r="V95" s="168">
        <v>780</v>
      </c>
      <c r="W95" s="38">
        <v>1430</v>
      </c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</row>
    <row r="96" spans="1:44" x14ac:dyDescent="0.3">
      <c r="A96" s="305"/>
      <c r="B96" s="323"/>
      <c r="C96" s="95" t="s">
        <v>960</v>
      </c>
      <c r="D96" s="95">
        <v>12</v>
      </c>
      <c r="E96" s="95">
        <v>0</v>
      </c>
      <c r="F96" s="95">
        <v>41</v>
      </c>
      <c r="G96" s="95">
        <v>53</v>
      </c>
      <c r="H96" s="95">
        <v>8</v>
      </c>
      <c r="I96" s="95">
        <v>15</v>
      </c>
      <c r="J96" s="95">
        <v>0</v>
      </c>
      <c r="K96" s="95">
        <v>1</v>
      </c>
      <c r="L96" s="95">
        <v>17</v>
      </c>
      <c r="M96" s="95">
        <v>1</v>
      </c>
      <c r="N96" s="95">
        <v>3</v>
      </c>
      <c r="O96" s="95">
        <v>4</v>
      </c>
      <c r="P96" s="95">
        <v>6</v>
      </c>
      <c r="Q96" s="95">
        <v>23</v>
      </c>
      <c r="R96" s="95">
        <v>8</v>
      </c>
      <c r="S96" s="95">
        <v>28</v>
      </c>
      <c r="T96" s="95">
        <v>0</v>
      </c>
      <c r="U96" s="95">
        <v>1</v>
      </c>
      <c r="V96" s="95">
        <v>106</v>
      </c>
      <c r="W96" s="123">
        <v>167</v>
      </c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</row>
    <row r="97" spans="1:44" x14ac:dyDescent="0.3">
      <c r="A97" s="305"/>
      <c r="B97" s="323"/>
      <c r="C97" s="168" t="s">
        <v>1046</v>
      </c>
      <c r="D97" s="168">
        <v>1</v>
      </c>
      <c r="E97" s="168">
        <v>0</v>
      </c>
      <c r="F97" s="168">
        <v>92</v>
      </c>
      <c r="G97" s="168">
        <v>93</v>
      </c>
      <c r="H97" s="168">
        <v>20</v>
      </c>
      <c r="I97" s="168">
        <v>7</v>
      </c>
      <c r="J97" s="168">
        <v>15</v>
      </c>
      <c r="K97" s="168">
        <v>0</v>
      </c>
      <c r="L97" s="168">
        <v>0</v>
      </c>
      <c r="M97" s="168">
        <v>2</v>
      </c>
      <c r="N97" s="168">
        <v>3</v>
      </c>
      <c r="O97" s="168">
        <v>6</v>
      </c>
      <c r="P97" s="168">
        <v>4</v>
      </c>
      <c r="Q97" s="168">
        <v>0</v>
      </c>
      <c r="R97" s="168">
        <v>47</v>
      </c>
      <c r="S97" s="168">
        <v>2</v>
      </c>
      <c r="T97" s="168">
        <v>1</v>
      </c>
      <c r="U97" s="168">
        <v>0</v>
      </c>
      <c r="V97" s="168">
        <v>88</v>
      </c>
      <c r="W97" s="38">
        <v>201</v>
      </c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</row>
    <row r="98" spans="1:44" x14ac:dyDescent="0.3">
      <c r="A98" s="305"/>
      <c r="B98" s="308"/>
      <c r="C98" s="95" t="s">
        <v>962</v>
      </c>
      <c r="D98" s="95">
        <v>68</v>
      </c>
      <c r="E98" s="95">
        <v>35</v>
      </c>
      <c r="F98" s="95">
        <v>138</v>
      </c>
      <c r="G98" s="95">
        <v>241</v>
      </c>
      <c r="H98" s="95">
        <v>119</v>
      </c>
      <c r="I98" s="95">
        <v>58</v>
      </c>
      <c r="J98" s="95">
        <v>22</v>
      </c>
      <c r="K98" s="95">
        <v>20</v>
      </c>
      <c r="L98" s="95">
        <v>51</v>
      </c>
      <c r="M98" s="95">
        <v>9</v>
      </c>
      <c r="N98" s="95">
        <v>29</v>
      </c>
      <c r="O98" s="95">
        <v>107</v>
      </c>
      <c r="P98" s="95">
        <v>30</v>
      </c>
      <c r="Q98" s="95">
        <v>12</v>
      </c>
      <c r="R98" s="95">
        <v>15</v>
      </c>
      <c r="S98" s="95">
        <v>53</v>
      </c>
      <c r="T98" s="95">
        <v>0</v>
      </c>
      <c r="U98" s="95">
        <v>2</v>
      </c>
      <c r="V98" s="95">
        <v>407</v>
      </c>
      <c r="W98" s="123">
        <v>768</v>
      </c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</row>
    <row r="99" spans="1:44" x14ac:dyDescent="0.3">
      <c r="A99" s="305"/>
      <c r="B99" s="307" t="s">
        <v>637</v>
      </c>
      <c r="C99" s="95" t="s">
        <v>963</v>
      </c>
      <c r="D99" s="95">
        <v>206</v>
      </c>
      <c r="E99" s="95">
        <v>35</v>
      </c>
      <c r="F99" s="95">
        <v>151</v>
      </c>
      <c r="G99" s="95">
        <v>392</v>
      </c>
      <c r="H99" s="95">
        <v>252</v>
      </c>
      <c r="I99" s="95">
        <v>507</v>
      </c>
      <c r="J99" s="95">
        <v>20</v>
      </c>
      <c r="K99" s="95">
        <v>50</v>
      </c>
      <c r="L99" s="95">
        <v>7</v>
      </c>
      <c r="M99" s="95">
        <v>3</v>
      </c>
      <c r="N99" s="95">
        <v>0</v>
      </c>
      <c r="O99" s="95">
        <v>21</v>
      </c>
      <c r="P99" s="95">
        <v>17</v>
      </c>
      <c r="Q99" s="95">
        <v>32</v>
      </c>
      <c r="R99" s="95">
        <v>27</v>
      </c>
      <c r="S99" s="95">
        <v>41</v>
      </c>
      <c r="T99" s="95">
        <v>14</v>
      </c>
      <c r="U99" s="95">
        <v>13</v>
      </c>
      <c r="V99" s="95">
        <v>751</v>
      </c>
      <c r="W99" s="123">
        <v>1395</v>
      </c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</row>
    <row r="100" spans="1:44" x14ac:dyDescent="0.3">
      <c r="A100" s="305"/>
      <c r="B100" s="323"/>
      <c r="C100" s="95" t="s">
        <v>964</v>
      </c>
      <c r="D100" s="95">
        <v>46</v>
      </c>
      <c r="E100" s="95">
        <v>4</v>
      </c>
      <c r="F100" s="95">
        <v>17</v>
      </c>
      <c r="G100" s="95">
        <v>68</v>
      </c>
      <c r="H100" s="95">
        <v>1</v>
      </c>
      <c r="I100" s="95">
        <v>17</v>
      </c>
      <c r="J100" s="95">
        <v>0</v>
      </c>
      <c r="K100" s="95">
        <v>2</v>
      </c>
      <c r="L100" s="95">
        <v>0</v>
      </c>
      <c r="M100" s="95">
        <v>7</v>
      </c>
      <c r="N100" s="95">
        <v>0</v>
      </c>
      <c r="O100" s="95">
        <v>1</v>
      </c>
      <c r="P100" s="95">
        <v>16</v>
      </c>
      <c r="Q100" s="95">
        <v>0</v>
      </c>
      <c r="R100" s="95">
        <v>0</v>
      </c>
      <c r="S100" s="95">
        <v>15</v>
      </c>
      <c r="T100" s="95">
        <v>0</v>
      </c>
      <c r="U100" s="95">
        <v>0</v>
      </c>
      <c r="V100" s="95">
        <v>57</v>
      </c>
      <c r="W100" s="123">
        <v>126</v>
      </c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</row>
    <row r="101" spans="1:44" x14ac:dyDescent="0.3">
      <c r="A101" s="305"/>
      <c r="B101" s="308"/>
      <c r="C101" s="95" t="s">
        <v>965</v>
      </c>
      <c r="D101" s="95">
        <v>87</v>
      </c>
      <c r="E101" s="95">
        <v>127</v>
      </c>
      <c r="F101" s="95">
        <v>53</v>
      </c>
      <c r="G101" s="95">
        <v>268</v>
      </c>
      <c r="H101" s="95">
        <v>146</v>
      </c>
      <c r="I101" s="95">
        <v>242</v>
      </c>
      <c r="J101" s="95">
        <v>26</v>
      </c>
      <c r="K101" s="95">
        <v>12</v>
      </c>
      <c r="L101" s="95">
        <v>17</v>
      </c>
      <c r="M101" s="95">
        <v>4</v>
      </c>
      <c r="N101" s="95">
        <v>0</v>
      </c>
      <c r="O101" s="95">
        <v>22</v>
      </c>
      <c r="P101" s="95">
        <v>4</v>
      </c>
      <c r="Q101" s="95">
        <v>11</v>
      </c>
      <c r="R101" s="95">
        <v>19</v>
      </c>
      <c r="S101" s="95">
        <v>41</v>
      </c>
      <c r="T101" s="95">
        <v>4</v>
      </c>
      <c r="U101" s="95">
        <v>4</v>
      </c>
      <c r="V101" s="95">
        <v>406</v>
      </c>
      <c r="W101" s="123">
        <v>820</v>
      </c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</row>
    <row r="102" spans="1:44" x14ac:dyDescent="0.3">
      <c r="A102" s="306"/>
      <c r="B102" s="339" t="s">
        <v>110</v>
      </c>
      <c r="C102" s="322"/>
      <c r="D102" s="98">
        <v>6882</v>
      </c>
      <c r="E102" s="98">
        <v>1657</v>
      </c>
      <c r="F102" s="98">
        <v>6434</v>
      </c>
      <c r="G102" s="98">
        <v>14972</v>
      </c>
      <c r="H102" s="98">
        <v>10737</v>
      </c>
      <c r="I102" s="98">
        <v>2953</v>
      </c>
      <c r="J102" s="97">
        <v>703</v>
      </c>
      <c r="K102" s="97">
        <v>749</v>
      </c>
      <c r="L102" s="97">
        <v>1136</v>
      </c>
      <c r="M102" s="97">
        <v>476</v>
      </c>
      <c r="N102" s="97">
        <v>1073</v>
      </c>
      <c r="O102" s="97">
        <v>1968</v>
      </c>
      <c r="P102" s="97">
        <v>1503</v>
      </c>
      <c r="Q102" s="97">
        <v>1070</v>
      </c>
      <c r="R102" s="97">
        <v>2381</v>
      </c>
      <c r="S102" s="98">
        <v>2894</v>
      </c>
      <c r="T102" s="97">
        <v>312</v>
      </c>
      <c r="U102" s="97">
        <v>207</v>
      </c>
      <c r="V102" s="98">
        <v>17425</v>
      </c>
      <c r="W102" s="32">
        <v>43134</v>
      </c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</row>
    <row r="103" spans="1:44" x14ac:dyDescent="0.3">
      <c r="A103" s="304" t="s">
        <v>1002</v>
      </c>
      <c r="B103" s="307" t="s">
        <v>967</v>
      </c>
      <c r="C103" s="95" t="s">
        <v>989</v>
      </c>
      <c r="D103" s="95">
        <v>996</v>
      </c>
      <c r="E103" s="95">
        <v>22</v>
      </c>
      <c r="F103" s="95">
        <v>486</v>
      </c>
      <c r="G103" s="95">
        <v>1504</v>
      </c>
      <c r="H103" s="95">
        <v>647</v>
      </c>
      <c r="I103" s="95">
        <v>90</v>
      </c>
      <c r="J103" s="95">
        <v>84</v>
      </c>
      <c r="K103" s="95">
        <v>47</v>
      </c>
      <c r="L103" s="95">
        <v>26</v>
      </c>
      <c r="M103" s="95">
        <v>25</v>
      </c>
      <c r="N103" s="95">
        <v>7</v>
      </c>
      <c r="O103" s="95">
        <v>25</v>
      </c>
      <c r="P103" s="95">
        <v>40</v>
      </c>
      <c r="Q103" s="95">
        <v>15</v>
      </c>
      <c r="R103" s="95">
        <v>41</v>
      </c>
      <c r="S103" s="95">
        <v>18</v>
      </c>
      <c r="T103" s="95">
        <v>5</v>
      </c>
      <c r="U103" s="95">
        <v>30</v>
      </c>
      <c r="V103" s="95">
        <v>453</v>
      </c>
      <c r="W103" s="30">
        <v>2605</v>
      </c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</row>
    <row r="104" spans="1:44" x14ac:dyDescent="0.3">
      <c r="A104" s="305"/>
      <c r="B104" s="323"/>
      <c r="C104" s="95" t="s">
        <v>969</v>
      </c>
      <c r="D104" s="95">
        <v>62</v>
      </c>
      <c r="E104" s="95">
        <v>1</v>
      </c>
      <c r="F104" s="95">
        <v>38</v>
      </c>
      <c r="G104" s="95">
        <v>101</v>
      </c>
      <c r="H104" s="95">
        <v>21</v>
      </c>
      <c r="I104" s="95">
        <v>2</v>
      </c>
      <c r="J104" s="95">
        <v>0</v>
      </c>
      <c r="K104" s="95">
        <v>6</v>
      </c>
      <c r="L104" s="95">
        <v>5</v>
      </c>
      <c r="M104" s="95">
        <v>0</v>
      </c>
      <c r="N104" s="95">
        <v>0</v>
      </c>
      <c r="O104" s="95">
        <v>0</v>
      </c>
      <c r="P104" s="95">
        <v>0</v>
      </c>
      <c r="Q104" s="95">
        <v>0</v>
      </c>
      <c r="R104" s="95">
        <v>1</v>
      </c>
      <c r="S104" s="95">
        <v>0</v>
      </c>
      <c r="T104" s="95">
        <v>0</v>
      </c>
      <c r="U104" s="95">
        <v>1</v>
      </c>
      <c r="V104" s="95">
        <v>15</v>
      </c>
      <c r="W104" s="123">
        <v>136</v>
      </c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</row>
    <row r="105" spans="1:44" x14ac:dyDescent="0.3">
      <c r="A105" s="305"/>
      <c r="B105" s="323"/>
      <c r="C105" s="95" t="s">
        <v>970</v>
      </c>
      <c r="D105" s="95">
        <v>143</v>
      </c>
      <c r="E105" s="95">
        <v>12</v>
      </c>
      <c r="F105" s="95">
        <v>109</v>
      </c>
      <c r="G105" s="95">
        <v>264</v>
      </c>
      <c r="H105" s="95">
        <v>18</v>
      </c>
      <c r="I105" s="95">
        <v>7</v>
      </c>
      <c r="J105" s="95">
        <v>3</v>
      </c>
      <c r="K105" s="95">
        <v>8</v>
      </c>
      <c r="L105" s="95">
        <v>4</v>
      </c>
      <c r="M105" s="95">
        <v>0</v>
      </c>
      <c r="N105" s="95">
        <v>5</v>
      </c>
      <c r="O105" s="95">
        <v>29</v>
      </c>
      <c r="P105" s="95">
        <v>0</v>
      </c>
      <c r="Q105" s="95">
        <v>0</v>
      </c>
      <c r="R105" s="95">
        <v>1</v>
      </c>
      <c r="S105" s="95">
        <v>0</v>
      </c>
      <c r="T105" s="95">
        <v>3</v>
      </c>
      <c r="U105" s="95">
        <v>0</v>
      </c>
      <c r="V105" s="95">
        <v>59</v>
      </c>
      <c r="W105" s="123">
        <v>342</v>
      </c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</row>
    <row r="106" spans="1:44" x14ac:dyDescent="0.3">
      <c r="A106" s="305"/>
      <c r="B106" s="323"/>
      <c r="C106" s="95" t="s">
        <v>971</v>
      </c>
      <c r="D106" s="95">
        <v>3</v>
      </c>
      <c r="E106" s="95">
        <v>0</v>
      </c>
      <c r="F106" s="95">
        <v>19</v>
      </c>
      <c r="G106" s="95">
        <v>21</v>
      </c>
      <c r="H106" s="95">
        <v>14</v>
      </c>
      <c r="I106" s="95">
        <v>0</v>
      </c>
      <c r="J106" s="95">
        <v>2</v>
      </c>
      <c r="K106" s="95">
        <v>0</v>
      </c>
      <c r="L106" s="95">
        <v>0</v>
      </c>
      <c r="M106" s="95">
        <v>0</v>
      </c>
      <c r="N106" s="95">
        <v>0</v>
      </c>
      <c r="O106" s="95">
        <v>0</v>
      </c>
      <c r="P106" s="95">
        <v>0</v>
      </c>
      <c r="Q106" s="95">
        <v>0</v>
      </c>
      <c r="R106" s="95">
        <v>0</v>
      </c>
      <c r="S106" s="95">
        <v>0</v>
      </c>
      <c r="T106" s="95">
        <v>1</v>
      </c>
      <c r="U106" s="95">
        <v>0</v>
      </c>
      <c r="V106" s="95">
        <v>3</v>
      </c>
      <c r="W106" s="123">
        <v>37</v>
      </c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</row>
    <row r="107" spans="1:44" x14ac:dyDescent="0.3">
      <c r="A107" s="305"/>
      <c r="B107" s="308"/>
      <c r="C107" s="95" t="s">
        <v>972</v>
      </c>
      <c r="D107" s="95">
        <v>85</v>
      </c>
      <c r="E107" s="95">
        <v>0</v>
      </c>
      <c r="F107" s="95">
        <v>38</v>
      </c>
      <c r="G107" s="95">
        <v>123</v>
      </c>
      <c r="H107" s="95">
        <v>158</v>
      </c>
      <c r="I107" s="95">
        <v>8</v>
      </c>
      <c r="J107" s="95">
        <v>3</v>
      </c>
      <c r="K107" s="95">
        <v>17</v>
      </c>
      <c r="L107" s="95">
        <v>1</v>
      </c>
      <c r="M107" s="95">
        <v>7</v>
      </c>
      <c r="N107" s="95">
        <v>2</v>
      </c>
      <c r="O107" s="95">
        <v>24</v>
      </c>
      <c r="P107" s="95">
        <v>22</v>
      </c>
      <c r="Q107" s="95">
        <v>0</v>
      </c>
      <c r="R107" s="95">
        <v>1</v>
      </c>
      <c r="S107" s="95">
        <v>0</v>
      </c>
      <c r="T107" s="95">
        <v>4</v>
      </c>
      <c r="U107" s="95">
        <v>0</v>
      </c>
      <c r="V107" s="95">
        <v>89</v>
      </c>
      <c r="W107" s="123">
        <v>370</v>
      </c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</row>
    <row r="108" spans="1:44" x14ac:dyDescent="0.3">
      <c r="A108" s="305"/>
      <c r="B108" s="307" t="s">
        <v>973</v>
      </c>
      <c r="C108" s="95" t="s">
        <v>974</v>
      </c>
      <c r="D108" s="95">
        <v>24</v>
      </c>
      <c r="E108" s="95">
        <v>0</v>
      </c>
      <c r="F108" s="95">
        <v>1</v>
      </c>
      <c r="G108" s="95">
        <v>25</v>
      </c>
      <c r="H108" s="95">
        <v>6</v>
      </c>
      <c r="I108" s="95">
        <v>0</v>
      </c>
      <c r="J108" s="95">
        <v>0</v>
      </c>
      <c r="K108" s="95">
        <v>0</v>
      </c>
      <c r="L108" s="95">
        <v>3</v>
      </c>
      <c r="M108" s="95">
        <v>0</v>
      </c>
      <c r="N108" s="95">
        <v>0</v>
      </c>
      <c r="O108" s="95">
        <v>0</v>
      </c>
      <c r="P108" s="95">
        <v>1</v>
      </c>
      <c r="Q108" s="95">
        <v>0</v>
      </c>
      <c r="R108" s="95">
        <v>4</v>
      </c>
      <c r="S108" s="95">
        <v>0</v>
      </c>
      <c r="T108" s="95">
        <v>0</v>
      </c>
      <c r="U108" s="95">
        <v>0</v>
      </c>
      <c r="V108" s="95">
        <v>8</v>
      </c>
      <c r="W108" s="123">
        <v>39</v>
      </c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</row>
    <row r="109" spans="1:44" x14ac:dyDescent="0.3">
      <c r="A109" s="305"/>
      <c r="B109" s="323"/>
      <c r="C109" s="95" t="s">
        <v>975</v>
      </c>
      <c r="D109" s="95">
        <v>16</v>
      </c>
      <c r="E109" s="95">
        <v>2</v>
      </c>
      <c r="F109" s="95">
        <v>19</v>
      </c>
      <c r="G109" s="95">
        <v>38</v>
      </c>
      <c r="H109" s="95">
        <v>31</v>
      </c>
      <c r="I109" s="95">
        <v>7</v>
      </c>
      <c r="J109" s="95">
        <v>1</v>
      </c>
      <c r="K109" s="95">
        <v>10</v>
      </c>
      <c r="L109" s="95">
        <v>0</v>
      </c>
      <c r="M109" s="95">
        <v>0</v>
      </c>
      <c r="N109" s="95">
        <v>0</v>
      </c>
      <c r="O109" s="95">
        <v>8</v>
      </c>
      <c r="P109" s="95">
        <v>5</v>
      </c>
      <c r="Q109" s="95">
        <v>0</v>
      </c>
      <c r="R109" s="95">
        <v>2</v>
      </c>
      <c r="S109" s="95">
        <v>4</v>
      </c>
      <c r="T109" s="95">
        <v>0</v>
      </c>
      <c r="U109" s="95">
        <v>0</v>
      </c>
      <c r="V109" s="95">
        <v>36</v>
      </c>
      <c r="W109" s="123">
        <v>104</v>
      </c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</row>
    <row r="110" spans="1:44" x14ac:dyDescent="0.3">
      <c r="A110" s="305"/>
      <c r="B110" s="323"/>
      <c r="C110" s="95" t="s">
        <v>976</v>
      </c>
      <c r="D110" s="95">
        <v>88</v>
      </c>
      <c r="E110" s="95">
        <v>0</v>
      </c>
      <c r="F110" s="95">
        <v>95</v>
      </c>
      <c r="G110" s="95">
        <v>183</v>
      </c>
      <c r="H110" s="95">
        <v>16</v>
      </c>
      <c r="I110" s="95">
        <v>16</v>
      </c>
      <c r="J110" s="95">
        <v>21</v>
      </c>
      <c r="K110" s="95">
        <v>35</v>
      </c>
      <c r="L110" s="95">
        <v>16</v>
      </c>
      <c r="M110" s="95">
        <v>8</v>
      </c>
      <c r="N110" s="95">
        <v>1</v>
      </c>
      <c r="O110" s="95">
        <v>5</v>
      </c>
      <c r="P110" s="95">
        <v>5</v>
      </c>
      <c r="Q110" s="95">
        <v>13</v>
      </c>
      <c r="R110" s="95">
        <v>8</v>
      </c>
      <c r="S110" s="95">
        <v>6</v>
      </c>
      <c r="T110" s="95">
        <v>1</v>
      </c>
      <c r="U110" s="95">
        <v>0</v>
      </c>
      <c r="V110" s="95">
        <v>134</v>
      </c>
      <c r="W110" s="123">
        <v>333</v>
      </c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</row>
    <row r="111" spans="1:44" x14ac:dyDescent="0.3">
      <c r="A111" s="305"/>
      <c r="B111" s="308"/>
      <c r="C111" s="95" t="s">
        <v>977</v>
      </c>
      <c r="D111" s="95">
        <v>23</v>
      </c>
      <c r="E111" s="95">
        <v>0</v>
      </c>
      <c r="F111" s="95">
        <v>7</v>
      </c>
      <c r="G111" s="95">
        <v>31</v>
      </c>
      <c r="H111" s="95">
        <v>12</v>
      </c>
      <c r="I111" s="95">
        <v>2</v>
      </c>
      <c r="J111" s="95">
        <v>5</v>
      </c>
      <c r="K111" s="95">
        <v>1</v>
      </c>
      <c r="L111" s="95">
        <v>0</v>
      </c>
      <c r="M111" s="95">
        <v>1</v>
      </c>
      <c r="N111" s="95">
        <v>1</v>
      </c>
      <c r="O111" s="95">
        <v>1</v>
      </c>
      <c r="P111" s="95">
        <v>8</v>
      </c>
      <c r="Q111" s="95">
        <v>1</v>
      </c>
      <c r="R111" s="95">
        <v>1</v>
      </c>
      <c r="S111" s="95">
        <v>15</v>
      </c>
      <c r="T111" s="95">
        <v>0</v>
      </c>
      <c r="U111" s="95">
        <v>0</v>
      </c>
      <c r="V111" s="95">
        <v>37</v>
      </c>
      <c r="W111" s="123">
        <v>79</v>
      </c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</row>
    <row r="112" spans="1:44" x14ac:dyDescent="0.3">
      <c r="A112" s="305"/>
      <c r="B112" s="307" t="s">
        <v>762</v>
      </c>
      <c r="C112" s="95" t="s">
        <v>978</v>
      </c>
      <c r="D112" s="95">
        <v>3</v>
      </c>
      <c r="E112" s="95">
        <v>0</v>
      </c>
      <c r="F112" s="95">
        <v>0</v>
      </c>
      <c r="G112" s="95">
        <v>3</v>
      </c>
      <c r="H112" s="95">
        <v>107</v>
      </c>
      <c r="I112" s="95">
        <v>2</v>
      </c>
      <c r="J112" s="95">
        <v>0</v>
      </c>
      <c r="K112" s="95">
        <v>0</v>
      </c>
      <c r="L112" s="95">
        <v>0</v>
      </c>
      <c r="M112" s="95">
        <v>0</v>
      </c>
      <c r="N112" s="95">
        <v>8</v>
      </c>
      <c r="O112" s="95">
        <v>22</v>
      </c>
      <c r="P112" s="95">
        <v>4</v>
      </c>
      <c r="Q112" s="95">
        <v>0</v>
      </c>
      <c r="R112" s="95">
        <v>11</v>
      </c>
      <c r="S112" s="95">
        <v>0</v>
      </c>
      <c r="T112" s="95">
        <v>0</v>
      </c>
      <c r="U112" s="95">
        <v>0</v>
      </c>
      <c r="V112" s="95">
        <v>46</v>
      </c>
      <c r="W112" s="123">
        <v>156</v>
      </c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</row>
    <row r="113" spans="1:44" x14ac:dyDescent="0.3">
      <c r="A113" s="305"/>
      <c r="B113" s="308"/>
      <c r="C113" s="95" t="s">
        <v>979</v>
      </c>
      <c r="D113" s="95">
        <v>11</v>
      </c>
      <c r="E113" s="95">
        <v>0</v>
      </c>
      <c r="F113" s="95">
        <v>0</v>
      </c>
      <c r="G113" s="95">
        <v>11</v>
      </c>
      <c r="H113" s="95">
        <v>10</v>
      </c>
      <c r="I113" s="95">
        <v>0</v>
      </c>
      <c r="J113" s="95">
        <v>0</v>
      </c>
      <c r="K113" s="95">
        <v>0</v>
      </c>
      <c r="L113" s="95">
        <v>0</v>
      </c>
      <c r="M113" s="95">
        <v>0</v>
      </c>
      <c r="N113" s="95">
        <v>0</v>
      </c>
      <c r="O113" s="95">
        <v>3</v>
      </c>
      <c r="P113" s="95">
        <v>11</v>
      </c>
      <c r="Q113" s="95">
        <v>0</v>
      </c>
      <c r="R113" s="95">
        <v>4</v>
      </c>
      <c r="S113" s="95">
        <v>8</v>
      </c>
      <c r="T113" s="95">
        <v>0</v>
      </c>
      <c r="U113" s="95">
        <v>2</v>
      </c>
      <c r="V113" s="95">
        <v>29</v>
      </c>
      <c r="W113" s="123">
        <v>50</v>
      </c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</row>
    <row r="114" spans="1:44" x14ac:dyDescent="0.3">
      <c r="A114" s="306"/>
      <c r="B114" s="337" t="s">
        <v>110</v>
      </c>
      <c r="C114" s="338"/>
      <c r="D114" s="95">
        <v>1454</v>
      </c>
      <c r="E114" s="95">
        <v>38</v>
      </c>
      <c r="F114" s="95">
        <v>813</v>
      </c>
      <c r="G114" s="96">
        <v>2304</v>
      </c>
      <c r="H114" s="95">
        <v>1039</v>
      </c>
      <c r="I114" s="95">
        <v>134</v>
      </c>
      <c r="J114" s="95">
        <v>118</v>
      </c>
      <c r="K114" s="95">
        <v>123</v>
      </c>
      <c r="L114" s="95">
        <v>53</v>
      </c>
      <c r="M114" s="95">
        <v>42</v>
      </c>
      <c r="N114" s="95">
        <v>25</v>
      </c>
      <c r="O114" s="95">
        <v>117</v>
      </c>
      <c r="P114" s="95">
        <v>96</v>
      </c>
      <c r="Q114" s="95">
        <v>29</v>
      </c>
      <c r="R114" s="95">
        <v>74</v>
      </c>
      <c r="S114" s="95">
        <v>51</v>
      </c>
      <c r="T114" s="95">
        <v>13</v>
      </c>
      <c r="U114" s="95">
        <v>32</v>
      </c>
      <c r="V114" s="95">
        <v>909</v>
      </c>
      <c r="W114" s="30">
        <v>4252</v>
      </c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</row>
    <row r="115" spans="1:44" x14ac:dyDescent="0.3">
      <c r="A115" s="166" t="s">
        <v>85</v>
      </c>
      <c r="B115" s="354" t="s">
        <v>1047</v>
      </c>
      <c r="C115" s="304"/>
      <c r="D115" s="177">
        <v>12745</v>
      </c>
      <c r="E115" s="177">
        <v>2161</v>
      </c>
      <c r="F115" s="177">
        <v>10548</v>
      </c>
      <c r="G115" s="177">
        <v>25453</v>
      </c>
      <c r="H115" s="177">
        <v>36817</v>
      </c>
      <c r="I115" s="177">
        <v>5054</v>
      </c>
      <c r="J115" s="177">
        <v>3204</v>
      </c>
      <c r="K115" s="177">
        <v>2003</v>
      </c>
      <c r="L115" s="177">
        <v>1389</v>
      </c>
      <c r="M115" s="168">
        <v>1190</v>
      </c>
      <c r="N115" s="177">
        <v>2651</v>
      </c>
      <c r="O115" s="177">
        <v>3598</v>
      </c>
      <c r="P115" s="177">
        <v>2511</v>
      </c>
      <c r="Q115" s="168">
        <v>969</v>
      </c>
      <c r="R115" s="177">
        <v>3067</v>
      </c>
      <c r="S115" s="177">
        <v>6653</v>
      </c>
      <c r="T115" s="168">
        <v>718</v>
      </c>
      <c r="U115" s="177">
        <v>1924</v>
      </c>
      <c r="V115" s="177">
        <v>34931</v>
      </c>
      <c r="W115" s="190">
        <v>97201</v>
      </c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</row>
    <row r="116" spans="1:44" x14ac:dyDescent="0.3">
      <c r="A116" s="321" t="s">
        <v>86</v>
      </c>
      <c r="B116" s="321"/>
      <c r="C116" s="322"/>
      <c r="D116" s="98">
        <v>53364</v>
      </c>
      <c r="E116" s="98">
        <v>6775</v>
      </c>
      <c r="F116" s="98">
        <v>40003</v>
      </c>
      <c r="G116" s="98">
        <v>100142</v>
      </c>
      <c r="H116" s="98">
        <v>82485</v>
      </c>
      <c r="I116" s="98">
        <v>12117</v>
      </c>
      <c r="J116" s="98">
        <v>8100</v>
      </c>
      <c r="K116" s="98">
        <v>5810</v>
      </c>
      <c r="L116" s="98">
        <v>4611</v>
      </c>
      <c r="M116" s="98">
        <v>3948</v>
      </c>
      <c r="N116" s="98">
        <v>7935</v>
      </c>
      <c r="O116" s="98">
        <v>9900</v>
      </c>
      <c r="P116" s="98">
        <v>10854</v>
      </c>
      <c r="Q116" s="98">
        <v>3752</v>
      </c>
      <c r="R116" s="98">
        <v>9667</v>
      </c>
      <c r="S116" s="98">
        <v>20002</v>
      </c>
      <c r="T116" s="98">
        <v>1864</v>
      </c>
      <c r="U116" s="98">
        <v>2884</v>
      </c>
      <c r="V116" s="98">
        <v>101445</v>
      </c>
      <c r="W116" s="32">
        <v>284072</v>
      </c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</row>
    <row r="118" spans="1:44" x14ac:dyDescent="0.3">
      <c r="A118" s="90" t="s">
        <v>1362</v>
      </c>
    </row>
    <row r="119" spans="1:44" x14ac:dyDescent="0.3">
      <c r="A119" t="s">
        <v>137</v>
      </c>
    </row>
    <row r="120" spans="1:44" x14ac:dyDescent="0.3">
      <c r="A120" t="s">
        <v>136</v>
      </c>
    </row>
  </sheetData>
  <mergeCells count="41">
    <mergeCell ref="W4:W5"/>
    <mergeCell ref="A6:A22"/>
    <mergeCell ref="B6:B10"/>
    <mergeCell ref="B11:B14"/>
    <mergeCell ref="B15:B20"/>
    <mergeCell ref="B22:C22"/>
    <mergeCell ref="A4:A5"/>
    <mergeCell ref="B4:B5"/>
    <mergeCell ref="C4:C5"/>
    <mergeCell ref="D4:G4"/>
    <mergeCell ref="H4:H5"/>
    <mergeCell ref="I4:V4"/>
    <mergeCell ref="A23:A46"/>
    <mergeCell ref="B23:B31"/>
    <mergeCell ref="B32:B40"/>
    <mergeCell ref="B41:B45"/>
    <mergeCell ref="B46:C46"/>
    <mergeCell ref="B65:C65"/>
    <mergeCell ref="A66:A79"/>
    <mergeCell ref="B66:B69"/>
    <mergeCell ref="B70:B73"/>
    <mergeCell ref="B74:B77"/>
    <mergeCell ref="B79:C79"/>
    <mergeCell ref="A47:A65"/>
    <mergeCell ref="B47:B51"/>
    <mergeCell ref="B52:B53"/>
    <mergeCell ref="B54:B56"/>
    <mergeCell ref="B57:B64"/>
    <mergeCell ref="A80:A102"/>
    <mergeCell ref="B80:B85"/>
    <mergeCell ref="B86:B93"/>
    <mergeCell ref="B94:B98"/>
    <mergeCell ref="B99:B101"/>
    <mergeCell ref="B102:C102"/>
    <mergeCell ref="A116:C116"/>
    <mergeCell ref="A103:A114"/>
    <mergeCell ref="B103:B107"/>
    <mergeCell ref="B108:B111"/>
    <mergeCell ref="B112:B113"/>
    <mergeCell ref="B114:C114"/>
    <mergeCell ref="B115:C115"/>
  </mergeCells>
  <phoneticPr fontId="1" type="noConversion"/>
  <hyperlinks>
    <hyperlink ref="E1" location="목차!A1" display="목차" xr:uid="{16C7593E-068F-4C8E-8AAE-57097CD2E645}"/>
  </hyperlinks>
  <pageMargins left="0.7" right="0.7" top="0.75" bottom="0.75" header="0.3" footer="0.3"/>
  <pageSetup paperSize="9" orientation="portrait" copies="16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FF44-7E9C-483E-8BE6-B030513F5CBC}">
  <sheetPr>
    <tabColor theme="0" tint="-4.9989318521683403E-2"/>
  </sheetPr>
  <dimension ref="A1:V71"/>
  <sheetViews>
    <sheetView zoomScale="55" zoomScaleNormal="55" workbookViewId="0">
      <selection activeCell="A71" sqref="A71"/>
    </sheetView>
  </sheetViews>
  <sheetFormatPr defaultRowHeight="16.5" x14ac:dyDescent="0.3"/>
  <cols>
    <col min="1" max="1" width="13.25" customWidth="1"/>
    <col min="2" max="2" width="38.375" customWidth="1"/>
    <col min="3" max="3" width="13.125" customWidth="1"/>
  </cols>
  <sheetData>
    <row r="1" spans="1:22" ht="17.25" x14ac:dyDescent="0.3">
      <c r="A1" s="7" t="s">
        <v>1364</v>
      </c>
      <c r="B1" s="4"/>
      <c r="C1" s="4"/>
      <c r="D1" s="199"/>
      <c r="E1" s="71" t="s">
        <v>367</v>
      </c>
      <c r="F1" s="199"/>
      <c r="G1" s="199"/>
    </row>
    <row r="3" spans="1:22" x14ac:dyDescent="0.3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 t="s">
        <v>843</v>
      </c>
    </row>
    <row r="4" spans="1:22" ht="17.25" thickBot="1" x14ac:dyDescent="0.35">
      <c r="A4" s="341" t="s">
        <v>1365</v>
      </c>
      <c r="B4" s="341" t="s">
        <v>1209</v>
      </c>
      <c r="C4" s="335" t="s">
        <v>115</v>
      </c>
      <c r="D4" s="336"/>
      <c r="E4" s="336"/>
      <c r="F4" s="345"/>
      <c r="G4" s="341" t="s">
        <v>833</v>
      </c>
      <c r="H4" s="335" t="s">
        <v>119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45"/>
      <c r="V4" s="340" t="s">
        <v>86</v>
      </c>
    </row>
    <row r="5" spans="1:22" ht="17.25" thickTop="1" x14ac:dyDescent="0.3">
      <c r="A5" s="341"/>
      <c r="B5" s="341"/>
      <c r="C5" s="183" t="s">
        <v>1019</v>
      </c>
      <c r="D5" s="183" t="s">
        <v>1020</v>
      </c>
      <c r="E5" s="183" t="s">
        <v>1021</v>
      </c>
      <c r="F5" s="183" t="s">
        <v>110</v>
      </c>
      <c r="G5" s="341"/>
      <c r="H5" s="183" t="s">
        <v>1022</v>
      </c>
      <c r="I5" s="183" t="s">
        <v>1023</v>
      </c>
      <c r="J5" s="183" t="s">
        <v>1024</v>
      </c>
      <c r="K5" s="183" t="s">
        <v>1025</v>
      </c>
      <c r="L5" s="183" t="s">
        <v>1026</v>
      </c>
      <c r="M5" s="183" t="s">
        <v>1027</v>
      </c>
      <c r="N5" s="183" t="s">
        <v>1028</v>
      </c>
      <c r="O5" s="183" t="s">
        <v>1029</v>
      </c>
      <c r="P5" s="183" t="s">
        <v>1030</v>
      </c>
      <c r="Q5" s="183" t="s">
        <v>1031</v>
      </c>
      <c r="R5" s="183" t="s">
        <v>1032</v>
      </c>
      <c r="S5" s="183" t="s">
        <v>1033</v>
      </c>
      <c r="T5" s="183" t="s">
        <v>1034</v>
      </c>
      <c r="U5" s="183" t="s">
        <v>110</v>
      </c>
      <c r="V5" s="340"/>
    </row>
    <row r="6" spans="1:22" ht="14.25" customHeight="1" x14ac:dyDescent="0.3">
      <c r="A6" s="307" t="s">
        <v>1356</v>
      </c>
      <c r="B6" s="95" t="s">
        <v>1366</v>
      </c>
      <c r="C6" s="204">
        <v>954</v>
      </c>
      <c r="D6" s="204">
        <v>31</v>
      </c>
      <c r="E6" s="204">
        <v>608</v>
      </c>
      <c r="F6" s="204">
        <v>1593</v>
      </c>
      <c r="G6" s="204">
        <v>632</v>
      </c>
      <c r="H6" s="204">
        <v>49</v>
      </c>
      <c r="I6" s="204">
        <v>33</v>
      </c>
      <c r="J6" s="204">
        <v>36</v>
      </c>
      <c r="K6" s="204">
        <v>29</v>
      </c>
      <c r="L6" s="204">
        <v>4</v>
      </c>
      <c r="M6" s="204">
        <v>35</v>
      </c>
      <c r="N6" s="204">
        <v>59</v>
      </c>
      <c r="O6" s="204">
        <v>9</v>
      </c>
      <c r="P6" s="204">
        <v>1</v>
      </c>
      <c r="Q6" s="204">
        <v>84</v>
      </c>
      <c r="R6" s="204">
        <v>10</v>
      </c>
      <c r="S6" s="204">
        <v>5</v>
      </c>
      <c r="T6" s="204">
        <v>4</v>
      </c>
      <c r="U6" s="204">
        <v>357</v>
      </c>
      <c r="V6" s="204">
        <v>2581</v>
      </c>
    </row>
    <row r="7" spans="1:22" ht="14.25" customHeight="1" x14ac:dyDescent="0.3">
      <c r="A7" s="323"/>
      <c r="B7" s="95" t="s">
        <v>1211</v>
      </c>
      <c r="C7" s="204">
        <v>168</v>
      </c>
      <c r="D7" s="204">
        <v>9</v>
      </c>
      <c r="E7" s="204">
        <v>63</v>
      </c>
      <c r="F7" s="204">
        <v>239</v>
      </c>
      <c r="G7" s="204">
        <v>74</v>
      </c>
      <c r="H7" s="204">
        <v>6</v>
      </c>
      <c r="I7" s="204">
        <v>5</v>
      </c>
      <c r="J7" s="204">
        <v>22</v>
      </c>
      <c r="K7" s="204">
        <v>11</v>
      </c>
      <c r="L7" s="204">
        <v>1</v>
      </c>
      <c r="M7" s="204" t="s">
        <v>65</v>
      </c>
      <c r="N7" s="204">
        <v>12</v>
      </c>
      <c r="O7" s="204">
        <v>1</v>
      </c>
      <c r="P7" s="204" t="s">
        <v>65</v>
      </c>
      <c r="Q7" s="204">
        <v>21</v>
      </c>
      <c r="R7" s="204">
        <v>1</v>
      </c>
      <c r="S7" s="204">
        <v>2</v>
      </c>
      <c r="T7" s="204">
        <v>8</v>
      </c>
      <c r="U7" s="204">
        <v>90</v>
      </c>
      <c r="V7" s="204">
        <v>404</v>
      </c>
    </row>
    <row r="8" spans="1:22" ht="14.25" customHeight="1" x14ac:dyDescent="0.3">
      <c r="A8" s="323"/>
      <c r="B8" s="95" t="s">
        <v>1212</v>
      </c>
      <c r="C8" s="204">
        <v>88</v>
      </c>
      <c r="D8" s="204">
        <v>1</v>
      </c>
      <c r="E8" s="204">
        <v>17</v>
      </c>
      <c r="F8" s="204">
        <v>107</v>
      </c>
      <c r="G8" s="204">
        <v>36</v>
      </c>
      <c r="H8" s="204">
        <v>4</v>
      </c>
      <c r="I8" s="204">
        <v>1</v>
      </c>
      <c r="J8" s="204">
        <v>2</v>
      </c>
      <c r="K8" s="204">
        <v>1</v>
      </c>
      <c r="L8" s="204">
        <v>1</v>
      </c>
      <c r="M8" s="204">
        <v>3</v>
      </c>
      <c r="N8" s="204">
        <v>8</v>
      </c>
      <c r="O8" s="204">
        <v>2</v>
      </c>
      <c r="P8" s="204">
        <v>1</v>
      </c>
      <c r="Q8" s="204">
        <v>21</v>
      </c>
      <c r="R8" s="204">
        <v>3</v>
      </c>
      <c r="S8" s="204" t="s">
        <v>65</v>
      </c>
      <c r="T8" s="204" t="s">
        <v>65</v>
      </c>
      <c r="U8" s="204">
        <v>47</v>
      </c>
      <c r="V8" s="204">
        <v>190</v>
      </c>
    </row>
    <row r="9" spans="1:22" ht="14.25" customHeight="1" x14ac:dyDescent="0.3">
      <c r="A9" s="323"/>
      <c r="B9" s="95" t="s">
        <v>1213</v>
      </c>
      <c r="C9" s="204">
        <v>54</v>
      </c>
      <c r="D9" s="204">
        <v>24</v>
      </c>
      <c r="E9" s="204">
        <v>62</v>
      </c>
      <c r="F9" s="204">
        <v>140</v>
      </c>
      <c r="G9" s="204">
        <v>44</v>
      </c>
      <c r="H9" s="204">
        <v>4</v>
      </c>
      <c r="I9" s="204">
        <v>2</v>
      </c>
      <c r="J9" s="204">
        <v>1</v>
      </c>
      <c r="K9" s="204">
        <v>4</v>
      </c>
      <c r="L9" s="204" t="s">
        <v>65</v>
      </c>
      <c r="M9" s="204">
        <v>39</v>
      </c>
      <c r="N9" s="204">
        <v>2</v>
      </c>
      <c r="O9" s="204">
        <v>6</v>
      </c>
      <c r="P9" s="204" t="s">
        <v>65</v>
      </c>
      <c r="Q9" s="204">
        <v>26</v>
      </c>
      <c r="R9" s="204">
        <v>1</v>
      </c>
      <c r="S9" s="204" t="s">
        <v>65</v>
      </c>
      <c r="T9" s="204" t="s">
        <v>65</v>
      </c>
      <c r="U9" s="204">
        <v>85</v>
      </c>
      <c r="V9" s="204">
        <v>269</v>
      </c>
    </row>
    <row r="10" spans="1:22" ht="14.25" customHeight="1" x14ac:dyDescent="0.3">
      <c r="A10" s="323"/>
      <c r="B10" s="95" t="s">
        <v>1214</v>
      </c>
      <c r="C10" s="204">
        <v>869</v>
      </c>
      <c r="D10" s="204">
        <v>75</v>
      </c>
      <c r="E10" s="204">
        <v>903</v>
      </c>
      <c r="F10" s="204">
        <v>1847</v>
      </c>
      <c r="G10" s="204">
        <v>907</v>
      </c>
      <c r="H10" s="204">
        <v>104</v>
      </c>
      <c r="I10" s="204">
        <v>122</v>
      </c>
      <c r="J10" s="204">
        <v>107</v>
      </c>
      <c r="K10" s="204">
        <v>165</v>
      </c>
      <c r="L10" s="204">
        <v>30</v>
      </c>
      <c r="M10" s="204">
        <v>208</v>
      </c>
      <c r="N10" s="204">
        <v>97</v>
      </c>
      <c r="O10" s="204">
        <v>211</v>
      </c>
      <c r="P10" s="204">
        <v>17</v>
      </c>
      <c r="Q10" s="204">
        <v>160</v>
      </c>
      <c r="R10" s="204">
        <v>57</v>
      </c>
      <c r="S10" s="204">
        <v>5</v>
      </c>
      <c r="T10" s="204">
        <v>46</v>
      </c>
      <c r="U10" s="204">
        <v>1328</v>
      </c>
      <c r="V10" s="204">
        <v>4082</v>
      </c>
    </row>
    <row r="11" spans="1:22" ht="14.25" customHeight="1" x14ac:dyDescent="0.3">
      <c r="A11" s="323"/>
      <c r="B11" s="95" t="s">
        <v>1215</v>
      </c>
      <c r="C11" s="204">
        <v>94</v>
      </c>
      <c r="D11" s="204">
        <v>18</v>
      </c>
      <c r="E11" s="204">
        <v>132</v>
      </c>
      <c r="F11" s="204">
        <v>244</v>
      </c>
      <c r="G11" s="204">
        <v>50</v>
      </c>
      <c r="H11" s="204">
        <v>32</v>
      </c>
      <c r="I11" s="204">
        <v>4</v>
      </c>
      <c r="J11" s="204">
        <v>3</v>
      </c>
      <c r="K11" s="204">
        <v>2</v>
      </c>
      <c r="L11" s="204" t="s">
        <v>65</v>
      </c>
      <c r="M11" s="204">
        <v>3</v>
      </c>
      <c r="N11" s="204">
        <v>11</v>
      </c>
      <c r="O11" s="204">
        <v>38</v>
      </c>
      <c r="P11" s="204">
        <v>28</v>
      </c>
      <c r="Q11" s="204">
        <v>40</v>
      </c>
      <c r="R11" s="204">
        <v>22</v>
      </c>
      <c r="S11" s="204" t="s">
        <v>65</v>
      </c>
      <c r="T11" s="204" t="s">
        <v>65</v>
      </c>
      <c r="U11" s="204">
        <v>184</v>
      </c>
      <c r="V11" s="204">
        <v>478</v>
      </c>
    </row>
    <row r="12" spans="1:22" ht="14.25" customHeight="1" x14ac:dyDescent="0.3">
      <c r="A12" s="323"/>
      <c r="B12" s="95" t="s">
        <v>1216</v>
      </c>
      <c r="C12" s="204">
        <v>233</v>
      </c>
      <c r="D12" s="204">
        <v>19</v>
      </c>
      <c r="E12" s="204">
        <v>240</v>
      </c>
      <c r="F12" s="204">
        <v>492</v>
      </c>
      <c r="G12" s="204">
        <v>448</v>
      </c>
      <c r="H12" s="204">
        <v>69</v>
      </c>
      <c r="I12" s="204">
        <v>30</v>
      </c>
      <c r="J12" s="204">
        <v>28</v>
      </c>
      <c r="K12" s="204">
        <v>33</v>
      </c>
      <c r="L12" s="204">
        <v>5</v>
      </c>
      <c r="M12" s="204">
        <v>20</v>
      </c>
      <c r="N12" s="204">
        <v>12</v>
      </c>
      <c r="O12" s="204">
        <v>12</v>
      </c>
      <c r="P12" s="204">
        <v>1</v>
      </c>
      <c r="Q12" s="204">
        <v>40</v>
      </c>
      <c r="R12" s="204">
        <v>17</v>
      </c>
      <c r="S12" s="204">
        <v>1</v>
      </c>
      <c r="T12" s="204">
        <v>1</v>
      </c>
      <c r="U12" s="204">
        <v>267</v>
      </c>
      <c r="V12" s="204">
        <v>1206</v>
      </c>
    </row>
    <row r="13" spans="1:22" ht="14.25" customHeight="1" x14ac:dyDescent="0.3">
      <c r="A13" s="323"/>
      <c r="B13" s="95" t="s">
        <v>1217</v>
      </c>
      <c r="C13" s="204">
        <v>42</v>
      </c>
      <c r="D13" s="204">
        <v>2</v>
      </c>
      <c r="E13" s="204">
        <v>6</v>
      </c>
      <c r="F13" s="204">
        <v>50</v>
      </c>
      <c r="G13" s="204">
        <v>53</v>
      </c>
      <c r="H13" s="204">
        <v>6</v>
      </c>
      <c r="I13" s="204">
        <v>1</v>
      </c>
      <c r="J13" s="204">
        <v>1</v>
      </c>
      <c r="K13" s="204">
        <v>1</v>
      </c>
      <c r="L13" s="204" t="s">
        <v>65</v>
      </c>
      <c r="M13" s="204">
        <v>0</v>
      </c>
      <c r="N13" s="204">
        <v>6</v>
      </c>
      <c r="O13" s="204">
        <v>1</v>
      </c>
      <c r="P13" s="204" t="s">
        <v>65</v>
      </c>
      <c r="Q13" s="204">
        <v>1</v>
      </c>
      <c r="R13" s="204" t="s">
        <v>65</v>
      </c>
      <c r="S13" s="204" t="s">
        <v>65</v>
      </c>
      <c r="T13" s="204">
        <v>1</v>
      </c>
      <c r="U13" s="204">
        <v>17</v>
      </c>
      <c r="V13" s="204">
        <v>120</v>
      </c>
    </row>
    <row r="14" spans="1:22" ht="14.25" customHeight="1" x14ac:dyDescent="0.3">
      <c r="A14" s="308"/>
      <c r="B14" s="98" t="s">
        <v>110</v>
      </c>
      <c r="C14" s="207">
        <v>2503</v>
      </c>
      <c r="D14" s="207">
        <v>179</v>
      </c>
      <c r="E14" s="207">
        <v>2030</v>
      </c>
      <c r="F14" s="207">
        <v>4712</v>
      </c>
      <c r="G14" s="207">
        <v>2244</v>
      </c>
      <c r="H14" s="207">
        <v>275</v>
      </c>
      <c r="I14" s="207">
        <v>198</v>
      </c>
      <c r="J14" s="207">
        <v>199</v>
      </c>
      <c r="K14" s="207">
        <v>245</v>
      </c>
      <c r="L14" s="207">
        <v>41</v>
      </c>
      <c r="M14" s="207">
        <v>308</v>
      </c>
      <c r="N14" s="207">
        <v>207</v>
      </c>
      <c r="O14" s="207">
        <v>279</v>
      </c>
      <c r="P14" s="207">
        <v>47</v>
      </c>
      <c r="Q14" s="207">
        <v>392</v>
      </c>
      <c r="R14" s="207">
        <v>112</v>
      </c>
      <c r="S14" s="207">
        <v>11</v>
      </c>
      <c r="T14" s="207">
        <v>61</v>
      </c>
      <c r="U14" s="207">
        <v>2375</v>
      </c>
      <c r="V14" s="207">
        <v>9331</v>
      </c>
    </row>
    <row r="15" spans="1:22" ht="14.25" customHeight="1" x14ac:dyDescent="0.3">
      <c r="A15" s="307" t="s">
        <v>1367</v>
      </c>
      <c r="B15" s="95" t="s">
        <v>1218</v>
      </c>
      <c r="C15" s="204">
        <v>170</v>
      </c>
      <c r="D15" s="204">
        <v>14</v>
      </c>
      <c r="E15" s="204">
        <v>66</v>
      </c>
      <c r="F15" s="204">
        <v>250</v>
      </c>
      <c r="G15" s="204">
        <v>156</v>
      </c>
      <c r="H15" s="204">
        <v>25</v>
      </c>
      <c r="I15" s="204">
        <v>10</v>
      </c>
      <c r="J15" s="204">
        <v>4</v>
      </c>
      <c r="K15" s="204">
        <v>16</v>
      </c>
      <c r="L15" s="204">
        <v>4</v>
      </c>
      <c r="M15" s="204">
        <v>19</v>
      </c>
      <c r="N15" s="204">
        <v>17</v>
      </c>
      <c r="O15" s="204">
        <v>44</v>
      </c>
      <c r="P15" s="204">
        <v>1</v>
      </c>
      <c r="Q15" s="204">
        <v>44</v>
      </c>
      <c r="R15" s="204">
        <v>36</v>
      </c>
      <c r="S15" s="204">
        <v>2</v>
      </c>
      <c r="T15" s="204">
        <v>4</v>
      </c>
      <c r="U15" s="204">
        <v>225</v>
      </c>
      <c r="V15" s="204">
        <v>632</v>
      </c>
    </row>
    <row r="16" spans="1:22" ht="14.25" customHeight="1" x14ac:dyDescent="0.3">
      <c r="A16" s="323"/>
      <c r="B16" s="95" t="s">
        <v>1219</v>
      </c>
      <c r="C16" s="204">
        <v>41</v>
      </c>
      <c r="D16" s="204">
        <v>3</v>
      </c>
      <c r="E16" s="204">
        <v>45</v>
      </c>
      <c r="F16" s="204">
        <v>89</v>
      </c>
      <c r="G16" s="204">
        <v>164</v>
      </c>
      <c r="H16" s="204">
        <v>51</v>
      </c>
      <c r="I16" s="204">
        <v>3</v>
      </c>
      <c r="J16" s="204">
        <v>3</v>
      </c>
      <c r="K16" s="204">
        <v>14</v>
      </c>
      <c r="L16" s="204">
        <v>4</v>
      </c>
      <c r="M16" s="204">
        <v>58</v>
      </c>
      <c r="N16" s="204">
        <v>17</v>
      </c>
      <c r="O16" s="204">
        <v>7</v>
      </c>
      <c r="P16" s="204">
        <v>2</v>
      </c>
      <c r="Q16" s="204">
        <v>18</v>
      </c>
      <c r="R16" s="204">
        <v>4</v>
      </c>
      <c r="S16" s="204">
        <v>1</v>
      </c>
      <c r="T16" s="204">
        <v>1</v>
      </c>
      <c r="U16" s="204">
        <v>183</v>
      </c>
      <c r="V16" s="204">
        <v>437</v>
      </c>
    </row>
    <row r="17" spans="1:22" ht="14.25" customHeight="1" x14ac:dyDescent="0.3">
      <c r="A17" s="323"/>
      <c r="B17" s="95" t="s">
        <v>1220</v>
      </c>
      <c r="C17" s="204">
        <v>26</v>
      </c>
      <c r="D17" s="204">
        <v>1</v>
      </c>
      <c r="E17" s="204">
        <v>16</v>
      </c>
      <c r="F17" s="204">
        <v>43</v>
      </c>
      <c r="G17" s="204">
        <v>29</v>
      </c>
      <c r="H17" s="204">
        <v>1</v>
      </c>
      <c r="I17" s="204">
        <v>4</v>
      </c>
      <c r="J17" s="204">
        <v>13</v>
      </c>
      <c r="K17" s="204">
        <v>2</v>
      </c>
      <c r="L17" s="204">
        <v>1</v>
      </c>
      <c r="M17" s="204">
        <v>2</v>
      </c>
      <c r="N17" s="204">
        <v>4</v>
      </c>
      <c r="O17" s="204">
        <v>8</v>
      </c>
      <c r="P17" s="204">
        <v>9</v>
      </c>
      <c r="Q17" s="204">
        <v>22</v>
      </c>
      <c r="R17" s="204">
        <v>6</v>
      </c>
      <c r="S17" s="204">
        <v>3</v>
      </c>
      <c r="T17" s="204" t="s">
        <v>65</v>
      </c>
      <c r="U17" s="204">
        <v>76</v>
      </c>
      <c r="V17" s="204">
        <v>148</v>
      </c>
    </row>
    <row r="18" spans="1:22" ht="14.25" customHeight="1" x14ac:dyDescent="0.3">
      <c r="A18" s="323"/>
      <c r="B18" s="95" t="s">
        <v>1221</v>
      </c>
      <c r="C18" s="204">
        <v>333</v>
      </c>
      <c r="D18" s="204">
        <v>9</v>
      </c>
      <c r="E18" s="204">
        <v>147</v>
      </c>
      <c r="F18" s="204">
        <v>489</v>
      </c>
      <c r="G18" s="204">
        <v>326</v>
      </c>
      <c r="H18" s="204">
        <v>47</v>
      </c>
      <c r="I18" s="204">
        <v>39</v>
      </c>
      <c r="J18" s="204">
        <v>48</v>
      </c>
      <c r="K18" s="204">
        <v>37</v>
      </c>
      <c r="L18" s="204">
        <v>4</v>
      </c>
      <c r="M18" s="204">
        <v>52</v>
      </c>
      <c r="N18" s="204">
        <v>49</v>
      </c>
      <c r="O18" s="204">
        <v>71</v>
      </c>
      <c r="P18" s="204">
        <v>5</v>
      </c>
      <c r="Q18" s="204">
        <v>48</v>
      </c>
      <c r="R18" s="204">
        <v>97</v>
      </c>
      <c r="S18" s="204">
        <v>9</v>
      </c>
      <c r="T18" s="204">
        <v>3</v>
      </c>
      <c r="U18" s="204">
        <v>511</v>
      </c>
      <c r="V18" s="204">
        <v>1326</v>
      </c>
    </row>
    <row r="19" spans="1:22" ht="14.25" customHeight="1" x14ac:dyDescent="0.3">
      <c r="A19" s="308"/>
      <c r="B19" s="98" t="s">
        <v>110</v>
      </c>
      <c r="C19" s="207">
        <v>571</v>
      </c>
      <c r="D19" s="207">
        <v>26</v>
      </c>
      <c r="E19" s="207">
        <v>274</v>
      </c>
      <c r="F19" s="207">
        <v>871</v>
      </c>
      <c r="G19" s="207">
        <v>676</v>
      </c>
      <c r="H19" s="207">
        <v>125</v>
      </c>
      <c r="I19" s="207">
        <v>57</v>
      </c>
      <c r="J19" s="207">
        <v>68</v>
      </c>
      <c r="K19" s="207">
        <v>70</v>
      </c>
      <c r="L19" s="207">
        <v>13</v>
      </c>
      <c r="M19" s="207">
        <v>131</v>
      </c>
      <c r="N19" s="207">
        <v>88</v>
      </c>
      <c r="O19" s="207">
        <v>130</v>
      </c>
      <c r="P19" s="207">
        <v>17</v>
      </c>
      <c r="Q19" s="207">
        <v>131</v>
      </c>
      <c r="R19" s="207">
        <v>144</v>
      </c>
      <c r="S19" s="207">
        <v>15</v>
      </c>
      <c r="T19" s="207">
        <v>7</v>
      </c>
      <c r="U19" s="207">
        <v>995</v>
      </c>
      <c r="V19" s="207">
        <v>2542</v>
      </c>
    </row>
    <row r="20" spans="1:22" ht="14.25" customHeight="1" x14ac:dyDescent="0.3">
      <c r="A20" s="307" t="s">
        <v>1368</v>
      </c>
      <c r="B20" s="95" t="s">
        <v>1222</v>
      </c>
      <c r="C20" s="204">
        <v>125</v>
      </c>
      <c r="D20" s="204">
        <v>37</v>
      </c>
      <c r="E20" s="204">
        <v>67</v>
      </c>
      <c r="F20" s="204">
        <v>229</v>
      </c>
      <c r="G20" s="204">
        <v>112</v>
      </c>
      <c r="H20" s="204">
        <v>10</v>
      </c>
      <c r="I20" s="204">
        <v>7</v>
      </c>
      <c r="J20" s="204">
        <v>7</v>
      </c>
      <c r="K20" s="204">
        <v>2</v>
      </c>
      <c r="L20" s="204">
        <v>1</v>
      </c>
      <c r="M20" s="204">
        <v>6</v>
      </c>
      <c r="N20" s="204">
        <v>3</v>
      </c>
      <c r="O20" s="204">
        <v>26</v>
      </c>
      <c r="P20" s="204">
        <v>1</v>
      </c>
      <c r="Q20" s="204">
        <v>5</v>
      </c>
      <c r="R20" s="204">
        <v>63</v>
      </c>
      <c r="S20" s="204" t="s">
        <v>65</v>
      </c>
      <c r="T20" s="204">
        <v>2</v>
      </c>
      <c r="U20" s="204">
        <v>133</v>
      </c>
      <c r="V20" s="204">
        <v>475</v>
      </c>
    </row>
    <row r="21" spans="1:22" ht="14.25" customHeight="1" x14ac:dyDescent="0.3">
      <c r="A21" s="323"/>
      <c r="B21" s="95" t="s">
        <v>1223</v>
      </c>
      <c r="C21" s="204">
        <v>296</v>
      </c>
      <c r="D21" s="204">
        <v>39</v>
      </c>
      <c r="E21" s="204">
        <v>591</v>
      </c>
      <c r="F21" s="204">
        <v>926</v>
      </c>
      <c r="G21" s="204">
        <v>176</v>
      </c>
      <c r="H21" s="204">
        <v>13</v>
      </c>
      <c r="I21" s="204">
        <v>131</v>
      </c>
      <c r="J21" s="204">
        <v>46</v>
      </c>
      <c r="K21" s="204">
        <v>14</v>
      </c>
      <c r="L21" s="204">
        <v>25</v>
      </c>
      <c r="M21" s="204">
        <v>39</v>
      </c>
      <c r="N21" s="204">
        <v>116</v>
      </c>
      <c r="O21" s="204">
        <v>36</v>
      </c>
      <c r="P21" s="204">
        <v>22</v>
      </c>
      <c r="Q21" s="204">
        <v>149</v>
      </c>
      <c r="R21" s="204">
        <v>29</v>
      </c>
      <c r="S21" s="204" t="s">
        <v>65</v>
      </c>
      <c r="T21" s="204">
        <v>65</v>
      </c>
      <c r="U21" s="204">
        <v>685</v>
      </c>
      <c r="V21" s="204">
        <v>1788</v>
      </c>
    </row>
    <row r="22" spans="1:22" ht="14.25" customHeight="1" x14ac:dyDescent="0.3">
      <c r="A22" s="323"/>
      <c r="B22" s="95" t="s">
        <v>1224</v>
      </c>
      <c r="C22" s="204">
        <v>103</v>
      </c>
      <c r="D22" s="204">
        <v>46</v>
      </c>
      <c r="E22" s="204">
        <v>335</v>
      </c>
      <c r="F22" s="204">
        <v>484</v>
      </c>
      <c r="G22" s="204">
        <v>52</v>
      </c>
      <c r="H22" s="204">
        <v>23</v>
      </c>
      <c r="I22" s="204">
        <v>102</v>
      </c>
      <c r="J22" s="204">
        <v>24</v>
      </c>
      <c r="K22" s="204">
        <v>66</v>
      </c>
      <c r="L22" s="204">
        <v>2</v>
      </c>
      <c r="M22" s="204">
        <v>11</v>
      </c>
      <c r="N22" s="204">
        <v>131</v>
      </c>
      <c r="O22" s="204">
        <v>60</v>
      </c>
      <c r="P22" s="204">
        <v>35</v>
      </c>
      <c r="Q22" s="204">
        <v>183</v>
      </c>
      <c r="R22" s="204">
        <v>91</v>
      </c>
      <c r="S22" s="204">
        <v>2</v>
      </c>
      <c r="T22" s="204">
        <v>5</v>
      </c>
      <c r="U22" s="204">
        <v>734</v>
      </c>
      <c r="V22" s="204">
        <v>1269</v>
      </c>
    </row>
    <row r="23" spans="1:22" ht="14.25" customHeight="1" x14ac:dyDescent="0.3">
      <c r="A23" s="308"/>
      <c r="B23" s="98" t="s">
        <v>110</v>
      </c>
      <c r="C23" s="207">
        <v>524</v>
      </c>
      <c r="D23" s="207">
        <v>122</v>
      </c>
      <c r="E23" s="207">
        <v>993</v>
      </c>
      <c r="F23" s="207">
        <v>1639</v>
      </c>
      <c r="G23" s="207">
        <v>341</v>
      </c>
      <c r="H23" s="207">
        <v>47</v>
      </c>
      <c r="I23" s="207">
        <v>240</v>
      </c>
      <c r="J23" s="207">
        <v>77</v>
      </c>
      <c r="K23" s="207">
        <v>82</v>
      </c>
      <c r="L23" s="207">
        <v>28</v>
      </c>
      <c r="M23" s="207">
        <v>56</v>
      </c>
      <c r="N23" s="207">
        <v>250</v>
      </c>
      <c r="O23" s="207">
        <v>122</v>
      </c>
      <c r="P23" s="207">
        <v>57</v>
      </c>
      <c r="Q23" s="207">
        <v>337</v>
      </c>
      <c r="R23" s="207">
        <v>182</v>
      </c>
      <c r="S23" s="207">
        <v>2</v>
      </c>
      <c r="T23" s="207">
        <v>72</v>
      </c>
      <c r="U23" s="207">
        <v>1552</v>
      </c>
      <c r="V23" s="207">
        <v>3532</v>
      </c>
    </row>
    <row r="24" spans="1:22" ht="14.25" customHeight="1" x14ac:dyDescent="0.3">
      <c r="A24" s="307" t="s">
        <v>1357</v>
      </c>
      <c r="B24" s="95" t="s">
        <v>1225</v>
      </c>
      <c r="C24" s="204">
        <v>90</v>
      </c>
      <c r="D24" s="204">
        <v>5</v>
      </c>
      <c r="E24" s="204">
        <v>48</v>
      </c>
      <c r="F24" s="204">
        <v>144</v>
      </c>
      <c r="G24" s="204">
        <v>677</v>
      </c>
      <c r="H24" s="204">
        <v>70</v>
      </c>
      <c r="I24" s="204">
        <v>10</v>
      </c>
      <c r="J24" s="204">
        <v>16</v>
      </c>
      <c r="K24" s="204">
        <v>18</v>
      </c>
      <c r="L24" s="204">
        <v>1</v>
      </c>
      <c r="M24" s="204">
        <v>0</v>
      </c>
      <c r="N24" s="204">
        <v>28</v>
      </c>
      <c r="O24" s="204">
        <v>3</v>
      </c>
      <c r="P24" s="204">
        <v>1</v>
      </c>
      <c r="Q24" s="204">
        <v>222</v>
      </c>
      <c r="R24" s="204">
        <v>25</v>
      </c>
      <c r="S24" s="204" t="s">
        <v>65</v>
      </c>
      <c r="T24" s="204">
        <v>1</v>
      </c>
      <c r="U24" s="204">
        <v>393</v>
      </c>
      <c r="V24" s="204">
        <v>1214</v>
      </c>
    </row>
    <row r="25" spans="1:22" ht="14.25" customHeight="1" x14ac:dyDescent="0.3">
      <c r="A25" s="323"/>
      <c r="B25" s="95" t="s">
        <v>1226</v>
      </c>
      <c r="C25" s="204">
        <v>34</v>
      </c>
      <c r="D25" s="204">
        <v>2</v>
      </c>
      <c r="E25" s="204">
        <v>36</v>
      </c>
      <c r="F25" s="204">
        <v>71</v>
      </c>
      <c r="G25" s="204">
        <v>263</v>
      </c>
      <c r="H25" s="204">
        <v>3</v>
      </c>
      <c r="I25" s="204">
        <v>2</v>
      </c>
      <c r="J25" s="204">
        <v>2</v>
      </c>
      <c r="K25" s="204">
        <v>10</v>
      </c>
      <c r="L25" s="204">
        <v>1</v>
      </c>
      <c r="M25" s="204" t="s">
        <v>65</v>
      </c>
      <c r="N25" s="204">
        <v>4</v>
      </c>
      <c r="O25" s="204" t="s">
        <v>65</v>
      </c>
      <c r="P25" s="204">
        <v>1</v>
      </c>
      <c r="Q25" s="204">
        <v>3</v>
      </c>
      <c r="R25" s="204">
        <v>11</v>
      </c>
      <c r="S25" s="204" t="s">
        <v>65</v>
      </c>
      <c r="T25" s="204" t="s">
        <v>65</v>
      </c>
      <c r="U25" s="204">
        <v>37</v>
      </c>
      <c r="V25" s="204">
        <v>372</v>
      </c>
    </row>
    <row r="26" spans="1:22" ht="14.25" customHeight="1" x14ac:dyDescent="0.3">
      <c r="A26" s="308"/>
      <c r="B26" s="98" t="s">
        <v>110</v>
      </c>
      <c r="C26" s="207">
        <v>124</v>
      </c>
      <c r="D26" s="207">
        <v>7</v>
      </c>
      <c r="E26" s="207">
        <v>84</v>
      </c>
      <c r="F26" s="207">
        <v>215</v>
      </c>
      <c r="G26" s="207">
        <v>940</v>
      </c>
      <c r="H26" s="207">
        <v>73</v>
      </c>
      <c r="I26" s="207">
        <v>12</v>
      </c>
      <c r="J26" s="207">
        <v>19</v>
      </c>
      <c r="K26" s="207">
        <v>28</v>
      </c>
      <c r="L26" s="207">
        <v>2</v>
      </c>
      <c r="M26" s="207">
        <v>0</v>
      </c>
      <c r="N26" s="207">
        <v>32</v>
      </c>
      <c r="O26" s="207">
        <v>3</v>
      </c>
      <c r="P26" s="207">
        <v>2</v>
      </c>
      <c r="Q26" s="207">
        <v>225</v>
      </c>
      <c r="R26" s="207">
        <v>36</v>
      </c>
      <c r="S26" s="207">
        <v>0</v>
      </c>
      <c r="T26" s="207">
        <v>1</v>
      </c>
      <c r="U26" s="207">
        <v>431</v>
      </c>
      <c r="V26" s="207">
        <v>1586</v>
      </c>
    </row>
    <row r="27" spans="1:22" ht="14.25" customHeight="1" x14ac:dyDescent="0.3">
      <c r="A27" s="307" t="s">
        <v>1358</v>
      </c>
      <c r="B27" s="95" t="s">
        <v>1227</v>
      </c>
      <c r="C27" s="204">
        <v>907</v>
      </c>
      <c r="D27" s="204">
        <v>24</v>
      </c>
      <c r="E27" s="204">
        <v>270</v>
      </c>
      <c r="F27" s="204">
        <v>1202</v>
      </c>
      <c r="G27" s="204">
        <v>739</v>
      </c>
      <c r="H27" s="204">
        <v>65</v>
      </c>
      <c r="I27" s="204">
        <v>46</v>
      </c>
      <c r="J27" s="204">
        <v>87</v>
      </c>
      <c r="K27" s="204">
        <v>27</v>
      </c>
      <c r="L27" s="204">
        <v>79</v>
      </c>
      <c r="M27" s="204">
        <v>199</v>
      </c>
      <c r="N27" s="204">
        <v>29</v>
      </c>
      <c r="O27" s="204">
        <v>158</v>
      </c>
      <c r="P27" s="204">
        <v>6</v>
      </c>
      <c r="Q27" s="204">
        <v>73</v>
      </c>
      <c r="R27" s="204">
        <v>58</v>
      </c>
      <c r="S27" s="204">
        <v>28</v>
      </c>
      <c r="T27" s="204">
        <v>25</v>
      </c>
      <c r="U27" s="204">
        <v>880</v>
      </c>
      <c r="V27" s="204">
        <v>2821</v>
      </c>
    </row>
    <row r="28" spans="1:22" ht="14.25" customHeight="1" x14ac:dyDescent="0.3">
      <c r="A28" s="323"/>
      <c r="B28" s="95" t="s">
        <v>1228</v>
      </c>
      <c r="C28" s="204">
        <v>1740</v>
      </c>
      <c r="D28" s="204">
        <v>68</v>
      </c>
      <c r="E28" s="204">
        <v>573</v>
      </c>
      <c r="F28" s="204">
        <v>2382</v>
      </c>
      <c r="G28" s="204">
        <v>858</v>
      </c>
      <c r="H28" s="204">
        <v>203</v>
      </c>
      <c r="I28" s="204">
        <v>212</v>
      </c>
      <c r="J28" s="204">
        <v>156</v>
      </c>
      <c r="K28" s="204">
        <v>73</v>
      </c>
      <c r="L28" s="204">
        <v>188</v>
      </c>
      <c r="M28" s="204">
        <v>75</v>
      </c>
      <c r="N28" s="204">
        <v>92</v>
      </c>
      <c r="O28" s="204">
        <v>81</v>
      </c>
      <c r="P28" s="204">
        <v>53</v>
      </c>
      <c r="Q28" s="204">
        <v>99</v>
      </c>
      <c r="R28" s="204">
        <v>81</v>
      </c>
      <c r="S28" s="204">
        <v>15</v>
      </c>
      <c r="T28" s="204">
        <v>20</v>
      </c>
      <c r="U28" s="204">
        <v>1349</v>
      </c>
      <c r="V28" s="204">
        <v>4589</v>
      </c>
    </row>
    <row r="29" spans="1:22" ht="14.25" customHeight="1" x14ac:dyDescent="0.3">
      <c r="A29" s="323"/>
      <c r="B29" s="95" t="s">
        <v>1229</v>
      </c>
      <c r="C29" s="204">
        <v>2710</v>
      </c>
      <c r="D29" s="204">
        <v>94</v>
      </c>
      <c r="E29" s="204">
        <v>873</v>
      </c>
      <c r="F29" s="204">
        <v>3677</v>
      </c>
      <c r="G29" s="204">
        <v>945</v>
      </c>
      <c r="H29" s="204">
        <v>230</v>
      </c>
      <c r="I29" s="204">
        <v>284</v>
      </c>
      <c r="J29" s="204">
        <v>220</v>
      </c>
      <c r="K29" s="204">
        <v>270</v>
      </c>
      <c r="L29" s="204">
        <v>186</v>
      </c>
      <c r="M29" s="204">
        <v>221</v>
      </c>
      <c r="N29" s="204">
        <v>179</v>
      </c>
      <c r="O29" s="204">
        <v>263</v>
      </c>
      <c r="P29" s="204">
        <v>42</v>
      </c>
      <c r="Q29" s="204">
        <v>263</v>
      </c>
      <c r="R29" s="204">
        <v>113</v>
      </c>
      <c r="S29" s="204">
        <v>35</v>
      </c>
      <c r="T29" s="204">
        <v>13</v>
      </c>
      <c r="U29" s="204">
        <v>2320</v>
      </c>
      <c r="V29" s="204">
        <v>6942</v>
      </c>
    </row>
    <row r="30" spans="1:22" ht="14.25" customHeight="1" x14ac:dyDescent="0.3">
      <c r="A30" s="323"/>
      <c r="B30" s="95" t="s">
        <v>1230</v>
      </c>
      <c r="C30" s="204">
        <v>804</v>
      </c>
      <c r="D30" s="204">
        <v>55</v>
      </c>
      <c r="E30" s="204">
        <v>288</v>
      </c>
      <c r="F30" s="204">
        <v>1148</v>
      </c>
      <c r="G30" s="204">
        <v>781</v>
      </c>
      <c r="H30" s="204">
        <v>82</v>
      </c>
      <c r="I30" s="204">
        <v>115</v>
      </c>
      <c r="J30" s="204">
        <v>129</v>
      </c>
      <c r="K30" s="204">
        <v>75</v>
      </c>
      <c r="L30" s="204">
        <v>78</v>
      </c>
      <c r="M30" s="204">
        <v>80</v>
      </c>
      <c r="N30" s="204">
        <v>65</v>
      </c>
      <c r="O30" s="204">
        <v>91</v>
      </c>
      <c r="P30" s="204">
        <v>27</v>
      </c>
      <c r="Q30" s="204">
        <v>75</v>
      </c>
      <c r="R30" s="204">
        <v>93</v>
      </c>
      <c r="S30" s="204">
        <v>27</v>
      </c>
      <c r="T30" s="204">
        <v>19</v>
      </c>
      <c r="U30" s="204">
        <v>955</v>
      </c>
      <c r="V30" s="204">
        <v>2884</v>
      </c>
    </row>
    <row r="31" spans="1:22" ht="14.25" customHeight="1" x14ac:dyDescent="0.3">
      <c r="A31" s="308"/>
      <c r="B31" s="98" t="s">
        <v>110</v>
      </c>
      <c r="C31" s="207">
        <v>6162</v>
      </c>
      <c r="D31" s="207">
        <v>242</v>
      </c>
      <c r="E31" s="207">
        <v>2004</v>
      </c>
      <c r="F31" s="207">
        <v>8408</v>
      </c>
      <c r="G31" s="207">
        <v>3324</v>
      </c>
      <c r="H31" s="207">
        <v>581</v>
      </c>
      <c r="I31" s="207">
        <v>657</v>
      </c>
      <c r="J31" s="207">
        <v>592</v>
      </c>
      <c r="K31" s="207">
        <v>445</v>
      </c>
      <c r="L31" s="207">
        <v>531</v>
      </c>
      <c r="M31" s="207">
        <v>575</v>
      </c>
      <c r="N31" s="207">
        <v>365</v>
      </c>
      <c r="O31" s="207">
        <v>594</v>
      </c>
      <c r="P31" s="207">
        <v>128</v>
      </c>
      <c r="Q31" s="207">
        <v>510</v>
      </c>
      <c r="R31" s="207">
        <v>345</v>
      </c>
      <c r="S31" s="207">
        <v>105</v>
      </c>
      <c r="T31" s="207">
        <v>77</v>
      </c>
      <c r="U31" s="207">
        <v>5504</v>
      </c>
      <c r="V31" s="207">
        <v>17236</v>
      </c>
    </row>
    <row r="32" spans="1:22" ht="14.25" customHeight="1" x14ac:dyDescent="0.3">
      <c r="A32" s="307" t="s">
        <v>1359</v>
      </c>
      <c r="B32" s="95" t="s">
        <v>1231</v>
      </c>
      <c r="C32" s="204">
        <v>31</v>
      </c>
      <c r="D32" s="204">
        <v>4</v>
      </c>
      <c r="E32" s="204">
        <v>76</v>
      </c>
      <c r="F32" s="204">
        <v>111</v>
      </c>
      <c r="G32" s="204">
        <v>98</v>
      </c>
      <c r="H32" s="204">
        <v>1</v>
      </c>
      <c r="I32" s="204" t="s">
        <v>65</v>
      </c>
      <c r="J32" s="204">
        <v>1</v>
      </c>
      <c r="K32" s="204">
        <v>0</v>
      </c>
      <c r="L32" s="204" t="s">
        <v>65</v>
      </c>
      <c r="M32" s="204">
        <v>13</v>
      </c>
      <c r="N32" s="204">
        <v>0</v>
      </c>
      <c r="O32" s="204" t="s">
        <v>65</v>
      </c>
      <c r="P32" s="204" t="s">
        <v>65</v>
      </c>
      <c r="Q32" s="204" t="s">
        <v>65</v>
      </c>
      <c r="R32" s="204">
        <v>8</v>
      </c>
      <c r="S32" s="204" t="s">
        <v>65</v>
      </c>
      <c r="T32" s="204">
        <v>3</v>
      </c>
      <c r="U32" s="204">
        <v>28</v>
      </c>
      <c r="V32" s="204">
        <v>237</v>
      </c>
    </row>
    <row r="33" spans="1:22" ht="14.25" customHeight="1" x14ac:dyDescent="0.3">
      <c r="A33" s="323"/>
      <c r="B33" s="95" t="s">
        <v>1232</v>
      </c>
      <c r="C33" s="204">
        <v>4</v>
      </c>
      <c r="D33" s="204">
        <v>1</v>
      </c>
      <c r="E33" s="204">
        <v>9</v>
      </c>
      <c r="F33" s="204">
        <v>13</v>
      </c>
      <c r="G33" s="204">
        <v>378</v>
      </c>
      <c r="H33" s="204">
        <v>4</v>
      </c>
      <c r="I33" s="204" t="s">
        <v>65</v>
      </c>
      <c r="J33" s="204" t="s">
        <v>65</v>
      </c>
      <c r="K33" s="204" t="s">
        <v>65</v>
      </c>
      <c r="L33" s="204" t="s">
        <v>65</v>
      </c>
      <c r="M33" s="204" t="s">
        <v>65</v>
      </c>
      <c r="N33" s="204" t="s">
        <v>65</v>
      </c>
      <c r="O33" s="204">
        <v>1</v>
      </c>
      <c r="P33" s="204" t="s">
        <v>65</v>
      </c>
      <c r="Q33" s="204">
        <v>0</v>
      </c>
      <c r="R33" s="204" t="s">
        <v>65</v>
      </c>
      <c r="S33" s="204" t="s">
        <v>65</v>
      </c>
      <c r="T33" s="204" t="s">
        <v>65</v>
      </c>
      <c r="U33" s="204">
        <v>5</v>
      </c>
      <c r="V33" s="204">
        <v>396</v>
      </c>
    </row>
    <row r="34" spans="1:22" ht="14.25" customHeight="1" x14ac:dyDescent="0.3">
      <c r="A34" s="323"/>
      <c r="B34" s="95" t="s">
        <v>1233</v>
      </c>
      <c r="C34" s="204">
        <v>155</v>
      </c>
      <c r="D34" s="204">
        <v>16</v>
      </c>
      <c r="E34" s="204">
        <v>136</v>
      </c>
      <c r="F34" s="204">
        <v>307</v>
      </c>
      <c r="G34" s="204">
        <v>3841</v>
      </c>
      <c r="H34" s="204">
        <v>15</v>
      </c>
      <c r="I34" s="204">
        <v>8</v>
      </c>
      <c r="J34" s="204">
        <v>0</v>
      </c>
      <c r="K34" s="204">
        <v>1</v>
      </c>
      <c r="L34" s="204">
        <v>38</v>
      </c>
      <c r="M34" s="204">
        <v>9</v>
      </c>
      <c r="N34" s="204">
        <v>56</v>
      </c>
      <c r="O34" s="204">
        <v>10</v>
      </c>
      <c r="P34" s="204">
        <v>1</v>
      </c>
      <c r="Q34" s="204">
        <v>76</v>
      </c>
      <c r="R34" s="204">
        <v>147</v>
      </c>
      <c r="S34" s="204">
        <v>2</v>
      </c>
      <c r="T34" s="204">
        <v>17</v>
      </c>
      <c r="U34" s="204">
        <v>380</v>
      </c>
      <c r="V34" s="204">
        <v>4528</v>
      </c>
    </row>
    <row r="35" spans="1:22" ht="14.25" customHeight="1" x14ac:dyDescent="0.3">
      <c r="A35" s="323"/>
      <c r="B35" s="95" t="s">
        <v>1234</v>
      </c>
      <c r="C35" s="204">
        <v>16</v>
      </c>
      <c r="D35" s="204">
        <v>3</v>
      </c>
      <c r="E35" s="204">
        <v>15</v>
      </c>
      <c r="F35" s="204">
        <v>33</v>
      </c>
      <c r="G35" s="204">
        <v>577</v>
      </c>
      <c r="H35" s="204">
        <v>10</v>
      </c>
      <c r="I35" s="204">
        <v>4</v>
      </c>
      <c r="J35" s="204">
        <v>4</v>
      </c>
      <c r="K35" s="204">
        <v>1</v>
      </c>
      <c r="L35" s="204">
        <v>5</v>
      </c>
      <c r="M35" s="204">
        <v>0</v>
      </c>
      <c r="N35" s="204">
        <v>30</v>
      </c>
      <c r="O35" s="204">
        <v>251</v>
      </c>
      <c r="P35" s="204">
        <v>3</v>
      </c>
      <c r="Q35" s="204">
        <v>38</v>
      </c>
      <c r="R35" s="204">
        <v>603</v>
      </c>
      <c r="S35" s="204" t="s">
        <v>65</v>
      </c>
      <c r="T35" s="204" t="s">
        <v>65</v>
      </c>
      <c r="U35" s="204">
        <v>951</v>
      </c>
      <c r="V35" s="204">
        <v>1561</v>
      </c>
    </row>
    <row r="36" spans="1:22" ht="14.25" customHeight="1" x14ac:dyDescent="0.3">
      <c r="A36" s="323"/>
      <c r="B36" s="95" t="s">
        <v>1235</v>
      </c>
      <c r="C36" s="204">
        <v>69</v>
      </c>
      <c r="D36" s="204">
        <v>20</v>
      </c>
      <c r="E36" s="204">
        <v>27</v>
      </c>
      <c r="F36" s="204">
        <v>117</v>
      </c>
      <c r="G36" s="204">
        <v>624</v>
      </c>
      <c r="H36" s="204">
        <v>123</v>
      </c>
      <c r="I36" s="204">
        <v>24</v>
      </c>
      <c r="J36" s="204">
        <v>21</v>
      </c>
      <c r="K36" s="204">
        <v>5</v>
      </c>
      <c r="L36" s="204">
        <v>13</v>
      </c>
      <c r="M36" s="204">
        <v>1</v>
      </c>
      <c r="N36" s="204">
        <v>17</v>
      </c>
      <c r="O36" s="204">
        <v>13</v>
      </c>
      <c r="P36" s="204">
        <v>2</v>
      </c>
      <c r="Q36" s="204">
        <v>48</v>
      </c>
      <c r="R36" s="204">
        <v>13</v>
      </c>
      <c r="S36" s="204">
        <v>134</v>
      </c>
      <c r="T36" s="204" t="s">
        <v>65</v>
      </c>
      <c r="U36" s="204">
        <v>415</v>
      </c>
      <c r="V36" s="204">
        <v>1156</v>
      </c>
    </row>
    <row r="37" spans="1:22" ht="14.25" customHeight="1" x14ac:dyDescent="0.3">
      <c r="A37" s="308"/>
      <c r="B37" s="98" t="s">
        <v>110</v>
      </c>
      <c r="C37" s="207">
        <v>275</v>
      </c>
      <c r="D37" s="207">
        <v>43</v>
      </c>
      <c r="E37" s="207">
        <v>263</v>
      </c>
      <c r="F37" s="207">
        <v>581</v>
      </c>
      <c r="G37" s="207">
        <v>5518</v>
      </c>
      <c r="H37" s="207">
        <v>153</v>
      </c>
      <c r="I37" s="207">
        <v>37</v>
      </c>
      <c r="J37" s="207">
        <v>27</v>
      </c>
      <c r="K37" s="207">
        <v>7</v>
      </c>
      <c r="L37" s="207">
        <v>56</v>
      </c>
      <c r="M37" s="207">
        <v>24</v>
      </c>
      <c r="N37" s="207">
        <v>104</v>
      </c>
      <c r="O37" s="207">
        <v>275</v>
      </c>
      <c r="P37" s="207">
        <v>6</v>
      </c>
      <c r="Q37" s="207">
        <v>163</v>
      </c>
      <c r="R37" s="207">
        <v>771</v>
      </c>
      <c r="S37" s="207">
        <v>136</v>
      </c>
      <c r="T37" s="207">
        <v>20</v>
      </c>
      <c r="U37" s="207">
        <v>1779</v>
      </c>
      <c r="V37" s="207">
        <v>7878</v>
      </c>
    </row>
    <row r="38" spans="1:22" ht="14.25" customHeight="1" x14ac:dyDescent="0.3">
      <c r="A38" s="307" t="s">
        <v>466</v>
      </c>
      <c r="B38" s="95" t="s">
        <v>1236</v>
      </c>
      <c r="C38" s="204">
        <v>149</v>
      </c>
      <c r="D38" s="204">
        <v>23</v>
      </c>
      <c r="E38" s="204">
        <v>78</v>
      </c>
      <c r="F38" s="204">
        <v>251</v>
      </c>
      <c r="G38" s="204">
        <v>374</v>
      </c>
      <c r="H38" s="204">
        <v>56</v>
      </c>
      <c r="I38" s="204">
        <v>8</v>
      </c>
      <c r="J38" s="204">
        <v>19</v>
      </c>
      <c r="K38" s="204">
        <v>26</v>
      </c>
      <c r="L38" s="204">
        <v>3</v>
      </c>
      <c r="M38" s="204">
        <v>23</v>
      </c>
      <c r="N38" s="204">
        <v>56</v>
      </c>
      <c r="O38" s="204">
        <v>18</v>
      </c>
      <c r="P38" s="204">
        <v>20</v>
      </c>
      <c r="Q38" s="204">
        <v>19</v>
      </c>
      <c r="R38" s="204">
        <v>113</v>
      </c>
      <c r="S38" s="204">
        <v>2</v>
      </c>
      <c r="T38" s="204" t="s">
        <v>65</v>
      </c>
      <c r="U38" s="204">
        <v>365</v>
      </c>
      <c r="V38" s="204">
        <v>989</v>
      </c>
    </row>
    <row r="39" spans="1:22" ht="14.25" customHeight="1" x14ac:dyDescent="0.3">
      <c r="A39" s="323"/>
      <c r="B39" s="95" t="s">
        <v>1237</v>
      </c>
      <c r="C39" s="204">
        <v>85</v>
      </c>
      <c r="D39" s="204">
        <v>32</v>
      </c>
      <c r="E39" s="204">
        <v>51</v>
      </c>
      <c r="F39" s="204">
        <v>169</v>
      </c>
      <c r="G39" s="204">
        <v>290</v>
      </c>
      <c r="H39" s="204">
        <v>61</v>
      </c>
      <c r="I39" s="204">
        <v>13</v>
      </c>
      <c r="J39" s="204">
        <v>8</v>
      </c>
      <c r="K39" s="204">
        <v>18</v>
      </c>
      <c r="L39" s="204">
        <v>14</v>
      </c>
      <c r="M39" s="204">
        <v>7</v>
      </c>
      <c r="N39" s="204">
        <v>36</v>
      </c>
      <c r="O39" s="204">
        <v>4</v>
      </c>
      <c r="P39" s="204">
        <v>2</v>
      </c>
      <c r="Q39" s="204">
        <v>54</v>
      </c>
      <c r="R39" s="204">
        <v>49</v>
      </c>
      <c r="S39" s="204" t="s">
        <v>65</v>
      </c>
      <c r="T39" s="204">
        <v>1</v>
      </c>
      <c r="U39" s="204">
        <v>265</v>
      </c>
      <c r="V39" s="204">
        <v>724</v>
      </c>
    </row>
    <row r="40" spans="1:22" ht="14.25" customHeight="1" x14ac:dyDescent="0.3">
      <c r="A40" s="323"/>
      <c r="B40" s="95" t="s">
        <v>1238</v>
      </c>
      <c r="C40" s="204">
        <v>283</v>
      </c>
      <c r="D40" s="204">
        <v>22</v>
      </c>
      <c r="E40" s="204">
        <v>71</v>
      </c>
      <c r="F40" s="204">
        <v>377</v>
      </c>
      <c r="G40" s="204">
        <v>211</v>
      </c>
      <c r="H40" s="204">
        <v>52</v>
      </c>
      <c r="I40" s="204">
        <v>23</v>
      </c>
      <c r="J40" s="204">
        <v>44</v>
      </c>
      <c r="K40" s="204">
        <v>90</v>
      </c>
      <c r="L40" s="204">
        <v>6</v>
      </c>
      <c r="M40" s="204">
        <v>6</v>
      </c>
      <c r="N40" s="204">
        <v>19</v>
      </c>
      <c r="O40" s="204">
        <v>68</v>
      </c>
      <c r="P40" s="204">
        <v>9</v>
      </c>
      <c r="Q40" s="204">
        <v>32</v>
      </c>
      <c r="R40" s="204">
        <v>51</v>
      </c>
      <c r="S40" s="204">
        <v>40</v>
      </c>
      <c r="T40" s="204">
        <v>2</v>
      </c>
      <c r="U40" s="204">
        <v>444</v>
      </c>
      <c r="V40" s="204">
        <v>1031</v>
      </c>
    </row>
    <row r="41" spans="1:22" ht="14.25" customHeight="1" x14ac:dyDescent="0.3">
      <c r="A41" s="308"/>
      <c r="B41" s="98" t="s">
        <v>110</v>
      </c>
      <c r="C41" s="207">
        <v>518</v>
      </c>
      <c r="D41" s="207">
        <v>78</v>
      </c>
      <c r="E41" s="207">
        <v>201</v>
      </c>
      <c r="F41" s="207">
        <v>796</v>
      </c>
      <c r="G41" s="207">
        <v>874</v>
      </c>
      <c r="H41" s="207">
        <v>169</v>
      </c>
      <c r="I41" s="207">
        <v>44</v>
      </c>
      <c r="J41" s="207">
        <v>72</v>
      </c>
      <c r="K41" s="207">
        <v>135</v>
      </c>
      <c r="L41" s="207">
        <v>23</v>
      </c>
      <c r="M41" s="207">
        <v>36</v>
      </c>
      <c r="N41" s="207">
        <v>111</v>
      </c>
      <c r="O41" s="207">
        <v>90</v>
      </c>
      <c r="P41" s="207">
        <v>32</v>
      </c>
      <c r="Q41" s="207">
        <v>105</v>
      </c>
      <c r="R41" s="207">
        <v>213</v>
      </c>
      <c r="S41" s="207">
        <v>42</v>
      </c>
      <c r="T41" s="207">
        <v>3</v>
      </c>
      <c r="U41" s="207">
        <v>1074</v>
      </c>
      <c r="V41" s="207">
        <v>2744</v>
      </c>
    </row>
    <row r="42" spans="1:22" ht="14.25" customHeight="1" x14ac:dyDescent="0.3">
      <c r="A42" s="307" t="s">
        <v>467</v>
      </c>
      <c r="B42" s="95" t="s">
        <v>1239</v>
      </c>
      <c r="C42" s="204">
        <v>100</v>
      </c>
      <c r="D42" s="204">
        <v>5</v>
      </c>
      <c r="E42" s="204">
        <v>42</v>
      </c>
      <c r="F42" s="204">
        <v>147</v>
      </c>
      <c r="G42" s="204">
        <v>154</v>
      </c>
      <c r="H42" s="204">
        <v>17</v>
      </c>
      <c r="I42" s="204">
        <v>7</v>
      </c>
      <c r="J42" s="204">
        <v>11</v>
      </c>
      <c r="K42" s="204" t="s">
        <v>65</v>
      </c>
      <c r="L42" s="204">
        <v>2</v>
      </c>
      <c r="M42" s="204" t="s">
        <v>65</v>
      </c>
      <c r="N42" s="204">
        <v>3</v>
      </c>
      <c r="O42" s="204">
        <v>0</v>
      </c>
      <c r="P42" s="204">
        <v>0</v>
      </c>
      <c r="Q42" s="204">
        <v>3</v>
      </c>
      <c r="R42" s="204" t="s">
        <v>65</v>
      </c>
      <c r="S42" s="204">
        <v>2</v>
      </c>
      <c r="T42" s="204">
        <v>1</v>
      </c>
      <c r="U42" s="204">
        <v>46</v>
      </c>
      <c r="V42" s="204">
        <v>348</v>
      </c>
    </row>
    <row r="43" spans="1:22" ht="14.25" customHeight="1" x14ac:dyDescent="0.3">
      <c r="A43" s="323"/>
      <c r="B43" s="95" t="s">
        <v>1240</v>
      </c>
      <c r="C43" s="204">
        <v>443</v>
      </c>
      <c r="D43" s="204">
        <v>2</v>
      </c>
      <c r="E43" s="204">
        <v>83</v>
      </c>
      <c r="F43" s="204">
        <v>528</v>
      </c>
      <c r="G43" s="204">
        <v>389</v>
      </c>
      <c r="H43" s="204">
        <v>25</v>
      </c>
      <c r="I43" s="204">
        <v>10</v>
      </c>
      <c r="J43" s="204">
        <v>32</v>
      </c>
      <c r="K43" s="204">
        <v>2</v>
      </c>
      <c r="L43" s="204">
        <v>8</v>
      </c>
      <c r="M43" s="204">
        <v>24</v>
      </c>
      <c r="N43" s="204">
        <v>10</v>
      </c>
      <c r="O43" s="204">
        <v>4</v>
      </c>
      <c r="P43" s="204">
        <v>46</v>
      </c>
      <c r="Q43" s="204">
        <v>23</v>
      </c>
      <c r="R43" s="204">
        <v>2</v>
      </c>
      <c r="S43" s="204">
        <v>4</v>
      </c>
      <c r="T43" s="204">
        <v>13</v>
      </c>
      <c r="U43" s="204">
        <v>202</v>
      </c>
      <c r="V43" s="204">
        <v>1119</v>
      </c>
    </row>
    <row r="44" spans="1:22" ht="14.25" customHeight="1" x14ac:dyDescent="0.3">
      <c r="A44" s="323"/>
      <c r="B44" s="95" t="s">
        <v>1241</v>
      </c>
      <c r="C44" s="204">
        <v>191</v>
      </c>
      <c r="D44" s="204" t="s">
        <v>65</v>
      </c>
      <c r="E44" s="204">
        <v>108</v>
      </c>
      <c r="F44" s="204">
        <v>300</v>
      </c>
      <c r="G44" s="204">
        <v>169</v>
      </c>
      <c r="H44" s="204" t="s">
        <v>65</v>
      </c>
      <c r="I44" s="204">
        <v>1</v>
      </c>
      <c r="J44" s="204">
        <v>2</v>
      </c>
      <c r="K44" s="204">
        <v>3</v>
      </c>
      <c r="L44" s="204" t="s">
        <v>65</v>
      </c>
      <c r="M44" s="204" t="s">
        <v>65</v>
      </c>
      <c r="N44" s="204">
        <v>0</v>
      </c>
      <c r="O44" s="204" t="s">
        <v>65</v>
      </c>
      <c r="P44" s="204">
        <v>9</v>
      </c>
      <c r="Q44" s="204">
        <v>20</v>
      </c>
      <c r="R44" s="204" t="s">
        <v>65</v>
      </c>
      <c r="S44" s="204" t="s">
        <v>65</v>
      </c>
      <c r="T44" s="204" t="s">
        <v>65</v>
      </c>
      <c r="U44" s="204">
        <v>35</v>
      </c>
      <c r="V44" s="204">
        <v>504</v>
      </c>
    </row>
    <row r="45" spans="1:22" ht="14.25" customHeight="1" x14ac:dyDescent="0.3">
      <c r="A45" s="323"/>
      <c r="B45" s="95" t="s">
        <v>1242</v>
      </c>
      <c r="C45" s="204">
        <v>122</v>
      </c>
      <c r="D45" s="204" t="s">
        <v>65</v>
      </c>
      <c r="E45" s="204">
        <v>39</v>
      </c>
      <c r="F45" s="204">
        <v>162</v>
      </c>
      <c r="G45" s="204">
        <v>201</v>
      </c>
      <c r="H45" s="204">
        <v>19</v>
      </c>
      <c r="I45" s="204">
        <v>3</v>
      </c>
      <c r="J45" s="204">
        <v>8</v>
      </c>
      <c r="K45" s="204" t="s">
        <v>65</v>
      </c>
      <c r="L45" s="204">
        <v>7</v>
      </c>
      <c r="M45" s="204">
        <v>1</v>
      </c>
      <c r="N45" s="204">
        <v>5</v>
      </c>
      <c r="O45" s="204" t="s">
        <v>65</v>
      </c>
      <c r="P45" s="204">
        <v>40</v>
      </c>
      <c r="Q45" s="204">
        <v>0</v>
      </c>
      <c r="R45" s="204">
        <v>3</v>
      </c>
      <c r="S45" s="204">
        <v>28</v>
      </c>
      <c r="T45" s="204">
        <v>1</v>
      </c>
      <c r="U45" s="204">
        <v>116</v>
      </c>
      <c r="V45" s="204">
        <v>479</v>
      </c>
    </row>
    <row r="46" spans="1:22" ht="14.25" customHeight="1" x14ac:dyDescent="0.3">
      <c r="A46" s="308"/>
      <c r="B46" s="98" t="s">
        <v>110</v>
      </c>
      <c r="C46" s="207">
        <v>856</v>
      </c>
      <c r="D46" s="207">
        <v>7</v>
      </c>
      <c r="E46" s="207">
        <v>274</v>
      </c>
      <c r="F46" s="207">
        <v>1137</v>
      </c>
      <c r="G46" s="207">
        <v>913</v>
      </c>
      <c r="H46" s="207">
        <v>60</v>
      </c>
      <c r="I46" s="207">
        <v>21</v>
      </c>
      <c r="J46" s="207">
        <v>53</v>
      </c>
      <c r="K46" s="207">
        <v>5</v>
      </c>
      <c r="L46" s="207">
        <v>16</v>
      </c>
      <c r="M46" s="207">
        <v>25</v>
      </c>
      <c r="N46" s="207">
        <v>19</v>
      </c>
      <c r="O46" s="207">
        <v>4</v>
      </c>
      <c r="P46" s="207">
        <v>96</v>
      </c>
      <c r="Q46" s="207">
        <v>47</v>
      </c>
      <c r="R46" s="207">
        <v>5</v>
      </c>
      <c r="S46" s="207">
        <v>34</v>
      </c>
      <c r="T46" s="207">
        <v>15</v>
      </c>
      <c r="U46" s="207">
        <v>400</v>
      </c>
      <c r="V46" s="207">
        <v>2449</v>
      </c>
    </row>
    <row r="47" spans="1:22" ht="14.25" customHeight="1" x14ac:dyDescent="0.3">
      <c r="A47" s="307" t="s">
        <v>468</v>
      </c>
      <c r="B47" s="95" t="s">
        <v>1243</v>
      </c>
      <c r="C47" s="204">
        <v>1331</v>
      </c>
      <c r="D47" s="204">
        <v>128</v>
      </c>
      <c r="E47" s="204">
        <v>817</v>
      </c>
      <c r="F47" s="204">
        <v>2277</v>
      </c>
      <c r="G47" s="204">
        <v>588</v>
      </c>
      <c r="H47" s="204">
        <v>185</v>
      </c>
      <c r="I47" s="204">
        <v>200</v>
      </c>
      <c r="J47" s="204">
        <v>137</v>
      </c>
      <c r="K47" s="204">
        <v>158</v>
      </c>
      <c r="L47" s="204">
        <v>42</v>
      </c>
      <c r="M47" s="204">
        <v>40</v>
      </c>
      <c r="N47" s="204">
        <v>976</v>
      </c>
      <c r="O47" s="204">
        <v>32</v>
      </c>
      <c r="P47" s="204">
        <v>58</v>
      </c>
      <c r="Q47" s="204">
        <v>179</v>
      </c>
      <c r="R47" s="204">
        <v>66</v>
      </c>
      <c r="S47" s="204">
        <v>19</v>
      </c>
      <c r="T47" s="204">
        <v>15</v>
      </c>
      <c r="U47" s="204">
        <v>2105</v>
      </c>
      <c r="V47" s="204">
        <v>4971</v>
      </c>
    </row>
    <row r="48" spans="1:22" ht="14.25" customHeight="1" x14ac:dyDescent="0.3">
      <c r="A48" s="323"/>
      <c r="B48" s="95" t="s">
        <v>1244</v>
      </c>
      <c r="C48" s="204">
        <v>419</v>
      </c>
      <c r="D48" s="204">
        <v>21</v>
      </c>
      <c r="E48" s="204">
        <v>216</v>
      </c>
      <c r="F48" s="204">
        <v>656</v>
      </c>
      <c r="G48" s="204">
        <v>485</v>
      </c>
      <c r="H48" s="204">
        <v>35</v>
      </c>
      <c r="I48" s="204">
        <v>18</v>
      </c>
      <c r="J48" s="204">
        <v>17</v>
      </c>
      <c r="K48" s="204">
        <v>32</v>
      </c>
      <c r="L48" s="204">
        <v>38</v>
      </c>
      <c r="M48" s="204">
        <v>11</v>
      </c>
      <c r="N48" s="204">
        <v>20</v>
      </c>
      <c r="O48" s="204">
        <v>12</v>
      </c>
      <c r="P48" s="204">
        <v>4</v>
      </c>
      <c r="Q48" s="204">
        <v>67</v>
      </c>
      <c r="R48" s="204">
        <v>35</v>
      </c>
      <c r="S48" s="204">
        <v>13</v>
      </c>
      <c r="T48" s="204">
        <v>6</v>
      </c>
      <c r="U48" s="204">
        <v>309</v>
      </c>
      <c r="V48" s="204">
        <v>1450</v>
      </c>
    </row>
    <row r="49" spans="1:22" ht="14.25" customHeight="1" x14ac:dyDescent="0.3">
      <c r="A49" s="323"/>
      <c r="B49" s="95" t="s">
        <v>1245</v>
      </c>
      <c r="C49" s="204">
        <v>1437</v>
      </c>
      <c r="D49" s="204">
        <v>43</v>
      </c>
      <c r="E49" s="204">
        <v>866</v>
      </c>
      <c r="F49" s="204">
        <v>2346</v>
      </c>
      <c r="G49" s="204">
        <v>765</v>
      </c>
      <c r="H49" s="204">
        <v>68</v>
      </c>
      <c r="I49" s="204">
        <v>128</v>
      </c>
      <c r="J49" s="204">
        <v>90</v>
      </c>
      <c r="K49" s="204">
        <v>45</v>
      </c>
      <c r="L49" s="204">
        <v>56</v>
      </c>
      <c r="M49" s="204">
        <v>16</v>
      </c>
      <c r="N49" s="204">
        <v>38</v>
      </c>
      <c r="O49" s="204">
        <v>40</v>
      </c>
      <c r="P49" s="204">
        <v>6</v>
      </c>
      <c r="Q49" s="204">
        <v>77</v>
      </c>
      <c r="R49" s="204">
        <v>62</v>
      </c>
      <c r="S49" s="204">
        <v>25</v>
      </c>
      <c r="T49" s="204">
        <v>48</v>
      </c>
      <c r="U49" s="204">
        <v>697</v>
      </c>
      <c r="V49" s="204">
        <v>3808</v>
      </c>
    </row>
    <row r="50" spans="1:22" ht="14.25" customHeight="1" x14ac:dyDescent="0.3">
      <c r="A50" s="323"/>
      <c r="B50" s="95" t="s">
        <v>1246</v>
      </c>
      <c r="C50" s="204">
        <v>988</v>
      </c>
      <c r="D50" s="204">
        <v>58</v>
      </c>
      <c r="E50" s="204">
        <v>356</v>
      </c>
      <c r="F50" s="204">
        <v>1402</v>
      </c>
      <c r="G50" s="204">
        <v>828</v>
      </c>
      <c r="H50" s="204">
        <v>55</v>
      </c>
      <c r="I50" s="204">
        <v>80</v>
      </c>
      <c r="J50" s="204">
        <v>48</v>
      </c>
      <c r="K50" s="204">
        <v>38</v>
      </c>
      <c r="L50" s="204">
        <v>17</v>
      </c>
      <c r="M50" s="204">
        <v>30</v>
      </c>
      <c r="N50" s="204">
        <v>33</v>
      </c>
      <c r="O50" s="204">
        <v>39</v>
      </c>
      <c r="P50" s="204">
        <v>12</v>
      </c>
      <c r="Q50" s="204">
        <v>86</v>
      </c>
      <c r="R50" s="204">
        <v>22</v>
      </c>
      <c r="S50" s="204">
        <v>14</v>
      </c>
      <c r="T50" s="204">
        <v>8</v>
      </c>
      <c r="U50" s="204">
        <v>483</v>
      </c>
      <c r="V50" s="204">
        <v>2713</v>
      </c>
    </row>
    <row r="51" spans="1:22" ht="14.25" customHeight="1" x14ac:dyDescent="0.3">
      <c r="A51" s="308"/>
      <c r="B51" s="98" t="s">
        <v>110</v>
      </c>
      <c r="C51" s="207">
        <v>4176</v>
      </c>
      <c r="D51" s="207">
        <v>250</v>
      </c>
      <c r="E51" s="207">
        <v>2256</v>
      </c>
      <c r="F51" s="207">
        <v>6681</v>
      </c>
      <c r="G51" s="207">
        <v>2666</v>
      </c>
      <c r="H51" s="207">
        <v>342</v>
      </c>
      <c r="I51" s="207">
        <v>425</v>
      </c>
      <c r="J51" s="207">
        <v>293</v>
      </c>
      <c r="K51" s="207">
        <v>273</v>
      </c>
      <c r="L51" s="207">
        <v>153</v>
      </c>
      <c r="M51" s="207">
        <v>97</v>
      </c>
      <c r="N51" s="207">
        <v>1067</v>
      </c>
      <c r="O51" s="207">
        <v>123</v>
      </c>
      <c r="P51" s="207">
        <v>81</v>
      </c>
      <c r="Q51" s="207">
        <v>408</v>
      </c>
      <c r="R51" s="207">
        <v>185</v>
      </c>
      <c r="S51" s="207">
        <v>70</v>
      </c>
      <c r="T51" s="207">
        <v>76</v>
      </c>
      <c r="U51" s="207">
        <v>3594</v>
      </c>
      <c r="V51" s="207">
        <v>12941</v>
      </c>
    </row>
    <row r="52" spans="1:22" ht="14.25" customHeight="1" x14ac:dyDescent="0.3">
      <c r="A52" s="307" t="s">
        <v>469</v>
      </c>
      <c r="B52" s="95" t="s">
        <v>1247</v>
      </c>
      <c r="C52" s="204">
        <v>135</v>
      </c>
      <c r="D52" s="204" t="s">
        <v>65</v>
      </c>
      <c r="E52" s="204">
        <v>153</v>
      </c>
      <c r="F52" s="204">
        <v>288</v>
      </c>
      <c r="G52" s="204">
        <v>566</v>
      </c>
      <c r="H52" s="204">
        <v>2</v>
      </c>
      <c r="I52" s="204">
        <v>229</v>
      </c>
      <c r="J52" s="204">
        <v>16</v>
      </c>
      <c r="K52" s="204">
        <v>3</v>
      </c>
      <c r="L52" s="204">
        <v>3</v>
      </c>
      <c r="M52" s="204">
        <v>1</v>
      </c>
      <c r="N52" s="204">
        <v>10</v>
      </c>
      <c r="O52" s="204">
        <v>6</v>
      </c>
      <c r="P52" s="204">
        <v>0</v>
      </c>
      <c r="Q52" s="204">
        <v>12</v>
      </c>
      <c r="R52" s="204">
        <v>31</v>
      </c>
      <c r="S52" s="204">
        <v>2</v>
      </c>
      <c r="T52" s="204">
        <v>1</v>
      </c>
      <c r="U52" s="204">
        <v>317</v>
      </c>
      <c r="V52" s="204">
        <v>1171</v>
      </c>
    </row>
    <row r="53" spans="1:22" ht="14.25" customHeight="1" x14ac:dyDescent="0.3">
      <c r="A53" s="323"/>
      <c r="B53" s="95" t="s">
        <v>1248</v>
      </c>
      <c r="C53" s="204">
        <v>109</v>
      </c>
      <c r="D53" s="204">
        <v>5</v>
      </c>
      <c r="E53" s="204">
        <v>176</v>
      </c>
      <c r="F53" s="204">
        <v>290</v>
      </c>
      <c r="G53" s="204">
        <v>455</v>
      </c>
      <c r="H53" s="204">
        <v>1</v>
      </c>
      <c r="I53" s="204" t="s">
        <v>65</v>
      </c>
      <c r="J53" s="204">
        <v>9</v>
      </c>
      <c r="K53" s="204">
        <v>5</v>
      </c>
      <c r="L53" s="204">
        <v>1</v>
      </c>
      <c r="M53" s="204" t="s">
        <v>65</v>
      </c>
      <c r="N53" s="204" t="s">
        <v>65</v>
      </c>
      <c r="O53" s="204">
        <v>4</v>
      </c>
      <c r="P53" s="204" t="s">
        <v>65</v>
      </c>
      <c r="Q53" s="204">
        <v>5</v>
      </c>
      <c r="R53" s="204">
        <v>1</v>
      </c>
      <c r="S53" s="204" t="s">
        <v>65</v>
      </c>
      <c r="T53" s="204" t="s">
        <v>65</v>
      </c>
      <c r="U53" s="204">
        <v>26</v>
      </c>
      <c r="V53" s="204">
        <v>772</v>
      </c>
    </row>
    <row r="54" spans="1:22" ht="14.25" customHeight="1" x14ac:dyDescent="0.3">
      <c r="A54" s="323"/>
      <c r="B54" s="95" t="s">
        <v>1249</v>
      </c>
      <c r="C54" s="204">
        <v>152</v>
      </c>
      <c r="D54" s="204">
        <v>2</v>
      </c>
      <c r="E54" s="204">
        <v>76</v>
      </c>
      <c r="F54" s="204">
        <v>230</v>
      </c>
      <c r="G54" s="204">
        <v>365</v>
      </c>
      <c r="H54" s="204">
        <v>10</v>
      </c>
      <c r="I54" s="204">
        <v>4</v>
      </c>
      <c r="J54" s="204">
        <v>4</v>
      </c>
      <c r="K54" s="204">
        <v>3</v>
      </c>
      <c r="L54" s="204">
        <v>5</v>
      </c>
      <c r="M54" s="204">
        <v>1</v>
      </c>
      <c r="N54" s="204">
        <v>8</v>
      </c>
      <c r="O54" s="204">
        <v>2</v>
      </c>
      <c r="P54" s="204">
        <v>2</v>
      </c>
      <c r="Q54" s="204">
        <v>12</v>
      </c>
      <c r="R54" s="204">
        <v>1</v>
      </c>
      <c r="S54" s="204" t="s">
        <v>65</v>
      </c>
      <c r="T54" s="204">
        <v>3</v>
      </c>
      <c r="U54" s="204">
        <v>55</v>
      </c>
      <c r="V54" s="204">
        <v>650</v>
      </c>
    </row>
    <row r="55" spans="1:22" ht="14.25" customHeight="1" x14ac:dyDescent="0.3">
      <c r="A55" s="323"/>
      <c r="B55" s="95" t="s">
        <v>1250</v>
      </c>
      <c r="C55" s="204">
        <v>101</v>
      </c>
      <c r="D55" s="204">
        <v>8</v>
      </c>
      <c r="E55" s="204">
        <v>275</v>
      </c>
      <c r="F55" s="204">
        <v>384</v>
      </c>
      <c r="G55" s="204">
        <v>395</v>
      </c>
      <c r="H55" s="204">
        <v>3</v>
      </c>
      <c r="I55" s="204">
        <v>9</v>
      </c>
      <c r="J55" s="204">
        <v>38</v>
      </c>
      <c r="K55" s="204">
        <v>4</v>
      </c>
      <c r="L55" s="204">
        <v>1</v>
      </c>
      <c r="M55" s="204">
        <v>3</v>
      </c>
      <c r="N55" s="204" t="s">
        <v>65</v>
      </c>
      <c r="O55" s="204">
        <v>8</v>
      </c>
      <c r="P55" s="204">
        <v>2</v>
      </c>
      <c r="Q55" s="204">
        <v>18</v>
      </c>
      <c r="R55" s="204">
        <v>10</v>
      </c>
      <c r="S55" s="204">
        <v>0</v>
      </c>
      <c r="T55" s="204" t="s">
        <v>65</v>
      </c>
      <c r="U55" s="204">
        <v>95</v>
      </c>
      <c r="V55" s="204">
        <v>873</v>
      </c>
    </row>
    <row r="56" spans="1:22" ht="14.25" customHeight="1" x14ac:dyDescent="0.3">
      <c r="A56" s="323"/>
      <c r="B56" s="95" t="s">
        <v>1251</v>
      </c>
      <c r="C56" s="204">
        <v>3</v>
      </c>
      <c r="D56" s="204" t="s">
        <v>65</v>
      </c>
      <c r="E56" s="204">
        <v>54</v>
      </c>
      <c r="F56" s="204">
        <v>57</v>
      </c>
      <c r="G56" s="204">
        <v>84</v>
      </c>
      <c r="H56" s="204" t="s">
        <v>65</v>
      </c>
      <c r="I56" s="204" t="s">
        <v>65</v>
      </c>
      <c r="J56" s="204">
        <v>0</v>
      </c>
      <c r="K56" s="204" t="s">
        <v>65</v>
      </c>
      <c r="L56" s="204" t="s">
        <v>65</v>
      </c>
      <c r="M56" s="204" t="s">
        <v>65</v>
      </c>
      <c r="N56" s="204" t="s">
        <v>65</v>
      </c>
      <c r="O56" s="204" t="s">
        <v>65</v>
      </c>
      <c r="P56" s="204" t="s">
        <v>65</v>
      </c>
      <c r="Q56" s="204" t="s">
        <v>65</v>
      </c>
      <c r="R56" s="204" t="s">
        <v>65</v>
      </c>
      <c r="S56" s="204" t="s">
        <v>65</v>
      </c>
      <c r="T56" s="204">
        <v>2</v>
      </c>
      <c r="U56" s="204">
        <v>2</v>
      </c>
      <c r="V56" s="204">
        <v>142</v>
      </c>
    </row>
    <row r="57" spans="1:22" ht="14.25" customHeight="1" x14ac:dyDescent="0.3">
      <c r="A57" s="308"/>
      <c r="B57" s="98" t="s">
        <v>110</v>
      </c>
      <c r="C57" s="207">
        <v>499</v>
      </c>
      <c r="D57" s="207">
        <v>16</v>
      </c>
      <c r="E57" s="207">
        <v>734</v>
      </c>
      <c r="F57" s="207">
        <v>1249</v>
      </c>
      <c r="G57" s="207">
        <v>1865</v>
      </c>
      <c r="H57" s="207">
        <v>16</v>
      </c>
      <c r="I57" s="207">
        <v>242</v>
      </c>
      <c r="J57" s="207">
        <v>66</v>
      </c>
      <c r="K57" s="207">
        <v>14</v>
      </c>
      <c r="L57" s="207">
        <v>10</v>
      </c>
      <c r="M57" s="207">
        <v>4</v>
      </c>
      <c r="N57" s="207">
        <v>19</v>
      </c>
      <c r="O57" s="207">
        <v>20</v>
      </c>
      <c r="P57" s="207">
        <v>4</v>
      </c>
      <c r="Q57" s="207">
        <v>48</v>
      </c>
      <c r="R57" s="207">
        <v>43</v>
      </c>
      <c r="S57" s="207">
        <v>2</v>
      </c>
      <c r="T57" s="207">
        <v>5</v>
      </c>
      <c r="U57" s="207">
        <v>495</v>
      </c>
      <c r="V57" s="207">
        <v>3608</v>
      </c>
    </row>
    <row r="58" spans="1:22" ht="14.25" customHeight="1" x14ac:dyDescent="0.3">
      <c r="A58" s="307" t="s">
        <v>1360</v>
      </c>
      <c r="B58" s="95" t="s">
        <v>1252</v>
      </c>
      <c r="C58" s="204">
        <v>47</v>
      </c>
      <c r="D58" s="204">
        <v>2</v>
      </c>
      <c r="E58" s="204">
        <v>62</v>
      </c>
      <c r="F58" s="204">
        <v>111</v>
      </c>
      <c r="G58" s="204">
        <v>26</v>
      </c>
      <c r="H58" s="204">
        <v>5</v>
      </c>
      <c r="I58" s="204">
        <v>6</v>
      </c>
      <c r="J58" s="204">
        <v>5</v>
      </c>
      <c r="K58" s="204">
        <v>8</v>
      </c>
      <c r="L58" s="204">
        <v>0</v>
      </c>
      <c r="M58" s="204">
        <v>1</v>
      </c>
      <c r="N58" s="204">
        <v>4</v>
      </c>
      <c r="O58" s="204">
        <v>1</v>
      </c>
      <c r="P58" s="204" t="s">
        <v>65</v>
      </c>
      <c r="Q58" s="204">
        <v>2</v>
      </c>
      <c r="R58" s="204">
        <v>31</v>
      </c>
      <c r="S58" s="204" t="s">
        <v>65</v>
      </c>
      <c r="T58" s="204" t="s">
        <v>65</v>
      </c>
      <c r="U58" s="204">
        <v>64</v>
      </c>
      <c r="V58" s="204">
        <v>202</v>
      </c>
    </row>
    <row r="59" spans="1:22" ht="14.25" customHeight="1" x14ac:dyDescent="0.3">
      <c r="A59" s="323"/>
      <c r="B59" s="95" t="s">
        <v>1253</v>
      </c>
      <c r="C59" s="204">
        <v>32</v>
      </c>
      <c r="D59" s="204">
        <v>27</v>
      </c>
      <c r="E59" s="204">
        <v>19</v>
      </c>
      <c r="F59" s="204">
        <v>78</v>
      </c>
      <c r="G59" s="204">
        <v>72</v>
      </c>
      <c r="H59" s="204">
        <v>11</v>
      </c>
      <c r="I59" s="204">
        <v>8</v>
      </c>
      <c r="J59" s="204">
        <v>2</v>
      </c>
      <c r="K59" s="204">
        <v>3</v>
      </c>
      <c r="L59" s="204">
        <v>1</v>
      </c>
      <c r="M59" s="204" t="s">
        <v>65</v>
      </c>
      <c r="N59" s="204">
        <v>8</v>
      </c>
      <c r="O59" s="204" t="s">
        <v>65</v>
      </c>
      <c r="P59" s="204">
        <v>1</v>
      </c>
      <c r="Q59" s="204">
        <v>11</v>
      </c>
      <c r="R59" s="204" t="s">
        <v>65</v>
      </c>
      <c r="S59" s="204">
        <v>1</v>
      </c>
      <c r="T59" s="204">
        <v>5</v>
      </c>
      <c r="U59" s="204">
        <v>51</v>
      </c>
      <c r="V59" s="204">
        <v>201</v>
      </c>
    </row>
    <row r="60" spans="1:22" ht="14.25" customHeight="1" x14ac:dyDescent="0.3">
      <c r="A60" s="323"/>
      <c r="B60" s="95" t="s">
        <v>1254</v>
      </c>
      <c r="C60" s="204">
        <v>44</v>
      </c>
      <c r="D60" s="204">
        <v>2</v>
      </c>
      <c r="E60" s="204">
        <v>55</v>
      </c>
      <c r="F60" s="204">
        <v>100</v>
      </c>
      <c r="G60" s="204">
        <v>546</v>
      </c>
      <c r="H60" s="204">
        <v>22</v>
      </c>
      <c r="I60" s="204">
        <v>23</v>
      </c>
      <c r="J60" s="204">
        <v>6</v>
      </c>
      <c r="K60" s="204">
        <v>2</v>
      </c>
      <c r="L60" s="204">
        <v>1</v>
      </c>
      <c r="M60" s="204">
        <v>2</v>
      </c>
      <c r="N60" s="204">
        <v>8</v>
      </c>
      <c r="O60" s="204">
        <v>2</v>
      </c>
      <c r="P60" s="204">
        <v>1</v>
      </c>
      <c r="Q60" s="204">
        <v>42</v>
      </c>
      <c r="R60" s="204">
        <v>2</v>
      </c>
      <c r="S60" s="204" t="s">
        <v>65</v>
      </c>
      <c r="T60" s="204">
        <v>1</v>
      </c>
      <c r="U60" s="204">
        <v>113</v>
      </c>
      <c r="V60" s="204">
        <v>759</v>
      </c>
    </row>
    <row r="61" spans="1:22" ht="14.25" customHeight="1" x14ac:dyDescent="0.3">
      <c r="A61" s="323"/>
      <c r="B61" s="95" t="s">
        <v>1255</v>
      </c>
      <c r="C61" s="204">
        <v>196</v>
      </c>
      <c r="D61" s="204">
        <v>34</v>
      </c>
      <c r="E61" s="204">
        <v>239</v>
      </c>
      <c r="F61" s="204">
        <v>469</v>
      </c>
      <c r="G61" s="204">
        <v>167</v>
      </c>
      <c r="H61" s="204">
        <v>45</v>
      </c>
      <c r="I61" s="204">
        <v>91</v>
      </c>
      <c r="J61" s="204">
        <v>19</v>
      </c>
      <c r="K61" s="204">
        <v>3</v>
      </c>
      <c r="L61" s="204">
        <v>5</v>
      </c>
      <c r="M61" s="204">
        <v>5</v>
      </c>
      <c r="N61" s="204">
        <v>45</v>
      </c>
      <c r="O61" s="204">
        <v>43</v>
      </c>
      <c r="P61" s="204">
        <v>8</v>
      </c>
      <c r="Q61" s="204">
        <v>33</v>
      </c>
      <c r="R61" s="204">
        <v>45</v>
      </c>
      <c r="S61" s="204">
        <v>3</v>
      </c>
      <c r="T61" s="204">
        <v>10</v>
      </c>
      <c r="U61" s="204">
        <v>354</v>
      </c>
      <c r="V61" s="204">
        <v>989</v>
      </c>
    </row>
    <row r="62" spans="1:22" ht="14.25" customHeight="1" x14ac:dyDescent="0.3">
      <c r="A62" s="323"/>
      <c r="B62" s="95" t="s">
        <v>1256</v>
      </c>
      <c r="C62" s="204">
        <v>202</v>
      </c>
      <c r="D62" s="204">
        <v>33</v>
      </c>
      <c r="E62" s="204">
        <v>109</v>
      </c>
      <c r="F62" s="204">
        <v>344</v>
      </c>
      <c r="G62" s="204">
        <v>219</v>
      </c>
      <c r="H62" s="204">
        <v>20</v>
      </c>
      <c r="I62" s="204">
        <v>41</v>
      </c>
      <c r="J62" s="204">
        <v>11</v>
      </c>
      <c r="K62" s="204">
        <v>12</v>
      </c>
      <c r="L62" s="204">
        <v>6</v>
      </c>
      <c r="M62" s="204">
        <v>5</v>
      </c>
      <c r="N62" s="204">
        <v>15</v>
      </c>
      <c r="O62" s="204">
        <v>7</v>
      </c>
      <c r="P62" s="204">
        <v>1</v>
      </c>
      <c r="Q62" s="204">
        <v>47</v>
      </c>
      <c r="R62" s="204">
        <v>11</v>
      </c>
      <c r="S62" s="204" t="s">
        <v>65</v>
      </c>
      <c r="T62" s="204">
        <v>4</v>
      </c>
      <c r="U62" s="204">
        <v>181</v>
      </c>
      <c r="V62" s="204">
        <v>744</v>
      </c>
    </row>
    <row r="63" spans="1:22" ht="14.25" customHeight="1" x14ac:dyDescent="0.3">
      <c r="A63" s="308"/>
      <c r="B63" s="98" t="s">
        <v>110</v>
      </c>
      <c r="C63" s="207">
        <v>521</v>
      </c>
      <c r="D63" s="207">
        <v>97</v>
      </c>
      <c r="E63" s="207">
        <v>484</v>
      </c>
      <c r="F63" s="207">
        <v>1102</v>
      </c>
      <c r="G63" s="207">
        <v>1029</v>
      </c>
      <c r="H63" s="207">
        <v>103</v>
      </c>
      <c r="I63" s="207">
        <v>169</v>
      </c>
      <c r="J63" s="207">
        <v>43</v>
      </c>
      <c r="K63" s="207">
        <v>28</v>
      </c>
      <c r="L63" s="207">
        <v>13</v>
      </c>
      <c r="M63" s="207">
        <v>14</v>
      </c>
      <c r="N63" s="207">
        <v>80</v>
      </c>
      <c r="O63" s="207">
        <v>54</v>
      </c>
      <c r="P63" s="207">
        <v>11</v>
      </c>
      <c r="Q63" s="207">
        <v>136</v>
      </c>
      <c r="R63" s="207">
        <v>90</v>
      </c>
      <c r="S63" s="207">
        <v>4</v>
      </c>
      <c r="T63" s="207">
        <v>20</v>
      </c>
      <c r="U63" s="207">
        <v>763</v>
      </c>
      <c r="V63" s="207">
        <v>2895</v>
      </c>
    </row>
    <row r="64" spans="1:22" ht="14.25" customHeight="1" x14ac:dyDescent="0.3">
      <c r="A64" s="307" t="s">
        <v>471</v>
      </c>
      <c r="B64" s="95" t="s">
        <v>1257</v>
      </c>
      <c r="C64" s="204">
        <v>68</v>
      </c>
      <c r="D64" s="204">
        <v>4</v>
      </c>
      <c r="E64" s="204">
        <v>18</v>
      </c>
      <c r="F64" s="204">
        <v>89</v>
      </c>
      <c r="G64" s="204">
        <v>251</v>
      </c>
      <c r="H64" s="204">
        <v>11</v>
      </c>
      <c r="I64" s="204">
        <v>4</v>
      </c>
      <c r="J64" s="204">
        <v>3</v>
      </c>
      <c r="K64" s="204">
        <v>14</v>
      </c>
      <c r="L64" s="204">
        <v>1</v>
      </c>
      <c r="M64" s="204">
        <v>4</v>
      </c>
      <c r="N64" s="204" t="s">
        <v>65</v>
      </c>
      <c r="O64" s="204">
        <v>6</v>
      </c>
      <c r="P64" s="204" t="s">
        <v>65</v>
      </c>
      <c r="Q64" s="204">
        <v>9</v>
      </c>
      <c r="R64" s="204">
        <v>2</v>
      </c>
      <c r="S64" s="204" t="s">
        <v>65</v>
      </c>
      <c r="T64" s="204" t="s">
        <v>65</v>
      </c>
      <c r="U64" s="204">
        <v>54</v>
      </c>
      <c r="V64" s="204">
        <v>394</v>
      </c>
    </row>
    <row r="65" spans="1:22" ht="14.25" customHeight="1" x14ac:dyDescent="0.3">
      <c r="A65" s="323"/>
      <c r="B65" s="95" t="s">
        <v>1258</v>
      </c>
      <c r="C65" s="204">
        <v>625</v>
      </c>
      <c r="D65" s="204" t="s">
        <v>65</v>
      </c>
      <c r="E65" s="204">
        <v>54</v>
      </c>
      <c r="F65" s="204">
        <v>679</v>
      </c>
      <c r="G65" s="204">
        <v>432</v>
      </c>
      <c r="H65" s="204">
        <v>22</v>
      </c>
      <c r="I65" s="204">
        <v>7</v>
      </c>
      <c r="J65" s="204">
        <v>33</v>
      </c>
      <c r="K65" s="204">
        <v>12</v>
      </c>
      <c r="L65" s="204">
        <v>1</v>
      </c>
      <c r="M65" s="204">
        <v>4</v>
      </c>
      <c r="N65" s="204">
        <v>1</v>
      </c>
      <c r="O65" s="204">
        <v>5</v>
      </c>
      <c r="P65" s="204">
        <v>1</v>
      </c>
      <c r="Q65" s="204">
        <v>96</v>
      </c>
      <c r="R65" s="204" t="s">
        <v>65</v>
      </c>
      <c r="S65" s="204" t="s">
        <v>65</v>
      </c>
      <c r="T65" s="204">
        <v>2</v>
      </c>
      <c r="U65" s="204">
        <v>184</v>
      </c>
      <c r="V65" s="204">
        <v>1294</v>
      </c>
    </row>
    <row r="66" spans="1:22" ht="14.25" customHeight="1" x14ac:dyDescent="0.3">
      <c r="A66" s="323"/>
      <c r="B66" s="95" t="s">
        <v>1259</v>
      </c>
      <c r="C66" s="204">
        <v>55</v>
      </c>
      <c r="D66" s="204" t="s">
        <v>65</v>
      </c>
      <c r="E66" s="204">
        <v>23</v>
      </c>
      <c r="F66" s="204">
        <v>78</v>
      </c>
      <c r="G66" s="204">
        <v>146</v>
      </c>
      <c r="H66" s="204">
        <v>3</v>
      </c>
      <c r="I66" s="204">
        <v>5</v>
      </c>
      <c r="J66" s="204">
        <v>11</v>
      </c>
      <c r="K66" s="204">
        <v>24</v>
      </c>
      <c r="L66" s="204">
        <v>6</v>
      </c>
      <c r="M66" s="204">
        <v>1</v>
      </c>
      <c r="N66" s="204">
        <v>1</v>
      </c>
      <c r="O66" s="204">
        <v>1</v>
      </c>
      <c r="P66" s="204" t="s">
        <v>65</v>
      </c>
      <c r="Q66" s="204">
        <v>23</v>
      </c>
      <c r="R66" s="204" t="s">
        <v>65</v>
      </c>
      <c r="S66" s="204">
        <v>1</v>
      </c>
      <c r="T66" s="204" t="s">
        <v>65</v>
      </c>
      <c r="U66" s="204">
        <v>78</v>
      </c>
      <c r="V66" s="204">
        <v>302</v>
      </c>
    </row>
    <row r="67" spans="1:22" ht="14.25" customHeight="1" x14ac:dyDescent="0.3">
      <c r="A67" s="308"/>
      <c r="B67" s="98" t="s">
        <v>110</v>
      </c>
      <c r="C67" s="207">
        <v>748</v>
      </c>
      <c r="D67" s="207">
        <v>4</v>
      </c>
      <c r="E67" s="207">
        <v>94</v>
      </c>
      <c r="F67" s="207">
        <v>846</v>
      </c>
      <c r="G67" s="207">
        <v>829</v>
      </c>
      <c r="H67" s="207">
        <v>36</v>
      </c>
      <c r="I67" s="207">
        <v>16</v>
      </c>
      <c r="J67" s="207">
        <v>47</v>
      </c>
      <c r="K67" s="207">
        <v>51</v>
      </c>
      <c r="L67" s="207">
        <v>8</v>
      </c>
      <c r="M67" s="207">
        <v>9</v>
      </c>
      <c r="N67" s="207">
        <v>3</v>
      </c>
      <c r="O67" s="207">
        <v>12</v>
      </c>
      <c r="P67" s="207">
        <v>1</v>
      </c>
      <c r="Q67" s="207">
        <v>128</v>
      </c>
      <c r="R67" s="207">
        <v>2</v>
      </c>
      <c r="S67" s="207">
        <v>1</v>
      </c>
      <c r="T67" s="207">
        <v>2</v>
      </c>
      <c r="U67" s="207">
        <v>315</v>
      </c>
      <c r="V67" s="207">
        <v>1990</v>
      </c>
    </row>
    <row r="68" spans="1:22" ht="14.25" customHeight="1" x14ac:dyDescent="0.3">
      <c r="A68" s="95" t="s">
        <v>85</v>
      </c>
      <c r="B68" s="95" t="s">
        <v>472</v>
      </c>
      <c r="C68" s="204">
        <v>35888</v>
      </c>
      <c r="D68" s="204">
        <v>5705</v>
      </c>
      <c r="E68" s="204">
        <v>30312</v>
      </c>
      <c r="F68" s="204">
        <v>71905</v>
      </c>
      <c r="G68" s="204">
        <v>61265</v>
      </c>
      <c r="H68" s="204">
        <v>10137</v>
      </c>
      <c r="I68" s="204">
        <v>5985</v>
      </c>
      <c r="J68" s="204">
        <v>4256</v>
      </c>
      <c r="K68" s="204">
        <v>3229</v>
      </c>
      <c r="L68" s="204">
        <v>3055</v>
      </c>
      <c r="M68" s="204">
        <v>6655</v>
      </c>
      <c r="N68" s="204">
        <v>7555</v>
      </c>
      <c r="O68" s="204">
        <v>9148</v>
      </c>
      <c r="P68" s="204">
        <v>3271</v>
      </c>
      <c r="Q68" s="204">
        <v>7036</v>
      </c>
      <c r="R68" s="204">
        <v>17875</v>
      </c>
      <c r="S68" s="204">
        <v>1442</v>
      </c>
      <c r="T68" s="204">
        <v>2526</v>
      </c>
      <c r="U68" s="204">
        <v>82169</v>
      </c>
      <c r="V68" s="204">
        <v>215340</v>
      </c>
    </row>
    <row r="69" spans="1:22" ht="14.25" customHeight="1" x14ac:dyDescent="0.3">
      <c r="A69" s="98" t="s">
        <v>86</v>
      </c>
      <c r="B69" s="98"/>
      <c r="C69" s="207">
        <v>53364</v>
      </c>
      <c r="D69" s="207">
        <v>6775</v>
      </c>
      <c r="E69" s="207">
        <v>40003</v>
      </c>
      <c r="F69" s="207">
        <v>100142</v>
      </c>
      <c r="G69" s="207">
        <v>82485</v>
      </c>
      <c r="H69" s="207">
        <v>12117</v>
      </c>
      <c r="I69" s="207">
        <v>8100</v>
      </c>
      <c r="J69" s="207">
        <v>5810</v>
      </c>
      <c r="K69" s="207">
        <v>4611</v>
      </c>
      <c r="L69" s="207">
        <v>3948</v>
      </c>
      <c r="M69" s="207">
        <v>7935</v>
      </c>
      <c r="N69" s="207">
        <v>9900</v>
      </c>
      <c r="O69" s="207">
        <v>10854</v>
      </c>
      <c r="P69" s="207">
        <v>3752</v>
      </c>
      <c r="Q69" s="207">
        <v>9667</v>
      </c>
      <c r="R69" s="207">
        <v>20002</v>
      </c>
      <c r="S69" s="207">
        <v>1864</v>
      </c>
      <c r="T69" s="207">
        <v>2884</v>
      </c>
      <c r="U69" s="207">
        <v>101445</v>
      </c>
      <c r="V69" s="207">
        <v>284072</v>
      </c>
    </row>
    <row r="71" spans="1:22" x14ac:dyDescent="0.3">
      <c r="A71" s="90" t="s">
        <v>1362</v>
      </c>
    </row>
  </sheetData>
  <mergeCells count="18">
    <mergeCell ref="A32:A37"/>
    <mergeCell ref="A38:A41"/>
    <mergeCell ref="V4:V5"/>
    <mergeCell ref="A4:A5"/>
    <mergeCell ref="B4:B5"/>
    <mergeCell ref="C4:F4"/>
    <mergeCell ref="G4:G5"/>
    <mergeCell ref="H4:U4"/>
    <mergeCell ref="A6:A14"/>
    <mergeCell ref="A15:A19"/>
    <mergeCell ref="A20:A23"/>
    <mergeCell ref="A24:A26"/>
    <mergeCell ref="A27:A31"/>
    <mergeCell ref="A52:A57"/>
    <mergeCell ref="A58:A63"/>
    <mergeCell ref="A64:A67"/>
    <mergeCell ref="A42:A46"/>
    <mergeCell ref="A47:A51"/>
  </mergeCells>
  <phoneticPr fontId="1" type="noConversion"/>
  <hyperlinks>
    <hyperlink ref="E1" location="목차!A1" display="목차" xr:uid="{CD689250-6420-4B06-9ABA-19764C2B3FB8}"/>
  </hyperlinks>
  <pageMargins left="0.7" right="0.7" top="0.75" bottom="0.75" header="0.3" footer="0.3"/>
  <pageSetup paperSize="9" orientation="portrait" copies="16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1" tint="0.499984740745262"/>
  </sheetPr>
  <dimension ref="A1:W72"/>
  <sheetViews>
    <sheetView topLeftCell="A7" zoomScale="85" zoomScaleNormal="85" workbookViewId="0">
      <selection activeCell="A39" sqref="A39"/>
    </sheetView>
  </sheetViews>
  <sheetFormatPr defaultRowHeight="16.5" x14ac:dyDescent="0.3"/>
  <cols>
    <col min="2" max="2" width="25" customWidth="1"/>
  </cols>
  <sheetData>
    <row r="1" spans="1:23" ht="17.25" x14ac:dyDescent="0.3">
      <c r="A1" s="7" t="s">
        <v>421</v>
      </c>
      <c r="B1" s="6"/>
      <c r="C1" s="6"/>
      <c r="D1" s="6"/>
      <c r="E1" s="2"/>
      <c r="F1" s="2"/>
      <c r="H1" s="72" t="s">
        <v>368</v>
      </c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92</v>
      </c>
    </row>
    <row r="4" spans="1:23" ht="17.25" thickBot="1" x14ac:dyDescent="0.35">
      <c r="A4" s="342" t="s">
        <v>245</v>
      </c>
      <c r="B4" s="341" t="s">
        <v>354</v>
      </c>
      <c r="C4" s="335" t="s">
        <v>275</v>
      </c>
      <c r="D4" s="336"/>
      <c r="E4" s="336"/>
      <c r="F4" s="336"/>
      <c r="G4" s="345"/>
      <c r="H4" s="335" t="s">
        <v>274</v>
      </c>
      <c r="I4" s="336"/>
      <c r="J4" s="336"/>
      <c r="K4" s="336"/>
      <c r="L4" s="336"/>
    </row>
    <row r="5" spans="1:23" ht="17.25" thickTop="1" x14ac:dyDescent="0.3">
      <c r="A5" s="342"/>
      <c r="B5" s="341"/>
      <c r="C5" s="355" t="s">
        <v>273</v>
      </c>
      <c r="D5" s="356"/>
      <c r="E5" s="355" t="s">
        <v>271</v>
      </c>
      <c r="F5" s="356"/>
      <c r="G5" s="39" t="s">
        <v>272</v>
      </c>
      <c r="H5" s="355" t="s">
        <v>273</v>
      </c>
      <c r="I5" s="356"/>
      <c r="J5" s="355" t="s">
        <v>271</v>
      </c>
      <c r="K5" s="356"/>
      <c r="L5" s="40" t="s">
        <v>272</v>
      </c>
    </row>
    <row r="6" spans="1:23" ht="17.25" thickBot="1" x14ac:dyDescent="0.35">
      <c r="A6" s="342"/>
      <c r="B6" s="341"/>
      <c r="C6" s="335"/>
      <c r="D6" s="345"/>
      <c r="E6" s="335"/>
      <c r="F6" s="345"/>
      <c r="G6" s="43" t="s">
        <v>271</v>
      </c>
      <c r="H6" s="335"/>
      <c r="I6" s="345"/>
      <c r="J6" s="335"/>
      <c r="K6" s="345"/>
      <c r="L6" s="44" t="s">
        <v>271</v>
      </c>
    </row>
    <row r="7" spans="1:23" ht="17.25" thickTop="1" x14ac:dyDescent="0.3">
      <c r="A7" s="342"/>
      <c r="B7" s="341"/>
      <c r="C7" s="39" t="s">
        <v>270</v>
      </c>
      <c r="D7" s="39" t="s">
        <v>36</v>
      </c>
      <c r="E7" s="39" t="s">
        <v>74</v>
      </c>
      <c r="F7" s="39" t="s">
        <v>36</v>
      </c>
      <c r="G7" s="43" t="s">
        <v>269</v>
      </c>
      <c r="H7" s="39" t="s">
        <v>270</v>
      </c>
      <c r="I7" s="39" t="s">
        <v>36</v>
      </c>
      <c r="J7" s="39" t="s">
        <v>74</v>
      </c>
      <c r="K7" s="39" t="s">
        <v>36</v>
      </c>
      <c r="L7" s="44" t="s">
        <v>269</v>
      </c>
    </row>
    <row r="8" spans="1:23" x14ac:dyDescent="0.3">
      <c r="A8" s="304" t="s">
        <v>8</v>
      </c>
      <c r="B8" s="95" t="s">
        <v>255</v>
      </c>
      <c r="C8" s="96">
        <v>9316</v>
      </c>
      <c r="D8" s="95">
        <v>45.8</v>
      </c>
      <c r="E8" s="96">
        <v>8092</v>
      </c>
      <c r="F8" s="95">
        <v>38.299999999999997</v>
      </c>
      <c r="G8" s="95">
        <v>0.87</v>
      </c>
      <c r="H8" s="95">
        <v>926</v>
      </c>
      <c r="I8" s="95">
        <v>13.9</v>
      </c>
      <c r="J8" s="95">
        <v>545</v>
      </c>
      <c r="K8" s="95">
        <v>15.9</v>
      </c>
      <c r="L8" s="123">
        <v>0.59</v>
      </c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x14ac:dyDescent="0.3">
      <c r="A9" s="305"/>
      <c r="B9" s="95" t="s">
        <v>80</v>
      </c>
      <c r="C9" s="96">
        <v>5425</v>
      </c>
      <c r="D9" s="95">
        <v>26.7</v>
      </c>
      <c r="E9" s="96">
        <v>4294</v>
      </c>
      <c r="F9" s="95">
        <v>20.3</v>
      </c>
      <c r="G9" s="95">
        <v>0.79</v>
      </c>
      <c r="H9" s="96">
        <v>3728</v>
      </c>
      <c r="I9" s="95">
        <v>56.1</v>
      </c>
      <c r="J9" s="96">
        <v>1732</v>
      </c>
      <c r="K9" s="95">
        <v>50.7</v>
      </c>
      <c r="L9" s="123">
        <v>0.46</v>
      </c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x14ac:dyDescent="0.3">
      <c r="A10" s="305"/>
      <c r="B10" s="95" t="s">
        <v>268</v>
      </c>
      <c r="C10" s="96">
        <v>2157</v>
      </c>
      <c r="D10" s="95">
        <v>10.6</v>
      </c>
      <c r="E10" s="96">
        <v>3307</v>
      </c>
      <c r="F10" s="95">
        <v>15.7</v>
      </c>
      <c r="G10" s="95">
        <v>1.53</v>
      </c>
      <c r="H10" s="95">
        <v>818</v>
      </c>
      <c r="I10" s="95">
        <v>12.3</v>
      </c>
      <c r="J10" s="95">
        <v>570</v>
      </c>
      <c r="K10" s="95">
        <v>16.7</v>
      </c>
      <c r="L10" s="123">
        <v>0.7</v>
      </c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x14ac:dyDescent="0.3">
      <c r="A11" s="305"/>
      <c r="B11" s="95" t="s">
        <v>267</v>
      </c>
      <c r="C11" s="95">
        <v>308</v>
      </c>
      <c r="D11" s="95">
        <v>1.5</v>
      </c>
      <c r="E11" s="95">
        <v>151</v>
      </c>
      <c r="F11" s="95">
        <v>0.7</v>
      </c>
      <c r="G11" s="95">
        <v>0.49</v>
      </c>
      <c r="H11" s="95">
        <v>208</v>
      </c>
      <c r="I11" s="95">
        <v>3.1</v>
      </c>
      <c r="J11" s="95">
        <v>136</v>
      </c>
      <c r="K11" s="95">
        <v>4</v>
      </c>
      <c r="L11" s="123">
        <v>0.65</v>
      </c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x14ac:dyDescent="0.3">
      <c r="A12" s="305"/>
      <c r="B12" s="95" t="s">
        <v>85</v>
      </c>
      <c r="C12" s="96">
        <v>3126</v>
      </c>
      <c r="D12" s="95">
        <v>15.4</v>
      </c>
      <c r="E12" s="96">
        <v>5273</v>
      </c>
      <c r="F12" s="95">
        <v>25</v>
      </c>
      <c r="G12" s="95">
        <v>1.69</v>
      </c>
      <c r="H12" s="95">
        <v>960</v>
      </c>
      <c r="I12" s="95">
        <v>14.5</v>
      </c>
      <c r="J12" s="95">
        <v>436</v>
      </c>
      <c r="K12" s="95">
        <v>12.7</v>
      </c>
      <c r="L12" s="123">
        <v>0.45</v>
      </c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x14ac:dyDescent="0.3">
      <c r="A13" s="306"/>
      <c r="B13" s="97" t="s">
        <v>86</v>
      </c>
      <c r="C13" s="98">
        <v>20332</v>
      </c>
      <c r="D13" s="97">
        <v>100</v>
      </c>
      <c r="E13" s="98">
        <v>21116</v>
      </c>
      <c r="F13" s="97">
        <v>100</v>
      </c>
      <c r="G13" s="97">
        <v>1.04</v>
      </c>
      <c r="H13" s="98">
        <v>6640</v>
      </c>
      <c r="I13" s="97">
        <v>100</v>
      </c>
      <c r="J13" s="98">
        <v>3419</v>
      </c>
      <c r="K13" s="97">
        <v>100</v>
      </c>
      <c r="L13" s="125">
        <v>0.51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x14ac:dyDescent="0.3">
      <c r="A14" s="304" t="s">
        <v>9</v>
      </c>
      <c r="B14" s="95" t="s">
        <v>255</v>
      </c>
      <c r="C14" s="96">
        <v>10611</v>
      </c>
      <c r="D14" s="95">
        <v>46.5</v>
      </c>
      <c r="E14" s="96">
        <v>9201</v>
      </c>
      <c r="F14" s="95">
        <v>47.6</v>
      </c>
      <c r="G14" s="95">
        <v>0.87</v>
      </c>
      <c r="H14" s="95">
        <v>987</v>
      </c>
      <c r="I14" s="95">
        <v>13.8</v>
      </c>
      <c r="J14" s="95">
        <v>550</v>
      </c>
      <c r="K14" s="95">
        <v>14.4</v>
      </c>
      <c r="L14" s="123">
        <v>0.56000000000000005</v>
      </c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x14ac:dyDescent="0.3">
      <c r="A15" s="305"/>
      <c r="B15" s="95" t="s">
        <v>80</v>
      </c>
      <c r="C15" s="96">
        <v>6226</v>
      </c>
      <c r="D15" s="95">
        <v>27.3</v>
      </c>
      <c r="E15" s="96">
        <v>4205</v>
      </c>
      <c r="F15" s="95">
        <v>21.8</v>
      </c>
      <c r="G15" s="95">
        <v>0.68</v>
      </c>
      <c r="H15" s="96">
        <v>4231</v>
      </c>
      <c r="I15" s="95">
        <v>59</v>
      </c>
      <c r="J15" s="96">
        <v>2131</v>
      </c>
      <c r="K15" s="95">
        <v>55.9</v>
      </c>
      <c r="L15" s="123">
        <v>0.5</v>
      </c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x14ac:dyDescent="0.3">
      <c r="A16" s="305"/>
      <c r="B16" s="95" t="s">
        <v>268</v>
      </c>
      <c r="C16" s="96">
        <v>2135</v>
      </c>
      <c r="D16" s="95">
        <v>9.3000000000000007</v>
      </c>
      <c r="E16" s="96">
        <v>2660</v>
      </c>
      <c r="F16" s="95">
        <v>13.8</v>
      </c>
      <c r="G16" s="95">
        <v>1.25</v>
      </c>
      <c r="H16" s="95">
        <v>520</v>
      </c>
      <c r="I16" s="95">
        <v>7.3</v>
      </c>
      <c r="J16" s="95">
        <v>374</v>
      </c>
      <c r="K16" s="95">
        <v>9.8000000000000007</v>
      </c>
      <c r="L16" s="123">
        <v>0.72</v>
      </c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x14ac:dyDescent="0.3">
      <c r="A17" s="305"/>
      <c r="B17" s="95" t="s">
        <v>267</v>
      </c>
      <c r="C17" s="95">
        <v>318</v>
      </c>
      <c r="D17" s="95">
        <v>1.4</v>
      </c>
      <c r="E17" s="95">
        <v>198</v>
      </c>
      <c r="F17" s="95">
        <v>1</v>
      </c>
      <c r="G17" s="95">
        <v>0.62</v>
      </c>
      <c r="H17" s="95">
        <v>216</v>
      </c>
      <c r="I17" s="95">
        <v>3</v>
      </c>
      <c r="J17" s="95">
        <v>152</v>
      </c>
      <c r="K17" s="95">
        <v>4</v>
      </c>
      <c r="L17" s="123">
        <v>0.7</v>
      </c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x14ac:dyDescent="0.3">
      <c r="A18" s="305"/>
      <c r="B18" s="95" t="s">
        <v>85</v>
      </c>
      <c r="C18" s="96">
        <v>3548</v>
      </c>
      <c r="D18" s="95">
        <v>15.5</v>
      </c>
      <c r="E18" s="96">
        <v>3055</v>
      </c>
      <c r="F18" s="95">
        <v>15.8</v>
      </c>
      <c r="G18" s="95">
        <v>0.86</v>
      </c>
      <c r="H18" s="95">
        <v>1216</v>
      </c>
      <c r="I18" s="95">
        <v>17</v>
      </c>
      <c r="J18" s="95">
        <v>605</v>
      </c>
      <c r="K18" s="95">
        <v>15.9</v>
      </c>
      <c r="L18" s="123">
        <v>0.5</v>
      </c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x14ac:dyDescent="0.3">
      <c r="A19" s="306"/>
      <c r="B19" s="97" t="s">
        <v>86</v>
      </c>
      <c r="C19" s="98">
        <v>22838</v>
      </c>
      <c r="D19" s="97">
        <v>100</v>
      </c>
      <c r="E19" s="98">
        <v>19319</v>
      </c>
      <c r="F19" s="97">
        <v>100</v>
      </c>
      <c r="G19" s="97">
        <v>0.85</v>
      </c>
      <c r="H19" s="98">
        <v>7170</v>
      </c>
      <c r="I19" s="97">
        <v>100</v>
      </c>
      <c r="J19" s="98">
        <v>3811</v>
      </c>
      <c r="K19" s="97">
        <v>100</v>
      </c>
      <c r="L19" s="125">
        <v>0.53</v>
      </c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x14ac:dyDescent="0.3">
      <c r="A20" s="304" t="s">
        <v>10</v>
      </c>
      <c r="B20" s="95" t="s">
        <v>255</v>
      </c>
      <c r="C20" s="96">
        <v>11701</v>
      </c>
      <c r="D20" s="95">
        <v>46.9</v>
      </c>
      <c r="E20" s="96">
        <v>10542</v>
      </c>
      <c r="F20" s="95">
        <v>47.3</v>
      </c>
      <c r="G20" s="95">
        <v>0.9</v>
      </c>
      <c r="H20" s="95">
        <v>1166</v>
      </c>
      <c r="I20" s="95">
        <v>15.9</v>
      </c>
      <c r="J20" s="95">
        <v>734</v>
      </c>
      <c r="K20" s="95">
        <v>16.5</v>
      </c>
      <c r="L20" s="123">
        <v>0.63</v>
      </c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x14ac:dyDescent="0.3">
      <c r="A21" s="305"/>
      <c r="B21" s="95" t="s">
        <v>80</v>
      </c>
      <c r="C21" s="96">
        <v>6667</v>
      </c>
      <c r="D21" s="95">
        <v>26.7</v>
      </c>
      <c r="E21" s="96">
        <v>4895</v>
      </c>
      <c r="F21" s="95">
        <v>22</v>
      </c>
      <c r="G21" s="95">
        <v>0.73</v>
      </c>
      <c r="H21" s="96">
        <v>4285</v>
      </c>
      <c r="I21" s="95">
        <v>58.4</v>
      </c>
      <c r="J21" s="96">
        <v>2545</v>
      </c>
      <c r="K21" s="95">
        <v>57.2</v>
      </c>
      <c r="L21" s="123">
        <v>0.59</v>
      </c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x14ac:dyDescent="0.3">
      <c r="A22" s="305"/>
      <c r="B22" s="95" t="s">
        <v>268</v>
      </c>
      <c r="C22" s="96">
        <v>2292</v>
      </c>
      <c r="D22" s="95">
        <v>9.1999999999999993</v>
      </c>
      <c r="E22" s="96">
        <v>3040</v>
      </c>
      <c r="F22" s="95">
        <v>13.6</v>
      </c>
      <c r="G22" s="95">
        <v>1.33</v>
      </c>
      <c r="H22" s="95">
        <v>546</v>
      </c>
      <c r="I22" s="95">
        <v>7.4</v>
      </c>
      <c r="J22" s="95">
        <v>423</v>
      </c>
      <c r="K22" s="95">
        <v>9.5</v>
      </c>
      <c r="L22" s="123">
        <v>0.78</v>
      </c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x14ac:dyDescent="0.3">
      <c r="A23" s="305"/>
      <c r="B23" s="95" t="s">
        <v>267</v>
      </c>
      <c r="C23" s="95">
        <v>229</v>
      </c>
      <c r="D23" s="95">
        <v>0.9</v>
      </c>
      <c r="E23" s="95">
        <v>129</v>
      </c>
      <c r="F23" s="95">
        <v>0.6</v>
      </c>
      <c r="G23" s="95">
        <v>0.56000000000000005</v>
      </c>
      <c r="H23" s="95">
        <v>62</v>
      </c>
      <c r="I23" s="95">
        <v>0.8</v>
      </c>
      <c r="J23" s="95">
        <v>39</v>
      </c>
      <c r="K23" s="95">
        <v>0.9</v>
      </c>
      <c r="L23" s="123">
        <v>0.62</v>
      </c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4" spans="1:23" x14ac:dyDescent="0.3">
      <c r="A24" s="305"/>
      <c r="B24" s="95" t="s">
        <v>85</v>
      </c>
      <c r="C24" s="96">
        <v>4076</v>
      </c>
      <c r="D24" s="95">
        <v>16.3</v>
      </c>
      <c r="E24" s="96">
        <v>3687</v>
      </c>
      <c r="F24" s="95">
        <v>16.5</v>
      </c>
      <c r="G24" s="95">
        <v>0.9</v>
      </c>
      <c r="H24" s="96">
        <v>1279</v>
      </c>
      <c r="I24" s="95">
        <v>17.399999999999999</v>
      </c>
      <c r="J24" s="95">
        <v>711</v>
      </c>
      <c r="K24" s="95">
        <v>16</v>
      </c>
      <c r="L24" s="123">
        <v>0.56000000000000005</v>
      </c>
      <c r="N24" s="90"/>
      <c r="O24" s="90"/>
      <c r="P24" s="90"/>
      <c r="Q24" s="90"/>
      <c r="R24" s="90"/>
      <c r="S24" s="90"/>
      <c r="T24" s="90"/>
      <c r="U24" s="90"/>
      <c r="V24" s="90"/>
      <c r="W24" s="90"/>
    </row>
    <row r="25" spans="1:23" x14ac:dyDescent="0.3">
      <c r="A25" s="306"/>
      <c r="B25" s="97" t="s">
        <v>86</v>
      </c>
      <c r="C25" s="98">
        <v>24965</v>
      </c>
      <c r="D25" s="97">
        <v>100</v>
      </c>
      <c r="E25" s="98">
        <v>22292</v>
      </c>
      <c r="F25" s="97">
        <v>100</v>
      </c>
      <c r="G25" s="97">
        <v>0.89</v>
      </c>
      <c r="H25" s="98">
        <v>7338</v>
      </c>
      <c r="I25" s="97">
        <v>100</v>
      </c>
      <c r="J25" s="98">
        <v>4451</v>
      </c>
      <c r="K25" s="97">
        <v>100</v>
      </c>
      <c r="L25" s="125">
        <v>0.61</v>
      </c>
      <c r="N25" s="90"/>
      <c r="O25" s="90"/>
      <c r="P25" s="90"/>
      <c r="Q25" s="90"/>
      <c r="R25" s="90"/>
      <c r="S25" s="90"/>
      <c r="T25" s="90"/>
      <c r="U25" s="90"/>
      <c r="V25" s="90"/>
      <c r="W25" s="90"/>
    </row>
    <row r="26" spans="1:23" x14ac:dyDescent="0.3">
      <c r="A26" s="304" t="s">
        <v>369</v>
      </c>
      <c r="B26" s="95" t="s">
        <v>255</v>
      </c>
      <c r="C26" s="101">
        <v>13323</v>
      </c>
      <c r="D26" s="100">
        <v>46.1</v>
      </c>
      <c r="E26" s="101">
        <v>13729</v>
      </c>
      <c r="F26" s="100">
        <v>46.5</v>
      </c>
      <c r="G26" s="100">
        <v>1.03</v>
      </c>
      <c r="H26" s="101">
        <v>1360</v>
      </c>
      <c r="I26" s="100">
        <v>18.5</v>
      </c>
      <c r="J26" s="100">
        <v>936</v>
      </c>
      <c r="K26" s="100">
        <v>20.2</v>
      </c>
      <c r="L26" s="123">
        <v>0.69</v>
      </c>
      <c r="N26" s="90"/>
      <c r="O26" s="90"/>
      <c r="P26" s="90"/>
      <c r="Q26" s="90"/>
      <c r="R26" s="90"/>
      <c r="S26" s="90"/>
      <c r="T26" s="90"/>
      <c r="U26" s="90"/>
      <c r="V26" s="90"/>
      <c r="W26" s="90"/>
    </row>
    <row r="27" spans="1:23" x14ac:dyDescent="0.3">
      <c r="A27" s="305"/>
      <c r="B27" s="95" t="s">
        <v>80</v>
      </c>
      <c r="C27" s="101">
        <v>8349</v>
      </c>
      <c r="D27" s="100">
        <v>28.9</v>
      </c>
      <c r="E27" s="101">
        <v>7512</v>
      </c>
      <c r="F27" s="100">
        <v>25.4</v>
      </c>
      <c r="G27" s="100">
        <v>0.9</v>
      </c>
      <c r="H27" s="101">
        <v>4213</v>
      </c>
      <c r="I27" s="100">
        <v>57.3</v>
      </c>
      <c r="J27" s="101">
        <v>2501</v>
      </c>
      <c r="K27" s="100">
        <v>54</v>
      </c>
      <c r="L27" s="123">
        <v>0.59</v>
      </c>
      <c r="N27" s="90"/>
      <c r="O27" s="90"/>
      <c r="P27" s="90"/>
      <c r="Q27" s="90"/>
      <c r="R27" s="90"/>
      <c r="S27" s="90"/>
      <c r="T27" s="90"/>
      <c r="U27" s="90"/>
      <c r="V27" s="90"/>
      <c r="W27" s="90"/>
    </row>
    <row r="28" spans="1:23" x14ac:dyDescent="0.3">
      <c r="A28" s="305"/>
      <c r="B28" s="95" t="s">
        <v>268</v>
      </c>
      <c r="C28" s="101">
        <v>2671</v>
      </c>
      <c r="D28" s="100">
        <v>9.1999999999999993</v>
      </c>
      <c r="E28" s="101">
        <v>3783</v>
      </c>
      <c r="F28" s="100">
        <v>12.8</v>
      </c>
      <c r="G28" s="100">
        <v>1.42</v>
      </c>
      <c r="H28" s="100">
        <v>512</v>
      </c>
      <c r="I28" s="100">
        <v>7</v>
      </c>
      <c r="J28" s="100">
        <v>420</v>
      </c>
      <c r="K28" s="100">
        <v>9.1</v>
      </c>
      <c r="L28" s="123">
        <v>0.82</v>
      </c>
      <c r="N28" s="90"/>
      <c r="O28" s="90"/>
      <c r="P28" s="90"/>
      <c r="Q28" s="90"/>
      <c r="R28" s="90"/>
      <c r="S28" s="90"/>
      <c r="T28" s="90"/>
      <c r="U28" s="90"/>
      <c r="V28" s="90"/>
      <c r="W28" s="90"/>
    </row>
    <row r="29" spans="1:23" x14ac:dyDescent="0.3">
      <c r="A29" s="305"/>
      <c r="B29" s="95" t="s">
        <v>267</v>
      </c>
      <c r="C29" s="100">
        <v>131</v>
      </c>
      <c r="D29" s="100">
        <v>0.5</v>
      </c>
      <c r="E29" s="100">
        <v>130</v>
      </c>
      <c r="F29" s="100">
        <v>0.4</v>
      </c>
      <c r="G29" s="100">
        <v>0.99</v>
      </c>
      <c r="H29" s="100">
        <v>14</v>
      </c>
      <c r="I29" s="100">
        <v>0.2</v>
      </c>
      <c r="J29" s="100">
        <v>11</v>
      </c>
      <c r="K29" s="100">
        <v>0.2</v>
      </c>
      <c r="L29" s="123">
        <v>0.82</v>
      </c>
      <c r="N29" s="90"/>
      <c r="O29" s="90"/>
      <c r="P29" s="90"/>
      <c r="Q29" s="90"/>
      <c r="R29" s="90"/>
      <c r="S29" s="90"/>
      <c r="T29" s="90"/>
      <c r="U29" s="90"/>
      <c r="V29" s="90"/>
      <c r="W29" s="90"/>
    </row>
    <row r="30" spans="1:23" x14ac:dyDescent="0.3">
      <c r="A30" s="305"/>
      <c r="B30" s="95" t="s">
        <v>85</v>
      </c>
      <c r="C30" s="101">
        <v>4405</v>
      </c>
      <c r="D30" s="100">
        <v>15.3</v>
      </c>
      <c r="E30" s="101">
        <v>4393</v>
      </c>
      <c r="F30" s="100">
        <v>14.9</v>
      </c>
      <c r="G30" s="100">
        <v>1</v>
      </c>
      <c r="H30" s="101">
        <v>1250</v>
      </c>
      <c r="I30" s="100">
        <v>17</v>
      </c>
      <c r="J30" s="100">
        <v>766</v>
      </c>
      <c r="K30" s="100">
        <v>16.5</v>
      </c>
      <c r="L30" s="123">
        <v>0.61</v>
      </c>
      <c r="N30" s="90"/>
      <c r="O30" s="90"/>
      <c r="P30" s="90"/>
      <c r="Q30" s="90"/>
      <c r="R30" s="90"/>
      <c r="S30" s="90"/>
      <c r="T30" s="90"/>
      <c r="U30" s="90"/>
      <c r="V30" s="90"/>
      <c r="W30" s="90"/>
    </row>
    <row r="31" spans="1:23" x14ac:dyDescent="0.3">
      <c r="A31" s="306"/>
      <c r="B31" s="97" t="s">
        <v>86</v>
      </c>
      <c r="C31" s="98">
        <v>28879</v>
      </c>
      <c r="D31" s="97">
        <v>100</v>
      </c>
      <c r="E31" s="98">
        <v>29548</v>
      </c>
      <c r="F31" s="97">
        <v>100</v>
      </c>
      <c r="G31" s="97">
        <v>1.02</v>
      </c>
      <c r="H31" s="98">
        <v>7349</v>
      </c>
      <c r="I31" s="97">
        <v>100</v>
      </c>
      <c r="J31" s="98">
        <v>4635</v>
      </c>
      <c r="K31" s="97">
        <v>100</v>
      </c>
      <c r="L31" s="125">
        <v>0.63</v>
      </c>
      <c r="N31" s="90"/>
      <c r="O31" s="90"/>
      <c r="P31" s="90"/>
      <c r="Q31" s="90"/>
      <c r="R31" s="90"/>
      <c r="S31" s="90"/>
      <c r="T31" s="90"/>
      <c r="U31" s="90"/>
      <c r="V31" s="90"/>
      <c r="W31" s="90"/>
    </row>
    <row r="32" spans="1:23" x14ac:dyDescent="0.3">
      <c r="A32" s="304" t="s">
        <v>402</v>
      </c>
      <c r="B32" s="13" t="s">
        <v>255</v>
      </c>
      <c r="C32" s="101">
        <v>14855</v>
      </c>
      <c r="D32" s="100">
        <v>45.3</v>
      </c>
      <c r="E32" s="101">
        <v>16715</v>
      </c>
      <c r="F32" s="100">
        <v>45</v>
      </c>
      <c r="G32" s="100">
        <v>1.1299999999999999</v>
      </c>
      <c r="H32" s="101">
        <v>1390</v>
      </c>
      <c r="I32" s="100">
        <v>20.3</v>
      </c>
      <c r="J32" s="100">
        <v>1045</v>
      </c>
      <c r="K32" s="100">
        <v>23.9</v>
      </c>
      <c r="L32" s="35">
        <v>0.75</v>
      </c>
      <c r="N32" s="90"/>
      <c r="O32" s="90"/>
      <c r="P32" s="90"/>
      <c r="Q32" s="90"/>
      <c r="R32" s="90"/>
      <c r="S32" s="90"/>
      <c r="T32" s="90"/>
      <c r="U32" s="90"/>
      <c r="V32" s="90"/>
      <c r="W32" s="90"/>
    </row>
    <row r="33" spans="1:23" x14ac:dyDescent="0.3">
      <c r="A33" s="305"/>
      <c r="B33" s="13" t="s">
        <v>80</v>
      </c>
      <c r="C33" s="101">
        <v>9687</v>
      </c>
      <c r="D33" s="100">
        <v>29.5</v>
      </c>
      <c r="E33" s="101">
        <v>10195</v>
      </c>
      <c r="F33" s="100">
        <v>27.4</v>
      </c>
      <c r="G33" s="100">
        <v>1.05</v>
      </c>
      <c r="H33" s="101">
        <v>3943</v>
      </c>
      <c r="I33" s="100">
        <v>57.4</v>
      </c>
      <c r="J33" s="101">
        <v>2387</v>
      </c>
      <c r="K33" s="100">
        <v>54.7</v>
      </c>
      <c r="L33" s="35">
        <v>0.61</v>
      </c>
      <c r="N33" s="90"/>
      <c r="O33" s="90"/>
      <c r="P33" s="90"/>
      <c r="Q33" s="90"/>
      <c r="R33" s="90"/>
      <c r="S33" s="90"/>
      <c r="T33" s="90"/>
      <c r="U33" s="90"/>
      <c r="V33" s="90"/>
      <c r="W33" s="90"/>
    </row>
    <row r="34" spans="1:23" x14ac:dyDescent="0.3">
      <c r="A34" s="305"/>
      <c r="B34" s="13" t="s">
        <v>268</v>
      </c>
      <c r="C34" s="101">
        <v>3707</v>
      </c>
      <c r="D34" s="100">
        <v>11.3</v>
      </c>
      <c r="E34" s="101">
        <v>5059</v>
      </c>
      <c r="F34" s="100">
        <v>13.6</v>
      </c>
      <c r="G34" s="100">
        <v>1.36</v>
      </c>
      <c r="H34" s="100">
        <v>484</v>
      </c>
      <c r="I34" s="100">
        <v>7.1</v>
      </c>
      <c r="J34" s="100">
        <v>371</v>
      </c>
      <c r="K34" s="100">
        <v>8.5</v>
      </c>
      <c r="L34" s="35">
        <v>0.77</v>
      </c>
      <c r="N34" s="90"/>
      <c r="O34" s="90"/>
      <c r="P34" s="90"/>
      <c r="Q34" s="90"/>
      <c r="R34" s="90"/>
      <c r="S34" s="90"/>
      <c r="T34" s="90"/>
      <c r="U34" s="90"/>
      <c r="V34" s="90"/>
      <c r="W34" s="90"/>
    </row>
    <row r="35" spans="1:23" x14ac:dyDescent="0.3">
      <c r="A35" s="305"/>
      <c r="B35" s="13" t="s">
        <v>267</v>
      </c>
      <c r="C35" s="100">
        <v>157</v>
      </c>
      <c r="D35" s="100">
        <v>0.5</v>
      </c>
      <c r="E35" s="100">
        <v>128</v>
      </c>
      <c r="F35" s="100">
        <v>0.3</v>
      </c>
      <c r="G35" s="100">
        <v>0.82</v>
      </c>
      <c r="H35" s="100">
        <v>5</v>
      </c>
      <c r="I35" s="100">
        <v>0.1</v>
      </c>
      <c r="J35" s="100">
        <v>3</v>
      </c>
      <c r="K35" s="100">
        <v>0.1</v>
      </c>
      <c r="L35" s="35">
        <v>0.7</v>
      </c>
      <c r="N35" s="90"/>
      <c r="O35" s="90"/>
      <c r="P35" s="90"/>
      <c r="Q35" s="90"/>
      <c r="R35" s="90"/>
      <c r="S35" s="90"/>
      <c r="T35" s="90"/>
      <c r="U35" s="90"/>
      <c r="V35" s="90"/>
      <c r="W35" s="90"/>
    </row>
    <row r="36" spans="1:23" x14ac:dyDescent="0.3">
      <c r="A36" s="305"/>
      <c r="B36" s="13" t="s">
        <v>85</v>
      </c>
      <c r="C36" s="101">
        <v>4411</v>
      </c>
      <c r="D36" s="100">
        <v>13.4</v>
      </c>
      <c r="E36" s="101">
        <v>5045</v>
      </c>
      <c r="F36" s="100">
        <v>13.6</v>
      </c>
      <c r="G36" s="100">
        <v>1.1399999999999999</v>
      </c>
      <c r="H36" s="101">
        <v>1042</v>
      </c>
      <c r="I36" s="100">
        <v>15.2</v>
      </c>
      <c r="J36" s="100">
        <v>561</v>
      </c>
      <c r="K36" s="100">
        <v>12.8</v>
      </c>
      <c r="L36" s="35">
        <v>0.54</v>
      </c>
      <c r="N36" s="90"/>
      <c r="O36" s="90"/>
      <c r="P36" s="90"/>
      <c r="Q36" s="90"/>
      <c r="R36" s="90"/>
      <c r="S36" s="90"/>
      <c r="T36" s="90"/>
      <c r="U36" s="90"/>
      <c r="V36" s="90"/>
      <c r="W36" s="90"/>
    </row>
    <row r="37" spans="1:23" x14ac:dyDescent="0.3">
      <c r="A37" s="306"/>
      <c r="B37" s="29" t="s">
        <v>86</v>
      </c>
      <c r="C37" s="98">
        <v>32817</v>
      </c>
      <c r="D37" s="97">
        <v>100</v>
      </c>
      <c r="E37" s="98">
        <v>37143</v>
      </c>
      <c r="F37" s="97">
        <v>100</v>
      </c>
      <c r="G37" s="97">
        <v>1.1299999999999999</v>
      </c>
      <c r="H37" s="98">
        <v>6864</v>
      </c>
      <c r="I37" s="97">
        <v>100</v>
      </c>
      <c r="J37" s="98">
        <v>4367</v>
      </c>
      <c r="K37" s="29">
        <v>100</v>
      </c>
      <c r="L37" s="42">
        <v>0.64</v>
      </c>
      <c r="M37" s="91"/>
      <c r="N37" s="91"/>
      <c r="O37" s="90"/>
      <c r="P37" s="90"/>
      <c r="Q37" s="90"/>
      <c r="R37" s="90"/>
      <c r="S37" s="90"/>
      <c r="T37" s="90"/>
      <c r="U37" s="90"/>
      <c r="V37" s="90"/>
      <c r="W37" s="90"/>
    </row>
    <row r="39" spans="1:23" x14ac:dyDescent="0.3">
      <c r="A39" t="s">
        <v>780</v>
      </c>
    </row>
    <row r="40" spans="1:23" x14ac:dyDescent="0.3">
      <c r="A40" t="s">
        <v>266</v>
      </c>
    </row>
    <row r="41" spans="1:23" x14ac:dyDescent="0.3">
      <c r="A41" t="s">
        <v>265</v>
      </c>
    </row>
    <row r="43" spans="1:23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</row>
    <row r="44" spans="1:23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</row>
    <row r="45" spans="1:23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</row>
    <row r="46" spans="1:23" x14ac:dyDescent="0.3">
      <c r="C46" s="274"/>
      <c r="D46" s="86"/>
      <c r="E46" s="86"/>
      <c r="F46" s="86"/>
      <c r="G46" s="86"/>
      <c r="H46" s="274"/>
      <c r="I46" s="86"/>
      <c r="J46" s="86"/>
      <c r="K46" s="86"/>
      <c r="L46" s="86"/>
    </row>
    <row r="47" spans="1:23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</row>
    <row r="48" spans="1:23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3:12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</row>
    <row r="50" spans="3:12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</row>
    <row r="51" spans="3:12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</row>
    <row r="52" spans="3:12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</row>
    <row r="53" spans="3:12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</row>
    <row r="54" spans="3:12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</row>
    <row r="55" spans="3:12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</row>
    <row r="56" spans="3:12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</row>
    <row r="57" spans="3:12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</row>
    <row r="58" spans="3:12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</row>
    <row r="59" spans="3:12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</row>
    <row r="60" spans="3:12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</row>
    <row r="61" spans="3:12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</row>
    <row r="62" spans="3:12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</row>
    <row r="63" spans="3:12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</row>
    <row r="64" spans="3:12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</row>
    <row r="65" spans="3:12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</row>
    <row r="66" spans="3:12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</row>
    <row r="67" spans="3:12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</row>
    <row r="68" spans="3:12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</row>
    <row r="69" spans="3:12" x14ac:dyDescent="0.3">
      <c r="C69" s="86"/>
      <c r="D69" s="86"/>
      <c r="E69" s="86"/>
      <c r="F69" s="86"/>
      <c r="G69" s="86"/>
      <c r="H69" s="86"/>
      <c r="I69" s="86"/>
      <c r="J69" s="86"/>
      <c r="K69" s="86"/>
      <c r="L69" s="86"/>
    </row>
    <row r="70" spans="3:12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</row>
    <row r="71" spans="3:12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</row>
    <row r="72" spans="3:12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</row>
  </sheetData>
  <mergeCells count="13">
    <mergeCell ref="A26:A31"/>
    <mergeCell ref="A32:A37"/>
    <mergeCell ref="A4:A7"/>
    <mergeCell ref="C4:G4"/>
    <mergeCell ref="H4:L4"/>
    <mergeCell ref="C5:D6"/>
    <mergeCell ref="E5:F6"/>
    <mergeCell ref="H5:I6"/>
    <mergeCell ref="J5:K6"/>
    <mergeCell ref="B4:B7"/>
    <mergeCell ref="A8:A13"/>
    <mergeCell ref="A14:A19"/>
    <mergeCell ref="A20:A25"/>
  </mergeCells>
  <phoneticPr fontId="1" type="noConversion"/>
  <hyperlinks>
    <hyperlink ref="H1" location="목차!A1" display="목차" xr:uid="{00000000-0004-0000-2C00-000000000000}"/>
  </hyperlinks>
  <pageMargins left="0.7" right="0.7" top="0.75" bottom="0.75" header="0.3" footer="0.3"/>
  <pageSetup paperSize="9" orientation="portrait" copies="16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1" tint="0.499984740745262"/>
  </sheetPr>
  <dimension ref="A1:N74"/>
  <sheetViews>
    <sheetView zoomScale="70" zoomScaleNormal="70" workbookViewId="0">
      <selection activeCell="A40" sqref="A40"/>
    </sheetView>
  </sheetViews>
  <sheetFormatPr defaultRowHeight="16.5" x14ac:dyDescent="0.3"/>
  <cols>
    <col min="2" max="2" width="24.25" customWidth="1"/>
  </cols>
  <sheetData>
    <row r="1" spans="1:14" ht="17.25" x14ac:dyDescent="0.3">
      <c r="A1" s="7" t="s">
        <v>422</v>
      </c>
      <c r="B1" s="10"/>
      <c r="C1" s="10"/>
      <c r="D1" s="10"/>
      <c r="E1" s="10"/>
      <c r="G1" s="72" t="s">
        <v>368</v>
      </c>
    </row>
    <row r="3" spans="1:14" x14ac:dyDescent="0.3">
      <c r="L3" s="5" t="s">
        <v>92</v>
      </c>
    </row>
    <row r="4" spans="1:14" ht="17.25" thickBot="1" x14ac:dyDescent="0.35">
      <c r="A4" s="342" t="s">
        <v>245</v>
      </c>
      <c r="B4" s="341" t="s">
        <v>254</v>
      </c>
      <c r="C4" s="335" t="s">
        <v>275</v>
      </c>
      <c r="D4" s="336"/>
      <c r="E4" s="336"/>
      <c r="F4" s="336"/>
      <c r="G4" s="345"/>
      <c r="H4" s="335" t="s">
        <v>274</v>
      </c>
      <c r="I4" s="336"/>
      <c r="J4" s="336"/>
      <c r="K4" s="336"/>
      <c r="L4" s="336"/>
    </row>
    <row r="5" spans="1:14" ht="17.25" thickTop="1" x14ac:dyDescent="0.3">
      <c r="A5" s="342"/>
      <c r="B5" s="341"/>
      <c r="C5" s="355" t="s">
        <v>273</v>
      </c>
      <c r="D5" s="356"/>
      <c r="E5" s="355" t="s">
        <v>271</v>
      </c>
      <c r="F5" s="356"/>
      <c r="G5" s="357" t="s">
        <v>360</v>
      </c>
      <c r="H5" s="355" t="s">
        <v>273</v>
      </c>
      <c r="I5" s="356"/>
      <c r="J5" s="355" t="s">
        <v>271</v>
      </c>
      <c r="K5" s="356"/>
      <c r="L5" s="357" t="s">
        <v>360</v>
      </c>
    </row>
    <row r="6" spans="1:14" ht="17.25" thickBot="1" x14ac:dyDescent="0.35">
      <c r="A6" s="342"/>
      <c r="B6" s="341"/>
      <c r="C6" s="335"/>
      <c r="D6" s="345"/>
      <c r="E6" s="335"/>
      <c r="F6" s="345"/>
      <c r="G6" s="341"/>
      <c r="H6" s="335"/>
      <c r="I6" s="345"/>
      <c r="J6" s="335"/>
      <c r="K6" s="345"/>
      <c r="L6" s="341"/>
    </row>
    <row r="7" spans="1:14" ht="17.25" thickTop="1" x14ac:dyDescent="0.3">
      <c r="A7" s="342"/>
      <c r="B7" s="341"/>
      <c r="C7" s="39" t="s">
        <v>277</v>
      </c>
      <c r="D7" s="357" t="s">
        <v>36</v>
      </c>
      <c r="E7" s="39" t="s">
        <v>77</v>
      </c>
      <c r="F7" s="357" t="s">
        <v>36</v>
      </c>
      <c r="G7" s="341"/>
      <c r="H7" s="39" t="s">
        <v>277</v>
      </c>
      <c r="I7" s="357" t="s">
        <v>36</v>
      </c>
      <c r="J7" s="39" t="s">
        <v>77</v>
      </c>
      <c r="K7" s="357" t="s">
        <v>36</v>
      </c>
      <c r="L7" s="341"/>
    </row>
    <row r="8" spans="1:14" x14ac:dyDescent="0.3">
      <c r="A8" s="342"/>
      <c r="B8" s="341"/>
      <c r="C8" s="43" t="s">
        <v>90</v>
      </c>
      <c r="D8" s="341"/>
      <c r="E8" s="43" t="s">
        <v>91</v>
      </c>
      <c r="F8" s="341"/>
      <c r="G8" s="341"/>
      <c r="H8" s="43" t="s">
        <v>90</v>
      </c>
      <c r="I8" s="341"/>
      <c r="J8" s="43" t="s">
        <v>91</v>
      </c>
      <c r="K8" s="341"/>
      <c r="L8" s="341"/>
    </row>
    <row r="9" spans="1:14" x14ac:dyDescent="0.3">
      <c r="A9" s="304" t="s">
        <v>8</v>
      </c>
      <c r="B9" s="95" t="s">
        <v>57</v>
      </c>
      <c r="C9" s="96">
        <v>12726</v>
      </c>
      <c r="D9" s="95">
        <v>62.6</v>
      </c>
      <c r="E9" s="96">
        <v>13977</v>
      </c>
      <c r="F9" s="95">
        <v>66.2</v>
      </c>
      <c r="G9" s="95">
        <v>1.1000000000000001</v>
      </c>
      <c r="H9" s="95">
        <v>45</v>
      </c>
      <c r="I9" s="95">
        <v>0.7</v>
      </c>
      <c r="J9" s="95">
        <v>8</v>
      </c>
      <c r="K9" s="95">
        <v>0.2</v>
      </c>
      <c r="L9" s="123">
        <v>0.17</v>
      </c>
      <c r="N9" s="90"/>
    </row>
    <row r="10" spans="1:14" x14ac:dyDescent="0.3">
      <c r="A10" s="305"/>
      <c r="B10" s="95" t="s">
        <v>40</v>
      </c>
      <c r="C10" s="96">
        <v>2374</v>
      </c>
      <c r="D10" s="95">
        <v>11.7</v>
      </c>
      <c r="E10" s="96">
        <v>2863</v>
      </c>
      <c r="F10" s="95">
        <v>13.6</v>
      </c>
      <c r="G10" s="95">
        <v>1.21</v>
      </c>
      <c r="H10" s="96">
        <v>2524</v>
      </c>
      <c r="I10" s="95">
        <v>38</v>
      </c>
      <c r="J10" s="96">
        <v>1546</v>
      </c>
      <c r="K10" s="95">
        <v>45.2</v>
      </c>
      <c r="L10" s="123">
        <v>0.61</v>
      </c>
      <c r="N10" s="90"/>
    </row>
    <row r="11" spans="1:14" x14ac:dyDescent="0.3">
      <c r="A11" s="305"/>
      <c r="B11" s="95" t="s">
        <v>44</v>
      </c>
      <c r="C11" s="96">
        <v>1456</v>
      </c>
      <c r="D11" s="95">
        <v>7.2</v>
      </c>
      <c r="E11" s="96">
        <v>2005</v>
      </c>
      <c r="F11" s="95">
        <v>9.5</v>
      </c>
      <c r="G11" s="95">
        <v>1.38</v>
      </c>
      <c r="H11" s="95">
        <v>304</v>
      </c>
      <c r="I11" s="95">
        <v>4.5999999999999996</v>
      </c>
      <c r="J11" s="95">
        <v>164</v>
      </c>
      <c r="K11" s="95">
        <v>4.8</v>
      </c>
      <c r="L11" s="123">
        <v>0.54</v>
      </c>
      <c r="N11" s="90"/>
    </row>
    <row r="12" spans="1:14" x14ac:dyDescent="0.3">
      <c r="A12" s="305"/>
      <c r="B12" s="95" t="s">
        <v>63</v>
      </c>
      <c r="C12" s="96">
        <v>2875</v>
      </c>
      <c r="D12" s="95">
        <v>14.1</v>
      </c>
      <c r="E12" s="96">
        <v>1422</v>
      </c>
      <c r="F12" s="95">
        <v>6.7</v>
      </c>
      <c r="G12" s="95">
        <v>0.49</v>
      </c>
      <c r="H12" s="96">
        <v>1990</v>
      </c>
      <c r="I12" s="95">
        <v>30</v>
      </c>
      <c r="J12" s="95">
        <v>520</v>
      </c>
      <c r="K12" s="95">
        <v>15.2</v>
      </c>
      <c r="L12" s="123">
        <v>0.26</v>
      </c>
      <c r="N12" s="90"/>
    </row>
    <row r="13" spans="1:14" x14ac:dyDescent="0.3">
      <c r="A13" s="305"/>
      <c r="B13" s="95" t="s">
        <v>253</v>
      </c>
      <c r="C13" s="95">
        <v>901</v>
      </c>
      <c r="D13" s="95">
        <v>4.4000000000000004</v>
      </c>
      <c r="E13" s="96">
        <v>849</v>
      </c>
      <c r="F13" s="95">
        <v>4</v>
      </c>
      <c r="G13" s="95">
        <v>0.94</v>
      </c>
      <c r="H13" s="96">
        <v>1777</v>
      </c>
      <c r="I13" s="95">
        <v>26.8</v>
      </c>
      <c r="J13" s="96">
        <v>1180</v>
      </c>
      <c r="K13" s="95">
        <v>34.5</v>
      </c>
      <c r="L13" s="123">
        <v>0.66</v>
      </c>
      <c r="N13" s="90"/>
    </row>
    <row r="14" spans="1:14" x14ac:dyDescent="0.3">
      <c r="A14" s="306"/>
      <c r="B14" s="97" t="s">
        <v>72</v>
      </c>
      <c r="C14" s="98">
        <v>20332</v>
      </c>
      <c r="D14" s="97">
        <v>100</v>
      </c>
      <c r="E14" s="98">
        <v>21116</v>
      </c>
      <c r="F14" s="97">
        <v>100</v>
      </c>
      <c r="G14" s="97">
        <v>1.04</v>
      </c>
      <c r="H14" s="98">
        <v>6640</v>
      </c>
      <c r="I14" s="97">
        <v>100</v>
      </c>
      <c r="J14" s="98">
        <v>3419</v>
      </c>
      <c r="K14" s="97">
        <v>100</v>
      </c>
      <c r="L14" s="125">
        <v>0.51</v>
      </c>
      <c r="N14" s="90"/>
    </row>
    <row r="15" spans="1:14" x14ac:dyDescent="0.3">
      <c r="A15" s="304" t="s">
        <v>9</v>
      </c>
      <c r="B15" s="95" t="s">
        <v>57</v>
      </c>
      <c r="C15" s="96">
        <v>14666</v>
      </c>
      <c r="D15" s="95">
        <v>64.2</v>
      </c>
      <c r="E15" s="96">
        <v>10492</v>
      </c>
      <c r="F15" s="95">
        <v>54.3</v>
      </c>
      <c r="G15" s="95">
        <v>0.72</v>
      </c>
      <c r="H15" s="95">
        <v>39</v>
      </c>
      <c r="I15" s="95">
        <v>0.5</v>
      </c>
      <c r="J15" s="95">
        <v>7</v>
      </c>
      <c r="K15" s="95">
        <v>0.2</v>
      </c>
      <c r="L15" s="123">
        <v>0.18</v>
      </c>
      <c r="N15" s="90"/>
    </row>
    <row r="16" spans="1:14" x14ac:dyDescent="0.3">
      <c r="A16" s="305"/>
      <c r="B16" s="95" t="s">
        <v>40</v>
      </c>
      <c r="C16" s="96">
        <v>2798</v>
      </c>
      <c r="D16" s="95">
        <v>12.3</v>
      </c>
      <c r="E16" s="96">
        <v>3700</v>
      </c>
      <c r="F16" s="95">
        <v>19.2</v>
      </c>
      <c r="G16" s="95">
        <v>1.32</v>
      </c>
      <c r="H16" s="96">
        <v>2593</v>
      </c>
      <c r="I16" s="95">
        <v>36.200000000000003</v>
      </c>
      <c r="J16" s="96">
        <v>1650</v>
      </c>
      <c r="K16" s="95">
        <v>43.3</v>
      </c>
      <c r="L16" s="123">
        <v>0.64</v>
      </c>
      <c r="N16" s="90"/>
    </row>
    <row r="17" spans="1:14" x14ac:dyDescent="0.3">
      <c r="A17" s="305"/>
      <c r="B17" s="95" t="s">
        <v>44</v>
      </c>
      <c r="C17" s="96">
        <v>1493</v>
      </c>
      <c r="D17" s="95">
        <v>6.5</v>
      </c>
      <c r="E17" s="96">
        <v>2426</v>
      </c>
      <c r="F17" s="95">
        <v>12.6</v>
      </c>
      <c r="G17" s="95">
        <v>1.63</v>
      </c>
      <c r="H17" s="95">
        <v>253</v>
      </c>
      <c r="I17" s="95">
        <v>3.5</v>
      </c>
      <c r="J17" s="95">
        <v>149</v>
      </c>
      <c r="K17" s="95">
        <v>3.9</v>
      </c>
      <c r="L17" s="123">
        <v>0.59</v>
      </c>
      <c r="N17" s="90"/>
    </row>
    <row r="18" spans="1:14" x14ac:dyDescent="0.3">
      <c r="A18" s="305"/>
      <c r="B18" s="95" t="s">
        <v>63</v>
      </c>
      <c r="C18" s="96">
        <v>2823</v>
      </c>
      <c r="D18" s="95">
        <v>12.4</v>
      </c>
      <c r="E18" s="96">
        <v>1612</v>
      </c>
      <c r="F18" s="95">
        <v>8.3000000000000007</v>
      </c>
      <c r="G18" s="95">
        <v>0.56999999999999995</v>
      </c>
      <c r="H18" s="96">
        <v>2457</v>
      </c>
      <c r="I18" s="95">
        <v>34.299999999999997</v>
      </c>
      <c r="J18" s="95">
        <v>818</v>
      </c>
      <c r="K18" s="95">
        <v>21.5</v>
      </c>
      <c r="L18" s="123">
        <v>0.33</v>
      </c>
      <c r="N18" s="90"/>
    </row>
    <row r="19" spans="1:14" x14ac:dyDescent="0.3">
      <c r="A19" s="305"/>
      <c r="B19" s="95" t="s">
        <v>253</v>
      </c>
      <c r="C19" s="95">
        <v>1058</v>
      </c>
      <c r="D19" s="95">
        <v>4.5999999999999996</v>
      </c>
      <c r="E19" s="95">
        <v>1089</v>
      </c>
      <c r="F19" s="95">
        <v>5.6</v>
      </c>
      <c r="G19" s="95">
        <v>1.03</v>
      </c>
      <c r="H19" s="96">
        <v>1828</v>
      </c>
      <c r="I19" s="95">
        <v>25.5</v>
      </c>
      <c r="J19" s="96">
        <v>1187</v>
      </c>
      <c r="K19" s="95">
        <v>31.2</v>
      </c>
      <c r="L19" s="123">
        <v>0.65</v>
      </c>
      <c r="N19" s="90"/>
    </row>
    <row r="20" spans="1:14" x14ac:dyDescent="0.3">
      <c r="A20" s="306"/>
      <c r="B20" s="97" t="s">
        <v>72</v>
      </c>
      <c r="C20" s="98">
        <v>22838</v>
      </c>
      <c r="D20" s="97">
        <v>100</v>
      </c>
      <c r="E20" s="98">
        <v>19319</v>
      </c>
      <c r="F20" s="97">
        <v>100</v>
      </c>
      <c r="G20" s="97">
        <v>0.85</v>
      </c>
      <c r="H20" s="98">
        <v>7170</v>
      </c>
      <c r="I20" s="97">
        <v>100</v>
      </c>
      <c r="J20" s="98">
        <v>3811</v>
      </c>
      <c r="K20" s="97">
        <v>100</v>
      </c>
      <c r="L20" s="125">
        <v>0.53</v>
      </c>
      <c r="N20" s="90"/>
    </row>
    <row r="21" spans="1:14" x14ac:dyDescent="0.3">
      <c r="A21" s="304" t="s">
        <v>10</v>
      </c>
      <c r="B21" s="95" t="s">
        <v>57</v>
      </c>
      <c r="C21" s="96">
        <v>15770</v>
      </c>
      <c r="D21" s="95">
        <v>63.2</v>
      </c>
      <c r="E21" s="96">
        <v>11726</v>
      </c>
      <c r="F21" s="95">
        <v>52.6</v>
      </c>
      <c r="G21" s="95">
        <v>0.74</v>
      </c>
      <c r="H21" s="95">
        <v>6</v>
      </c>
      <c r="I21" s="95">
        <v>0.1</v>
      </c>
      <c r="J21" s="95">
        <v>2</v>
      </c>
      <c r="K21" s="95">
        <v>0</v>
      </c>
      <c r="L21" s="123">
        <v>0.35</v>
      </c>
      <c r="N21" s="90"/>
    </row>
    <row r="22" spans="1:14" x14ac:dyDescent="0.3">
      <c r="A22" s="305"/>
      <c r="B22" s="95" t="s">
        <v>40</v>
      </c>
      <c r="C22" s="96">
        <v>3099</v>
      </c>
      <c r="D22" s="95">
        <v>12.4</v>
      </c>
      <c r="E22" s="96">
        <v>4503</v>
      </c>
      <c r="F22" s="95">
        <v>20.2</v>
      </c>
      <c r="G22" s="95">
        <v>1.45</v>
      </c>
      <c r="H22" s="96">
        <v>2545</v>
      </c>
      <c r="I22" s="95">
        <v>34.700000000000003</v>
      </c>
      <c r="J22" s="96">
        <v>1917</v>
      </c>
      <c r="K22" s="95">
        <v>43.1</v>
      </c>
      <c r="L22" s="123">
        <v>0.75</v>
      </c>
      <c r="N22" s="90"/>
    </row>
    <row r="23" spans="1:14" x14ac:dyDescent="0.3">
      <c r="A23" s="305"/>
      <c r="B23" s="95" t="s">
        <v>44</v>
      </c>
      <c r="C23" s="96">
        <v>1710</v>
      </c>
      <c r="D23" s="95">
        <v>6.8</v>
      </c>
      <c r="E23" s="96">
        <v>2994</v>
      </c>
      <c r="F23" s="95">
        <v>13.4</v>
      </c>
      <c r="G23" s="95">
        <v>1.75</v>
      </c>
      <c r="H23" s="95">
        <v>180</v>
      </c>
      <c r="I23" s="95">
        <v>2.5</v>
      </c>
      <c r="J23" s="95">
        <v>125</v>
      </c>
      <c r="K23" s="95">
        <v>2.8</v>
      </c>
      <c r="L23" s="123">
        <v>0.69</v>
      </c>
      <c r="N23" s="90"/>
    </row>
    <row r="24" spans="1:14" x14ac:dyDescent="0.3">
      <c r="A24" s="305"/>
      <c r="B24" s="95" t="s">
        <v>63</v>
      </c>
      <c r="C24" s="96">
        <v>3118</v>
      </c>
      <c r="D24" s="95">
        <v>12.5</v>
      </c>
      <c r="E24" s="96">
        <v>1447</v>
      </c>
      <c r="F24" s="95">
        <v>6.5</v>
      </c>
      <c r="G24" s="95">
        <v>0.46</v>
      </c>
      <c r="H24" s="96">
        <v>2662</v>
      </c>
      <c r="I24" s="95">
        <v>36.299999999999997</v>
      </c>
      <c r="J24" s="95">
        <v>1008</v>
      </c>
      <c r="K24" s="95">
        <v>22.7</v>
      </c>
      <c r="L24" s="123">
        <v>0.38</v>
      </c>
      <c r="N24" s="90"/>
    </row>
    <row r="25" spans="1:14" x14ac:dyDescent="0.3">
      <c r="A25" s="305"/>
      <c r="B25" s="95" t="s">
        <v>253</v>
      </c>
      <c r="C25" s="96">
        <v>1268</v>
      </c>
      <c r="D25" s="95">
        <v>5.0999999999999996</v>
      </c>
      <c r="E25" s="96">
        <v>1621</v>
      </c>
      <c r="F25" s="95">
        <v>7.3</v>
      </c>
      <c r="G25" s="95">
        <v>1.28</v>
      </c>
      <c r="H25" s="96">
        <v>1945</v>
      </c>
      <c r="I25" s="95">
        <v>26.5</v>
      </c>
      <c r="J25" s="96">
        <v>1399</v>
      </c>
      <c r="K25" s="95">
        <v>31.4</v>
      </c>
      <c r="L25" s="123">
        <v>0.72</v>
      </c>
      <c r="N25" s="90"/>
    </row>
    <row r="26" spans="1:14" x14ac:dyDescent="0.3">
      <c r="A26" s="306"/>
      <c r="B26" s="97" t="s">
        <v>72</v>
      </c>
      <c r="C26" s="98">
        <v>24965</v>
      </c>
      <c r="D26" s="97">
        <v>100</v>
      </c>
      <c r="E26" s="98">
        <v>22292</v>
      </c>
      <c r="F26" s="97">
        <v>100</v>
      </c>
      <c r="G26" s="97">
        <v>0.89</v>
      </c>
      <c r="H26" s="98">
        <v>7338</v>
      </c>
      <c r="I26" s="97">
        <v>100</v>
      </c>
      <c r="J26" s="98">
        <v>4451</v>
      </c>
      <c r="K26" s="97">
        <v>100</v>
      </c>
      <c r="L26" s="125">
        <v>0.61</v>
      </c>
      <c r="N26" s="90"/>
    </row>
    <row r="27" spans="1:14" x14ac:dyDescent="0.3">
      <c r="A27" s="304" t="s">
        <v>369</v>
      </c>
      <c r="B27" s="95" t="s">
        <v>57</v>
      </c>
      <c r="C27" s="94">
        <v>16305</v>
      </c>
      <c r="D27" s="93">
        <v>56.5</v>
      </c>
      <c r="E27" s="94">
        <v>12901</v>
      </c>
      <c r="F27" s="93">
        <v>43.7</v>
      </c>
      <c r="G27" s="93">
        <v>0.79</v>
      </c>
      <c r="H27" s="93">
        <v>2</v>
      </c>
      <c r="I27" s="93">
        <v>0</v>
      </c>
      <c r="J27" s="93">
        <v>1</v>
      </c>
      <c r="K27" s="93">
        <v>0</v>
      </c>
      <c r="L27" s="102">
        <v>0.56000000000000005</v>
      </c>
      <c r="N27" s="90"/>
    </row>
    <row r="28" spans="1:14" x14ac:dyDescent="0.3">
      <c r="A28" s="305"/>
      <c r="B28" s="95" t="s">
        <v>40</v>
      </c>
      <c r="C28" s="94">
        <v>3988</v>
      </c>
      <c r="D28" s="93">
        <v>13.8</v>
      </c>
      <c r="E28" s="94">
        <v>6719</v>
      </c>
      <c r="F28" s="93">
        <v>22.7</v>
      </c>
      <c r="G28" s="93">
        <v>1.68</v>
      </c>
      <c r="H28" s="94">
        <v>2332</v>
      </c>
      <c r="I28" s="93">
        <v>31.7</v>
      </c>
      <c r="J28" s="94">
        <v>1718</v>
      </c>
      <c r="K28" s="93">
        <v>37.1</v>
      </c>
      <c r="L28" s="102">
        <v>0.74</v>
      </c>
      <c r="N28" s="90"/>
    </row>
    <row r="29" spans="1:14" x14ac:dyDescent="0.3">
      <c r="A29" s="305"/>
      <c r="B29" s="95" t="s">
        <v>44</v>
      </c>
      <c r="C29" s="94">
        <v>1565</v>
      </c>
      <c r="D29" s="93">
        <v>5.4</v>
      </c>
      <c r="E29" s="94">
        <v>3040</v>
      </c>
      <c r="F29" s="93">
        <v>10.3</v>
      </c>
      <c r="G29" s="93">
        <v>1.94</v>
      </c>
      <c r="H29" s="93">
        <v>77</v>
      </c>
      <c r="I29" s="93">
        <v>1</v>
      </c>
      <c r="J29" s="93">
        <v>57</v>
      </c>
      <c r="K29" s="93">
        <v>1.2</v>
      </c>
      <c r="L29" s="102">
        <v>0.74</v>
      </c>
      <c r="N29" s="90"/>
    </row>
    <row r="30" spans="1:14" x14ac:dyDescent="0.3">
      <c r="A30" s="305"/>
      <c r="B30" s="95" t="s">
        <v>63</v>
      </c>
      <c r="C30" s="94">
        <v>3711</v>
      </c>
      <c r="D30" s="93">
        <v>12.9</v>
      </c>
      <c r="E30" s="94">
        <v>1618</v>
      </c>
      <c r="F30" s="93">
        <v>5.5</v>
      </c>
      <c r="G30" s="93">
        <v>0.44</v>
      </c>
      <c r="H30" s="94">
        <v>2867</v>
      </c>
      <c r="I30" s="93">
        <v>39</v>
      </c>
      <c r="J30" s="94">
        <v>1349</v>
      </c>
      <c r="K30" s="93">
        <v>29.1</v>
      </c>
      <c r="L30" s="102">
        <v>0.47</v>
      </c>
      <c r="N30" s="90"/>
    </row>
    <row r="31" spans="1:14" x14ac:dyDescent="0.3">
      <c r="A31" s="305"/>
      <c r="B31" s="95" t="s">
        <v>253</v>
      </c>
      <c r="C31" s="94">
        <v>3310</v>
      </c>
      <c r="D31" s="93">
        <v>11.5</v>
      </c>
      <c r="E31" s="94">
        <v>5269</v>
      </c>
      <c r="F31" s="93">
        <v>17.8</v>
      </c>
      <c r="G31" s="93">
        <v>1.59</v>
      </c>
      <c r="H31" s="94">
        <v>2071</v>
      </c>
      <c r="I31" s="93">
        <v>28.2</v>
      </c>
      <c r="J31" s="94">
        <v>1510</v>
      </c>
      <c r="K31" s="93">
        <v>32.6</v>
      </c>
      <c r="L31" s="102">
        <v>0.73</v>
      </c>
      <c r="N31" s="90"/>
    </row>
    <row r="32" spans="1:14" x14ac:dyDescent="0.3">
      <c r="A32" s="306"/>
      <c r="B32" s="97" t="s">
        <v>72</v>
      </c>
      <c r="C32" s="98">
        <v>28879</v>
      </c>
      <c r="D32" s="97">
        <v>100</v>
      </c>
      <c r="E32" s="98">
        <v>29548</v>
      </c>
      <c r="F32" s="97">
        <v>100</v>
      </c>
      <c r="G32" s="97">
        <v>1.02</v>
      </c>
      <c r="H32" s="98">
        <v>7349</v>
      </c>
      <c r="I32" s="97">
        <v>100</v>
      </c>
      <c r="J32" s="98">
        <v>4635</v>
      </c>
      <c r="K32" s="97">
        <v>100</v>
      </c>
      <c r="L32" s="125">
        <v>0.63</v>
      </c>
      <c r="N32" s="90"/>
    </row>
    <row r="33" spans="1:14" x14ac:dyDescent="0.3">
      <c r="A33" s="304" t="s">
        <v>402</v>
      </c>
      <c r="B33" s="13" t="s">
        <v>57</v>
      </c>
      <c r="C33" s="94">
        <v>17167</v>
      </c>
      <c r="D33" s="93">
        <v>52.3</v>
      </c>
      <c r="E33" s="94">
        <v>15790</v>
      </c>
      <c r="F33" s="93">
        <v>42.5</v>
      </c>
      <c r="G33" s="93">
        <v>0.92</v>
      </c>
      <c r="H33" s="93">
        <v>5</v>
      </c>
      <c r="I33" s="93">
        <v>0.1</v>
      </c>
      <c r="J33" s="93">
        <v>4</v>
      </c>
      <c r="K33" s="93">
        <v>0.1</v>
      </c>
      <c r="L33" s="102">
        <v>0.78</v>
      </c>
      <c r="N33" s="90"/>
    </row>
    <row r="34" spans="1:14" x14ac:dyDescent="0.3">
      <c r="A34" s="305"/>
      <c r="B34" s="13" t="s">
        <v>40</v>
      </c>
      <c r="C34" s="94">
        <v>5100</v>
      </c>
      <c r="D34" s="93">
        <v>15.5</v>
      </c>
      <c r="E34" s="94">
        <v>9052</v>
      </c>
      <c r="F34" s="93">
        <v>24.4</v>
      </c>
      <c r="G34" s="93">
        <v>1.77</v>
      </c>
      <c r="H34" s="94">
        <v>2441</v>
      </c>
      <c r="I34" s="93">
        <v>35.6</v>
      </c>
      <c r="J34" s="94">
        <v>1911</v>
      </c>
      <c r="K34" s="93">
        <v>43.7</v>
      </c>
      <c r="L34" s="102">
        <v>0.78</v>
      </c>
      <c r="N34" s="90"/>
    </row>
    <row r="35" spans="1:14" x14ac:dyDescent="0.3">
      <c r="A35" s="305"/>
      <c r="B35" s="13" t="s">
        <v>44</v>
      </c>
      <c r="C35" s="94">
        <v>1601</v>
      </c>
      <c r="D35" s="93">
        <v>4.9000000000000004</v>
      </c>
      <c r="E35" s="94">
        <v>3558</v>
      </c>
      <c r="F35" s="93">
        <v>9.6</v>
      </c>
      <c r="G35" s="93">
        <v>2.2200000000000002</v>
      </c>
      <c r="H35" s="93">
        <v>53</v>
      </c>
      <c r="I35" s="93">
        <v>0.8</v>
      </c>
      <c r="J35" s="93">
        <v>39</v>
      </c>
      <c r="K35" s="93">
        <v>0.9</v>
      </c>
      <c r="L35" s="102">
        <v>0.73</v>
      </c>
      <c r="N35" s="90"/>
    </row>
    <row r="36" spans="1:14" x14ac:dyDescent="0.3">
      <c r="A36" s="305"/>
      <c r="B36" s="13" t="s">
        <v>63</v>
      </c>
      <c r="C36" s="94">
        <v>4010</v>
      </c>
      <c r="D36" s="93">
        <v>12.2</v>
      </c>
      <c r="E36" s="94">
        <v>1851</v>
      </c>
      <c r="F36" s="93">
        <v>5</v>
      </c>
      <c r="G36" s="93">
        <v>0.46</v>
      </c>
      <c r="H36" s="94">
        <v>2608</v>
      </c>
      <c r="I36" s="93">
        <v>38</v>
      </c>
      <c r="J36" s="94">
        <v>1041</v>
      </c>
      <c r="K36" s="93">
        <v>23.8</v>
      </c>
      <c r="L36" s="102">
        <v>0.4</v>
      </c>
      <c r="N36" s="90"/>
    </row>
    <row r="37" spans="1:14" x14ac:dyDescent="0.3">
      <c r="A37" s="305"/>
      <c r="B37" s="13" t="s">
        <v>253</v>
      </c>
      <c r="C37" s="94">
        <v>4939</v>
      </c>
      <c r="D37" s="93">
        <v>15.1</v>
      </c>
      <c r="E37" s="94">
        <v>6892</v>
      </c>
      <c r="F37" s="93">
        <v>18.600000000000001</v>
      </c>
      <c r="G37" s="93">
        <v>1.4</v>
      </c>
      <c r="H37" s="94">
        <v>1757</v>
      </c>
      <c r="I37" s="93">
        <v>25.6</v>
      </c>
      <c r="J37" s="94">
        <v>1373</v>
      </c>
      <c r="K37" s="93">
        <v>31.4</v>
      </c>
      <c r="L37" s="102">
        <v>0.78</v>
      </c>
      <c r="N37" s="90"/>
    </row>
    <row r="38" spans="1:14" x14ac:dyDescent="0.3">
      <c r="A38" s="306"/>
      <c r="B38" s="29" t="s">
        <v>72</v>
      </c>
      <c r="C38" s="98">
        <v>32817</v>
      </c>
      <c r="D38" s="97">
        <v>100</v>
      </c>
      <c r="E38" s="98">
        <v>37143</v>
      </c>
      <c r="F38" s="97">
        <v>100</v>
      </c>
      <c r="G38" s="97">
        <v>1.1299999999999999</v>
      </c>
      <c r="H38" s="98">
        <v>6864</v>
      </c>
      <c r="I38" s="97">
        <v>100</v>
      </c>
      <c r="J38" s="98">
        <v>4367</v>
      </c>
      <c r="K38" s="97">
        <v>100</v>
      </c>
      <c r="L38" s="99">
        <v>0.64</v>
      </c>
      <c r="N38" s="90"/>
    </row>
    <row r="40" spans="1:14" x14ac:dyDescent="0.3">
      <c r="A40" t="s">
        <v>780</v>
      </c>
    </row>
    <row r="41" spans="1:14" x14ac:dyDescent="0.3">
      <c r="A41" t="s">
        <v>266</v>
      </c>
    </row>
    <row r="42" spans="1:14" x14ac:dyDescent="0.3">
      <c r="A42" t="s">
        <v>265</v>
      </c>
    </row>
    <row r="43" spans="1:14" x14ac:dyDescent="0.3">
      <c r="A43" t="s">
        <v>276</v>
      </c>
    </row>
    <row r="45" spans="1:14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</row>
    <row r="46" spans="1:14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</row>
    <row r="47" spans="1:14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</row>
    <row r="48" spans="1:14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3:12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</row>
    <row r="50" spans="3:12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</row>
    <row r="51" spans="3:12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</row>
    <row r="52" spans="3:12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</row>
    <row r="53" spans="3:12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</row>
    <row r="54" spans="3:12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</row>
    <row r="55" spans="3:12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</row>
    <row r="56" spans="3:12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</row>
    <row r="57" spans="3:12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</row>
    <row r="58" spans="3:12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</row>
    <row r="59" spans="3:12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</row>
    <row r="60" spans="3:12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</row>
    <row r="61" spans="3:12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</row>
    <row r="62" spans="3:12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</row>
    <row r="63" spans="3:12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</row>
    <row r="64" spans="3:12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</row>
    <row r="65" spans="3:12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</row>
    <row r="66" spans="3:12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</row>
    <row r="67" spans="3:12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</row>
    <row r="68" spans="3:12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</row>
    <row r="69" spans="3:12" x14ac:dyDescent="0.3">
      <c r="C69" s="86"/>
      <c r="D69" s="86"/>
      <c r="E69" s="92"/>
      <c r="F69" s="86"/>
      <c r="G69" s="86"/>
      <c r="H69" s="86"/>
      <c r="I69" s="86"/>
      <c r="J69" s="86"/>
      <c r="K69" s="86"/>
      <c r="L69" s="86"/>
    </row>
    <row r="70" spans="3:12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</row>
    <row r="71" spans="3:12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</row>
    <row r="72" spans="3:12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</row>
    <row r="73" spans="3:12" x14ac:dyDescent="0.3">
      <c r="C73" s="86"/>
      <c r="D73" s="86"/>
      <c r="E73" s="86"/>
      <c r="F73" s="86"/>
      <c r="G73" s="86"/>
      <c r="H73" s="86"/>
      <c r="I73" s="86"/>
      <c r="J73" s="86"/>
      <c r="K73" s="86"/>
      <c r="L73" s="86"/>
    </row>
    <row r="74" spans="3:12" x14ac:dyDescent="0.3">
      <c r="C74" s="86"/>
      <c r="D74" s="86"/>
      <c r="E74" s="86"/>
      <c r="F74" s="86"/>
      <c r="G74" s="86"/>
      <c r="H74" s="86"/>
      <c r="I74" s="86"/>
      <c r="J74" s="86"/>
      <c r="K74" s="86"/>
      <c r="L74" s="86"/>
    </row>
  </sheetData>
  <mergeCells count="19">
    <mergeCell ref="A15:A20"/>
    <mergeCell ref="A9:A14"/>
    <mergeCell ref="F7:F8"/>
    <mergeCell ref="L5:L8"/>
    <mergeCell ref="A33:A38"/>
    <mergeCell ref="I7:I8"/>
    <mergeCell ref="K7:K8"/>
    <mergeCell ref="A27:A32"/>
    <mergeCell ref="A4:A8"/>
    <mergeCell ref="B4:B8"/>
    <mergeCell ref="G5:G8"/>
    <mergeCell ref="D7:D8"/>
    <mergeCell ref="C4:G4"/>
    <mergeCell ref="H4:L4"/>
    <mergeCell ref="C5:D6"/>
    <mergeCell ref="E5:F6"/>
    <mergeCell ref="H5:I6"/>
    <mergeCell ref="J5:K6"/>
    <mergeCell ref="A21:A26"/>
  </mergeCells>
  <phoneticPr fontId="1" type="noConversion"/>
  <hyperlinks>
    <hyperlink ref="G1" location="목차!A1" display="목차" xr:uid="{00000000-0004-0000-2D00-000000000000}"/>
  </hyperlinks>
  <pageMargins left="0.7" right="0.7" top="0.75" bottom="0.75" header="0.3" footer="0.3"/>
  <pageSetup paperSize="9" orientation="portrait" copies="16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1" tint="0.499984740745262"/>
  </sheetPr>
  <dimension ref="A1:O64"/>
  <sheetViews>
    <sheetView topLeftCell="A14" zoomScale="70" zoomScaleNormal="70" workbookViewId="0">
      <selection activeCell="J43" sqref="J43"/>
    </sheetView>
  </sheetViews>
  <sheetFormatPr defaultRowHeight="16.5" x14ac:dyDescent="0.3"/>
  <cols>
    <col min="2" max="2" width="18.375" customWidth="1"/>
  </cols>
  <sheetData>
    <row r="1" spans="1:15" ht="17.25" x14ac:dyDescent="0.3">
      <c r="A1" s="7" t="s">
        <v>423</v>
      </c>
      <c r="B1" s="2"/>
      <c r="C1" s="2"/>
      <c r="D1" s="2"/>
      <c r="E1" s="2"/>
      <c r="F1" s="2"/>
      <c r="G1" s="2"/>
      <c r="I1" s="72" t="s">
        <v>368</v>
      </c>
    </row>
    <row r="3" spans="1:15" x14ac:dyDescent="0.3">
      <c r="A3" s="45"/>
      <c r="B3" s="45"/>
      <c r="C3" s="45"/>
      <c r="D3" s="45"/>
      <c r="E3" s="45"/>
      <c r="F3" s="45"/>
      <c r="G3" s="45"/>
      <c r="H3" s="33" t="s">
        <v>280</v>
      </c>
    </row>
    <row r="4" spans="1:15" ht="17.25" thickBot="1" x14ac:dyDescent="0.35">
      <c r="A4" s="342" t="s">
        <v>245</v>
      </c>
      <c r="B4" s="341" t="s">
        <v>139</v>
      </c>
      <c r="C4" s="335" t="s">
        <v>279</v>
      </c>
      <c r="D4" s="345"/>
      <c r="E4" s="335" t="s">
        <v>278</v>
      </c>
      <c r="F4" s="345"/>
      <c r="G4" s="335" t="s">
        <v>86</v>
      </c>
      <c r="H4" s="336"/>
    </row>
    <row r="5" spans="1:15" ht="17.25" thickTop="1" x14ac:dyDescent="0.3">
      <c r="A5" s="342"/>
      <c r="B5" s="341"/>
      <c r="C5" s="39" t="s">
        <v>277</v>
      </c>
      <c r="D5" s="39" t="s">
        <v>36</v>
      </c>
      <c r="E5" s="39" t="s">
        <v>277</v>
      </c>
      <c r="F5" s="39" t="s">
        <v>36</v>
      </c>
      <c r="G5" s="39" t="s">
        <v>277</v>
      </c>
      <c r="H5" s="40" t="s">
        <v>36</v>
      </c>
    </row>
    <row r="6" spans="1:15" x14ac:dyDescent="0.3">
      <c r="A6" s="304" t="s">
        <v>8</v>
      </c>
      <c r="B6" s="95" t="s">
        <v>40</v>
      </c>
      <c r="C6" s="95">
        <v>148</v>
      </c>
      <c r="D6" s="95">
        <v>48.1</v>
      </c>
      <c r="E6" s="95">
        <v>120</v>
      </c>
      <c r="F6" s="95">
        <v>57.7</v>
      </c>
      <c r="G6" s="95">
        <v>268</v>
      </c>
      <c r="H6" s="123">
        <v>51.9</v>
      </c>
      <c r="J6" s="90"/>
      <c r="K6" s="90"/>
      <c r="L6" s="90"/>
      <c r="M6" s="90"/>
      <c r="N6" s="90"/>
      <c r="O6" s="90"/>
    </row>
    <row r="7" spans="1:15" x14ac:dyDescent="0.3">
      <c r="A7" s="305"/>
      <c r="B7" s="95" t="s">
        <v>57</v>
      </c>
      <c r="C7" s="95">
        <v>127</v>
      </c>
      <c r="D7" s="95">
        <v>41.2</v>
      </c>
      <c r="E7" s="79" t="s">
        <v>372</v>
      </c>
      <c r="F7" s="79" t="s">
        <v>372</v>
      </c>
      <c r="G7" s="95">
        <v>127</v>
      </c>
      <c r="H7" s="123">
        <v>24.6</v>
      </c>
      <c r="J7" s="90"/>
      <c r="K7" s="90"/>
      <c r="L7" s="90"/>
      <c r="M7" s="90"/>
      <c r="N7" s="90"/>
      <c r="O7" s="90"/>
    </row>
    <row r="8" spans="1:15" x14ac:dyDescent="0.3">
      <c r="A8" s="305"/>
      <c r="B8" s="95" t="s">
        <v>44</v>
      </c>
      <c r="C8" s="95">
        <v>24</v>
      </c>
      <c r="D8" s="95">
        <v>7.8</v>
      </c>
      <c r="E8" s="95">
        <v>24</v>
      </c>
      <c r="F8" s="95">
        <v>11.5</v>
      </c>
      <c r="G8" s="95">
        <v>48</v>
      </c>
      <c r="H8" s="123">
        <v>9.3000000000000007</v>
      </c>
      <c r="J8" s="90"/>
      <c r="K8" s="90"/>
      <c r="L8" s="90"/>
      <c r="M8" s="90"/>
      <c r="N8" s="90"/>
      <c r="O8" s="90"/>
    </row>
    <row r="9" spans="1:15" x14ac:dyDescent="0.3">
      <c r="A9" s="305"/>
      <c r="B9" s="95" t="s">
        <v>41</v>
      </c>
      <c r="C9" s="79" t="s">
        <v>372</v>
      </c>
      <c r="D9" s="79" t="s">
        <v>372</v>
      </c>
      <c r="E9" s="79" t="s">
        <v>372</v>
      </c>
      <c r="F9" s="79" t="s">
        <v>372</v>
      </c>
      <c r="G9" s="79" t="s">
        <v>372</v>
      </c>
      <c r="H9" s="79" t="s">
        <v>372</v>
      </c>
      <c r="J9" s="90"/>
      <c r="K9" s="90"/>
      <c r="L9" s="90"/>
      <c r="M9" s="90"/>
      <c r="N9" s="90"/>
      <c r="O9" s="90"/>
    </row>
    <row r="10" spans="1:15" x14ac:dyDescent="0.3">
      <c r="A10" s="305"/>
      <c r="B10" s="95" t="s">
        <v>68</v>
      </c>
      <c r="C10" s="79" t="s">
        <v>372</v>
      </c>
      <c r="D10" s="79" t="s">
        <v>372</v>
      </c>
      <c r="E10" s="95">
        <v>21</v>
      </c>
      <c r="F10" s="95">
        <v>10.1</v>
      </c>
      <c r="G10" s="95">
        <v>21</v>
      </c>
      <c r="H10" s="123">
        <v>4.0999999999999996</v>
      </c>
      <c r="J10" s="90"/>
      <c r="K10" s="90"/>
      <c r="L10" s="90"/>
      <c r="M10" s="90"/>
      <c r="N10" s="90"/>
      <c r="O10" s="90"/>
    </row>
    <row r="11" spans="1:15" x14ac:dyDescent="0.3">
      <c r="A11" s="305"/>
      <c r="B11" s="95" t="s">
        <v>52</v>
      </c>
      <c r="C11" s="95">
        <v>4</v>
      </c>
      <c r="D11" s="95">
        <v>1.3</v>
      </c>
      <c r="E11" s="79" t="s">
        <v>372</v>
      </c>
      <c r="F11" s="79" t="s">
        <v>372</v>
      </c>
      <c r="G11" s="95">
        <v>4</v>
      </c>
      <c r="H11" s="123">
        <v>0.8</v>
      </c>
      <c r="J11" s="90"/>
      <c r="K11" s="90"/>
      <c r="L11" s="90"/>
      <c r="M11" s="90"/>
      <c r="N11" s="90"/>
      <c r="O11" s="90"/>
    </row>
    <row r="12" spans="1:15" x14ac:dyDescent="0.3">
      <c r="A12" s="305"/>
      <c r="B12" s="95" t="s">
        <v>56</v>
      </c>
      <c r="C12" s="79" t="s">
        <v>372</v>
      </c>
      <c r="D12" s="79" t="s">
        <v>372</v>
      </c>
      <c r="E12" s="79" t="s">
        <v>372</v>
      </c>
      <c r="F12" s="79" t="s">
        <v>372</v>
      </c>
      <c r="G12" s="79" t="s">
        <v>372</v>
      </c>
      <c r="H12" s="79" t="s">
        <v>372</v>
      </c>
      <c r="J12" s="90"/>
      <c r="K12" s="90"/>
      <c r="L12" s="90"/>
      <c r="M12" s="90"/>
      <c r="N12" s="90"/>
      <c r="O12" s="90"/>
    </row>
    <row r="13" spans="1:15" x14ac:dyDescent="0.3">
      <c r="A13" s="305"/>
      <c r="B13" s="95" t="s">
        <v>45</v>
      </c>
      <c r="C13" s="79" t="s">
        <v>372</v>
      </c>
      <c r="D13" s="79" t="s">
        <v>372</v>
      </c>
      <c r="E13" s="95">
        <v>3</v>
      </c>
      <c r="F13" s="95">
        <v>1.4</v>
      </c>
      <c r="G13" s="95">
        <v>3</v>
      </c>
      <c r="H13" s="123">
        <v>0.6</v>
      </c>
      <c r="J13" s="90"/>
      <c r="K13" s="90"/>
      <c r="L13" s="90"/>
      <c r="M13" s="90"/>
      <c r="N13" s="90"/>
      <c r="O13" s="90"/>
    </row>
    <row r="14" spans="1:15" x14ac:dyDescent="0.3">
      <c r="A14" s="305"/>
      <c r="B14" s="95" t="s">
        <v>71</v>
      </c>
      <c r="C14" s="79" t="s">
        <v>372</v>
      </c>
      <c r="D14" s="79" t="s">
        <v>372</v>
      </c>
      <c r="E14" s="95">
        <v>20</v>
      </c>
      <c r="F14" s="95">
        <v>9.6</v>
      </c>
      <c r="G14" s="95">
        <v>20</v>
      </c>
      <c r="H14" s="123">
        <v>3.9</v>
      </c>
      <c r="J14" s="90"/>
      <c r="K14" s="90"/>
      <c r="L14" s="90"/>
      <c r="M14" s="90"/>
      <c r="N14" s="90"/>
      <c r="O14" s="90"/>
    </row>
    <row r="15" spans="1:15" x14ac:dyDescent="0.3">
      <c r="A15" s="305"/>
      <c r="B15" s="95" t="s">
        <v>253</v>
      </c>
      <c r="C15" s="95">
        <v>5</v>
      </c>
      <c r="D15" s="95">
        <v>1.6</v>
      </c>
      <c r="E15" s="95">
        <v>20</v>
      </c>
      <c r="F15" s="95">
        <v>9.6</v>
      </c>
      <c r="G15" s="95">
        <v>25</v>
      </c>
      <c r="H15" s="123">
        <v>4.8</v>
      </c>
      <c r="J15" s="90"/>
      <c r="K15" s="90"/>
      <c r="L15" s="90"/>
      <c r="M15" s="90"/>
      <c r="N15" s="90"/>
      <c r="O15" s="90"/>
    </row>
    <row r="16" spans="1:15" x14ac:dyDescent="0.3">
      <c r="A16" s="306"/>
      <c r="B16" s="97" t="s">
        <v>86</v>
      </c>
      <c r="C16" s="97">
        <v>308</v>
      </c>
      <c r="D16" s="97">
        <v>100</v>
      </c>
      <c r="E16" s="97">
        <v>208</v>
      </c>
      <c r="F16" s="97">
        <v>100</v>
      </c>
      <c r="G16" s="97">
        <v>516</v>
      </c>
      <c r="H16" s="125">
        <v>100</v>
      </c>
      <c r="J16" s="90"/>
      <c r="K16" s="90"/>
      <c r="L16" s="90"/>
      <c r="M16" s="90"/>
      <c r="N16" s="90"/>
      <c r="O16" s="90"/>
    </row>
    <row r="17" spans="1:15" x14ac:dyDescent="0.3">
      <c r="A17" s="304" t="s">
        <v>9</v>
      </c>
      <c r="B17" s="95" t="s">
        <v>40</v>
      </c>
      <c r="C17" s="95">
        <v>163</v>
      </c>
      <c r="D17" s="95">
        <v>51.3</v>
      </c>
      <c r="E17" s="95">
        <v>129</v>
      </c>
      <c r="F17" s="95">
        <v>59.7</v>
      </c>
      <c r="G17" s="95">
        <v>292</v>
      </c>
      <c r="H17" s="123">
        <v>54.7</v>
      </c>
      <c r="J17" s="90"/>
      <c r="K17" s="90"/>
      <c r="L17" s="90"/>
      <c r="M17" s="90"/>
      <c r="N17" s="90"/>
      <c r="O17" s="90"/>
    </row>
    <row r="18" spans="1:15" x14ac:dyDescent="0.3">
      <c r="A18" s="305"/>
      <c r="B18" s="95" t="s">
        <v>57</v>
      </c>
      <c r="C18" s="95">
        <v>127</v>
      </c>
      <c r="D18" s="95">
        <v>39.9</v>
      </c>
      <c r="E18" s="79" t="s">
        <v>372</v>
      </c>
      <c r="F18" s="79" t="s">
        <v>372</v>
      </c>
      <c r="G18" s="95">
        <v>127</v>
      </c>
      <c r="H18" s="123">
        <v>23.8</v>
      </c>
      <c r="J18" s="90"/>
      <c r="K18" s="90"/>
      <c r="L18" s="90"/>
      <c r="M18" s="90"/>
      <c r="N18" s="90"/>
      <c r="O18" s="90"/>
    </row>
    <row r="19" spans="1:15" x14ac:dyDescent="0.3">
      <c r="A19" s="305"/>
      <c r="B19" s="95" t="s">
        <v>44</v>
      </c>
      <c r="C19" s="95">
        <v>21</v>
      </c>
      <c r="D19" s="95">
        <v>6.6</v>
      </c>
      <c r="E19" s="95">
        <v>18</v>
      </c>
      <c r="F19" s="95">
        <v>8.3000000000000007</v>
      </c>
      <c r="G19" s="95">
        <v>39</v>
      </c>
      <c r="H19" s="123">
        <v>7.3</v>
      </c>
      <c r="J19" s="90"/>
      <c r="K19" s="90"/>
      <c r="L19" s="90"/>
      <c r="M19" s="90"/>
      <c r="N19" s="90"/>
      <c r="O19" s="90"/>
    </row>
    <row r="20" spans="1:15" x14ac:dyDescent="0.3">
      <c r="A20" s="305"/>
      <c r="B20" s="95" t="s">
        <v>41</v>
      </c>
      <c r="C20" s="79" t="s">
        <v>372</v>
      </c>
      <c r="D20" s="79" t="s">
        <v>372</v>
      </c>
      <c r="E20" s="79" t="s">
        <v>372</v>
      </c>
      <c r="F20" s="79" t="s">
        <v>372</v>
      </c>
      <c r="G20" s="79" t="s">
        <v>372</v>
      </c>
      <c r="H20" s="79" t="s">
        <v>372</v>
      </c>
      <c r="J20" s="90"/>
      <c r="K20" s="90"/>
      <c r="L20" s="90"/>
      <c r="M20" s="90"/>
      <c r="N20" s="90"/>
      <c r="O20" s="90"/>
    </row>
    <row r="21" spans="1:15" x14ac:dyDescent="0.3">
      <c r="A21" s="305"/>
      <c r="B21" s="95" t="s">
        <v>68</v>
      </c>
      <c r="C21" s="79" t="s">
        <v>372</v>
      </c>
      <c r="D21" s="79" t="s">
        <v>372</v>
      </c>
      <c r="E21" s="95">
        <v>20</v>
      </c>
      <c r="F21" s="95">
        <v>9.3000000000000007</v>
      </c>
      <c r="G21" s="95">
        <v>20</v>
      </c>
      <c r="H21" s="123">
        <v>3.7</v>
      </c>
      <c r="J21" s="90"/>
      <c r="K21" s="90"/>
      <c r="L21" s="90"/>
      <c r="M21" s="90"/>
      <c r="N21" s="90"/>
      <c r="O21" s="90"/>
    </row>
    <row r="22" spans="1:15" x14ac:dyDescent="0.3">
      <c r="A22" s="305"/>
      <c r="B22" s="95" t="s">
        <v>52</v>
      </c>
      <c r="C22" s="95">
        <v>5</v>
      </c>
      <c r="D22" s="95">
        <v>1.6</v>
      </c>
      <c r="E22" s="79" t="s">
        <v>372</v>
      </c>
      <c r="F22" s="79" t="s">
        <v>372</v>
      </c>
      <c r="G22" s="95">
        <v>5</v>
      </c>
      <c r="H22" s="123">
        <v>0.9</v>
      </c>
      <c r="J22" s="90"/>
      <c r="K22" s="90"/>
      <c r="L22" s="90"/>
      <c r="M22" s="90"/>
      <c r="N22" s="90"/>
      <c r="O22" s="90"/>
    </row>
    <row r="23" spans="1:15" x14ac:dyDescent="0.3">
      <c r="A23" s="305"/>
      <c r="B23" s="95" t="s">
        <v>56</v>
      </c>
      <c r="C23" s="79" t="s">
        <v>372</v>
      </c>
      <c r="D23" s="79" t="s">
        <v>372</v>
      </c>
      <c r="E23" s="79" t="s">
        <v>372</v>
      </c>
      <c r="F23" s="79" t="s">
        <v>372</v>
      </c>
      <c r="G23" s="79" t="s">
        <v>372</v>
      </c>
      <c r="H23" s="79" t="s">
        <v>372</v>
      </c>
      <c r="J23" s="90"/>
      <c r="K23" s="90"/>
      <c r="L23" s="90"/>
      <c r="M23" s="90"/>
      <c r="N23" s="90"/>
      <c r="O23" s="90"/>
    </row>
    <row r="24" spans="1:15" x14ac:dyDescent="0.3">
      <c r="A24" s="305"/>
      <c r="B24" s="95" t="s">
        <v>45</v>
      </c>
      <c r="C24" s="79" t="s">
        <v>372</v>
      </c>
      <c r="D24" s="79" t="s">
        <v>372</v>
      </c>
      <c r="E24" s="95">
        <v>4</v>
      </c>
      <c r="F24" s="95">
        <v>1.9</v>
      </c>
      <c r="G24" s="95">
        <v>4</v>
      </c>
      <c r="H24" s="123">
        <v>0.7</v>
      </c>
      <c r="J24" s="90"/>
      <c r="K24" s="90"/>
      <c r="L24" s="90"/>
      <c r="M24" s="90"/>
      <c r="N24" s="90"/>
      <c r="O24" s="90"/>
    </row>
    <row r="25" spans="1:15" x14ac:dyDescent="0.3">
      <c r="A25" s="305"/>
      <c r="B25" s="95" t="s">
        <v>71</v>
      </c>
      <c r="C25" s="79" t="s">
        <v>372</v>
      </c>
      <c r="D25" s="79" t="s">
        <v>372</v>
      </c>
      <c r="E25" s="95">
        <v>18</v>
      </c>
      <c r="F25" s="95">
        <v>8.3000000000000007</v>
      </c>
      <c r="G25" s="95">
        <v>18</v>
      </c>
      <c r="H25" s="123">
        <v>3.4</v>
      </c>
      <c r="J25" s="90"/>
      <c r="K25" s="90"/>
      <c r="L25" s="90"/>
      <c r="M25" s="90"/>
      <c r="N25" s="90"/>
      <c r="O25" s="90"/>
    </row>
    <row r="26" spans="1:15" x14ac:dyDescent="0.3">
      <c r="A26" s="305"/>
      <c r="B26" s="95" t="s">
        <v>253</v>
      </c>
      <c r="C26" s="95">
        <v>2</v>
      </c>
      <c r="D26" s="95">
        <v>0.6</v>
      </c>
      <c r="E26" s="95">
        <v>27</v>
      </c>
      <c r="F26" s="95">
        <v>12.5</v>
      </c>
      <c r="G26" s="95">
        <v>29</v>
      </c>
      <c r="H26" s="123">
        <v>5.4</v>
      </c>
      <c r="J26" s="90"/>
      <c r="K26" s="90"/>
      <c r="L26" s="90"/>
      <c r="M26" s="90"/>
      <c r="N26" s="90"/>
      <c r="O26" s="90"/>
    </row>
    <row r="27" spans="1:15" x14ac:dyDescent="0.3">
      <c r="A27" s="306"/>
      <c r="B27" s="97" t="s">
        <v>86</v>
      </c>
      <c r="C27" s="97">
        <v>318</v>
      </c>
      <c r="D27" s="97">
        <v>100</v>
      </c>
      <c r="E27" s="97">
        <v>216</v>
      </c>
      <c r="F27" s="97">
        <v>100</v>
      </c>
      <c r="G27" s="97">
        <v>534</v>
      </c>
      <c r="H27" s="125">
        <v>100</v>
      </c>
      <c r="J27" s="90"/>
      <c r="K27" s="90"/>
      <c r="L27" s="90"/>
      <c r="M27" s="90"/>
      <c r="N27" s="90"/>
      <c r="O27" s="90"/>
    </row>
    <row r="28" spans="1:15" x14ac:dyDescent="0.3">
      <c r="A28" s="304" t="s">
        <v>10</v>
      </c>
      <c r="B28" s="95" t="s">
        <v>40</v>
      </c>
      <c r="C28" s="95">
        <v>78</v>
      </c>
      <c r="D28" s="95">
        <v>34.1</v>
      </c>
      <c r="E28" s="95">
        <v>36</v>
      </c>
      <c r="F28" s="95">
        <v>58.1</v>
      </c>
      <c r="G28" s="95">
        <v>114</v>
      </c>
      <c r="H28" s="123">
        <v>39.200000000000003</v>
      </c>
      <c r="J28" s="90"/>
      <c r="K28" s="90"/>
      <c r="L28" s="90"/>
      <c r="M28" s="90"/>
      <c r="N28" s="90"/>
      <c r="O28" s="90"/>
    </row>
    <row r="29" spans="1:15" x14ac:dyDescent="0.3">
      <c r="A29" s="305"/>
      <c r="B29" s="95" t="s">
        <v>57</v>
      </c>
      <c r="C29" s="95">
        <v>143</v>
      </c>
      <c r="D29" s="95">
        <v>62.4</v>
      </c>
      <c r="E29" s="79" t="s">
        <v>372</v>
      </c>
      <c r="F29" s="79" t="s">
        <v>372</v>
      </c>
      <c r="G29" s="95">
        <v>143</v>
      </c>
      <c r="H29" s="123">
        <v>49.1</v>
      </c>
      <c r="J29" s="90"/>
      <c r="K29" s="90"/>
      <c r="L29" s="90"/>
      <c r="M29" s="90"/>
      <c r="N29" s="90"/>
      <c r="O29" s="90"/>
    </row>
    <row r="30" spans="1:15" x14ac:dyDescent="0.3">
      <c r="A30" s="305"/>
      <c r="B30" s="95" t="s">
        <v>44</v>
      </c>
      <c r="C30" s="79" t="s">
        <v>372</v>
      </c>
      <c r="D30" s="79" t="s">
        <v>372</v>
      </c>
      <c r="E30" s="95">
        <v>15</v>
      </c>
      <c r="F30" s="95">
        <v>24.2</v>
      </c>
      <c r="G30" s="95">
        <v>15</v>
      </c>
      <c r="H30" s="123">
        <v>5.2</v>
      </c>
      <c r="J30" s="90"/>
      <c r="K30" s="90"/>
      <c r="L30" s="90"/>
      <c r="M30" s="90"/>
      <c r="N30" s="90"/>
      <c r="O30" s="90"/>
    </row>
    <row r="31" spans="1:15" x14ac:dyDescent="0.3">
      <c r="A31" s="305"/>
      <c r="B31" s="95" t="s">
        <v>41</v>
      </c>
      <c r="C31" s="79" t="s">
        <v>372</v>
      </c>
      <c r="D31" s="79" t="s">
        <v>372</v>
      </c>
      <c r="E31" s="79" t="s">
        <v>372</v>
      </c>
      <c r="F31" s="79" t="s">
        <v>372</v>
      </c>
      <c r="G31" s="79" t="s">
        <v>372</v>
      </c>
      <c r="H31" s="79" t="s">
        <v>372</v>
      </c>
      <c r="J31" s="90"/>
      <c r="K31" s="90"/>
      <c r="L31" s="90"/>
      <c r="M31" s="90"/>
      <c r="N31" s="90"/>
      <c r="O31" s="90"/>
    </row>
    <row r="32" spans="1:15" x14ac:dyDescent="0.3">
      <c r="A32" s="305"/>
      <c r="B32" s="95" t="s">
        <v>68</v>
      </c>
      <c r="C32" s="79" t="s">
        <v>372</v>
      </c>
      <c r="D32" s="79" t="s">
        <v>372</v>
      </c>
      <c r="E32" s="95">
        <v>9</v>
      </c>
      <c r="F32" s="95">
        <v>14.5</v>
      </c>
      <c r="G32" s="95">
        <v>9</v>
      </c>
      <c r="H32" s="123">
        <v>3.1</v>
      </c>
      <c r="J32" s="90"/>
      <c r="K32" s="90"/>
      <c r="L32" s="90"/>
      <c r="M32" s="90"/>
      <c r="N32" s="90"/>
      <c r="O32" s="90"/>
    </row>
    <row r="33" spans="1:15" x14ac:dyDescent="0.3">
      <c r="A33" s="305"/>
      <c r="B33" s="95" t="s">
        <v>52</v>
      </c>
      <c r="C33" s="79" t="s">
        <v>372</v>
      </c>
      <c r="D33" s="79" t="s">
        <v>372</v>
      </c>
      <c r="E33" s="79" t="s">
        <v>372</v>
      </c>
      <c r="F33" s="79" t="s">
        <v>372</v>
      </c>
      <c r="G33" s="79" t="s">
        <v>372</v>
      </c>
      <c r="H33" s="79" t="s">
        <v>372</v>
      </c>
      <c r="J33" s="90"/>
      <c r="K33" s="90"/>
      <c r="L33" s="90"/>
      <c r="M33" s="90"/>
      <c r="N33" s="90"/>
      <c r="O33" s="90"/>
    </row>
    <row r="34" spans="1:15" x14ac:dyDescent="0.3">
      <c r="A34" s="305"/>
      <c r="B34" s="95" t="s">
        <v>56</v>
      </c>
      <c r="C34" s="79" t="s">
        <v>372</v>
      </c>
      <c r="D34" s="79" t="s">
        <v>372</v>
      </c>
      <c r="E34" s="79" t="s">
        <v>372</v>
      </c>
      <c r="F34" s="79" t="s">
        <v>372</v>
      </c>
      <c r="G34" s="79" t="s">
        <v>372</v>
      </c>
      <c r="H34" s="79" t="s">
        <v>372</v>
      </c>
      <c r="J34" s="90"/>
      <c r="K34" s="90"/>
      <c r="L34" s="90"/>
      <c r="M34" s="90"/>
      <c r="N34" s="90"/>
      <c r="O34" s="90"/>
    </row>
    <row r="35" spans="1:15" x14ac:dyDescent="0.3">
      <c r="A35" s="305"/>
      <c r="B35" s="95" t="s">
        <v>45</v>
      </c>
      <c r="C35" s="79" t="s">
        <v>372</v>
      </c>
      <c r="D35" s="79" t="s">
        <v>372</v>
      </c>
      <c r="E35" s="95">
        <v>1</v>
      </c>
      <c r="F35" s="95">
        <v>1.6</v>
      </c>
      <c r="G35" s="95">
        <v>1</v>
      </c>
      <c r="H35" s="123">
        <v>0.3</v>
      </c>
      <c r="J35" s="90"/>
      <c r="K35" s="90"/>
      <c r="L35" s="90"/>
      <c r="M35" s="90"/>
      <c r="N35" s="90"/>
      <c r="O35" s="90"/>
    </row>
    <row r="36" spans="1:15" x14ac:dyDescent="0.3">
      <c r="A36" s="305"/>
      <c r="B36" s="95" t="s">
        <v>71</v>
      </c>
      <c r="C36" s="79" t="s">
        <v>372</v>
      </c>
      <c r="D36" s="79" t="s">
        <v>372</v>
      </c>
      <c r="E36" s="79" t="s">
        <v>372</v>
      </c>
      <c r="F36" s="79" t="s">
        <v>372</v>
      </c>
      <c r="G36" s="79" t="s">
        <v>372</v>
      </c>
      <c r="H36" s="79" t="s">
        <v>372</v>
      </c>
      <c r="J36" s="90"/>
      <c r="K36" s="90"/>
      <c r="L36" s="90"/>
      <c r="M36" s="90"/>
      <c r="N36" s="90"/>
      <c r="O36" s="90"/>
    </row>
    <row r="37" spans="1:15" x14ac:dyDescent="0.3">
      <c r="A37" s="305"/>
      <c r="B37" s="95" t="s">
        <v>253</v>
      </c>
      <c r="C37" s="95">
        <v>8</v>
      </c>
      <c r="D37" s="95">
        <v>3.5</v>
      </c>
      <c r="E37" s="95">
        <v>1</v>
      </c>
      <c r="F37" s="95">
        <v>1.6</v>
      </c>
      <c r="G37" s="95">
        <v>9</v>
      </c>
      <c r="H37" s="123">
        <v>3.1</v>
      </c>
      <c r="J37" s="90"/>
      <c r="K37" s="90"/>
      <c r="L37" s="90"/>
      <c r="M37" s="90"/>
      <c r="N37" s="90"/>
      <c r="O37" s="90"/>
    </row>
    <row r="38" spans="1:15" x14ac:dyDescent="0.3">
      <c r="A38" s="306"/>
      <c r="B38" s="97" t="s">
        <v>86</v>
      </c>
      <c r="C38" s="97">
        <v>229</v>
      </c>
      <c r="D38" s="97">
        <v>100</v>
      </c>
      <c r="E38" s="97">
        <v>62</v>
      </c>
      <c r="F38" s="97">
        <v>100</v>
      </c>
      <c r="G38" s="97">
        <v>291</v>
      </c>
      <c r="H38" s="125">
        <v>100</v>
      </c>
      <c r="J38" s="90"/>
      <c r="K38" s="90"/>
      <c r="L38" s="90"/>
      <c r="M38" s="90"/>
      <c r="N38" s="90"/>
      <c r="O38" s="90"/>
    </row>
    <row r="39" spans="1:15" x14ac:dyDescent="0.3">
      <c r="A39" s="304" t="s">
        <v>369</v>
      </c>
      <c r="B39" s="95" t="s">
        <v>40</v>
      </c>
      <c r="C39" s="95">
        <v>68</v>
      </c>
      <c r="D39" s="95">
        <v>51.9</v>
      </c>
      <c r="E39" s="95">
        <v>12</v>
      </c>
      <c r="F39" s="95">
        <v>85.7</v>
      </c>
      <c r="G39" s="95">
        <v>80</v>
      </c>
      <c r="H39" s="123">
        <v>55.2</v>
      </c>
      <c r="J39" s="90"/>
      <c r="K39" s="90"/>
      <c r="L39" s="90"/>
      <c r="M39" s="90"/>
      <c r="N39" s="90"/>
      <c r="O39" s="90"/>
    </row>
    <row r="40" spans="1:15" x14ac:dyDescent="0.3">
      <c r="A40" s="305"/>
      <c r="B40" s="95" t="s">
        <v>57</v>
      </c>
      <c r="C40" s="95">
        <v>59</v>
      </c>
      <c r="D40" s="95">
        <v>45</v>
      </c>
      <c r="E40" s="79" t="s">
        <v>372</v>
      </c>
      <c r="F40" s="79" t="s">
        <v>372</v>
      </c>
      <c r="G40" s="95">
        <v>59</v>
      </c>
      <c r="H40" s="123">
        <v>40.700000000000003</v>
      </c>
      <c r="J40" s="90"/>
      <c r="K40" s="90"/>
      <c r="L40" s="90"/>
      <c r="M40" s="90"/>
      <c r="N40" s="90"/>
      <c r="O40" s="90"/>
    </row>
    <row r="41" spans="1:15" x14ac:dyDescent="0.3">
      <c r="A41" s="305"/>
      <c r="B41" s="95" t="s">
        <v>44</v>
      </c>
      <c r="C41" s="79" t="s">
        <v>372</v>
      </c>
      <c r="D41" s="79" t="s">
        <v>372</v>
      </c>
      <c r="E41" s="95">
        <v>1</v>
      </c>
      <c r="F41" s="95">
        <v>7.1</v>
      </c>
      <c r="G41" s="95">
        <v>1</v>
      </c>
      <c r="H41" s="123">
        <v>0.7</v>
      </c>
      <c r="J41" s="90"/>
      <c r="K41" s="90"/>
      <c r="L41" s="90"/>
      <c r="M41" s="90"/>
      <c r="N41" s="90"/>
      <c r="O41" s="90"/>
    </row>
    <row r="42" spans="1:15" x14ac:dyDescent="0.3">
      <c r="A42" s="305"/>
      <c r="B42" s="95" t="s">
        <v>41</v>
      </c>
      <c r="C42" s="79" t="s">
        <v>372</v>
      </c>
      <c r="D42" s="79" t="s">
        <v>372</v>
      </c>
      <c r="E42" s="79" t="s">
        <v>372</v>
      </c>
      <c r="F42" s="79" t="s">
        <v>372</v>
      </c>
      <c r="G42" s="79" t="s">
        <v>372</v>
      </c>
      <c r="H42" s="79" t="s">
        <v>372</v>
      </c>
      <c r="J42" s="90"/>
      <c r="K42" s="90"/>
      <c r="L42" s="90"/>
      <c r="M42" s="90"/>
      <c r="N42" s="90"/>
      <c r="O42" s="90"/>
    </row>
    <row r="43" spans="1:15" x14ac:dyDescent="0.3">
      <c r="A43" s="305"/>
      <c r="B43" s="95" t="s">
        <v>68</v>
      </c>
      <c r="C43" s="79" t="s">
        <v>372</v>
      </c>
      <c r="D43" s="79" t="s">
        <v>372</v>
      </c>
      <c r="E43" s="95">
        <v>1</v>
      </c>
      <c r="F43" s="95">
        <v>7.1</v>
      </c>
      <c r="G43" s="95">
        <v>1</v>
      </c>
      <c r="H43" s="123">
        <v>0.7</v>
      </c>
      <c r="J43" s="90"/>
      <c r="K43" s="90"/>
      <c r="L43" s="90"/>
      <c r="M43" s="90"/>
      <c r="N43" s="90"/>
      <c r="O43" s="90"/>
    </row>
    <row r="44" spans="1:15" x14ac:dyDescent="0.3">
      <c r="A44" s="305"/>
      <c r="B44" s="95" t="s">
        <v>52</v>
      </c>
      <c r="C44" s="95">
        <v>1</v>
      </c>
      <c r="D44" s="95">
        <v>0.8</v>
      </c>
      <c r="E44" s="79" t="s">
        <v>372</v>
      </c>
      <c r="F44" s="79" t="s">
        <v>372</v>
      </c>
      <c r="G44" s="95">
        <v>1</v>
      </c>
      <c r="H44" s="123">
        <v>0.7</v>
      </c>
      <c r="J44" s="90"/>
      <c r="K44" s="90"/>
      <c r="L44" s="90"/>
      <c r="M44" s="90"/>
      <c r="N44" s="90"/>
      <c r="O44" s="90"/>
    </row>
    <row r="45" spans="1:15" x14ac:dyDescent="0.3">
      <c r="A45" s="305"/>
      <c r="B45" s="95" t="s">
        <v>56</v>
      </c>
      <c r="C45" s="79" t="s">
        <v>372</v>
      </c>
      <c r="D45" s="79" t="s">
        <v>372</v>
      </c>
      <c r="E45" s="79" t="s">
        <v>372</v>
      </c>
      <c r="F45" s="79" t="s">
        <v>372</v>
      </c>
      <c r="G45" s="79" t="s">
        <v>372</v>
      </c>
      <c r="H45" s="79" t="s">
        <v>372</v>
      </c>
      <c r="J45" s="90"/>
      <c r="K45" s="90"/>
      <c r="L45" s="90"/>
      <c r="M45" s="90"/>
      <c r="N45" s="90"/>
      <c r="O45" s="90"/>
    </row>
    <row r="46" spans="1:15" x14ac:dyDescent="0.3">
      <c r="A46" s="305"/>
      <c r="B46" s="95" t="s">
        <v>45</v>
      </c>
      <c r="C46" s="79" t="s">
        <v>372</v>
      </c>
      <c r="D46" s="79" t="s">
        <v>372</v>
      </c>
      <c r="E46" s="79" t="s">
        <v>372</v>
      </c>
      <c r="F46" s="79" t="s">
        <v>372</v>
      </c>
      <c r="G46" s="79" t="s">
        <v>372</v>
      </c>
      <c r="H46" s="79" t="s">
        <v>372</v>
      </c>
      <c r="J46" s="90"/>
      <c r="K46" s="90"/>
      <c r="L46" s="90"/>
      <c r="M46" s="90"/>
      <c r="N46" s="90"/>
      <c r="O46" s="90"/>
    </row>
    <row r="47" spans="1:15" x14ac:dyDescent="0.3">
      <c r="A47" s="305"/>
      <c r="B47" s="95" t="s">
        <v>71</v>
      </c>
      <c r="C47" s="79" t="s">
        <v>372</v>
      </c>
      <c r="D47" s="79" t="s">
        <v>372</v>
      </c>
      <c r="E47" s="79" t="s">
        <v>372</v>
      </c>
      <c r="F47" s="79" t="s">
        <v>372</v>
      </c>
      <c r="G47" s="79" t="s">
        <v>372</v>
      </c>
      <c r="H47" s="79" t="s">
        <v>372</v>
      </c>
      <c r="J47" s="90"/>
      <c r="K47" s="90"/>
      <c r="L47" s="90"/>
      <c r="M47" s="90"/>
      <c r="N47" s="90"/>
      <c r="O47" s="90"/>
    </row>
    <row r="48" spans="1:15" x14ac:dyDescent="0.3">
      <c r="A48" s="305"/>
      <c r="B48" s="95" t="s">
        <v>253</v>
      </c>
      <c r="C48" s="95">
        <v>3</v>
      </c>
      <c r="D48" s="95">
        <v>2.2999999999999998</v>
      </c>
      <c r="E48" s="79" t="s">
        <v>372</v>
      </c>
      <c r="F48" s="79" t="s">
        <v>372</v>
      </c>
      <c r="G48" s="95">
        <v>3</v>
      </c>
      <c r="H48" s="123">
        <v>2.1</v>
      </c>
      <c r="J48" s="90"/>
      <c r="K48" s="90"/>
      <c r="L48" s="90"/>
      <c r="M48" s="90"/>
      <c r="N48" s="90"/>
      <c r="O48" s="90"/>
    </row>
    <row r="49" spans="1:15" x14ac:dyDescent="0.3">
      <c r="A49" s="306"/>
      <c r="B49" s="97" t="s">
        <v>86</v>
      </c>
      <c r="C49" s="97">
        <v>131</v>
      </c>
      <c r="D49" s="97">
        <v>100</v>
      </c>
      <c r="E49" s="97">
        <v>14</v>
      </c>
      <c r="F49" s="97">
        <v>100</v>
      </c>
      <c r="G49" s="97">
        <v>145</v>
      </c>
      <c r="H49" s="125">
        <v>100</v>
      </c>
      <c r="J49" s="90"/>
      <c r="K49" s="90"/>
      <c r="L49" s="90"/>
      <c r="M49" s="90"/>
      <c r="N49" s="90"/>
      <c r="O49" s="90"/>
    </row>
    <row r="50" spans="1:15" x14ac:dyDescent="0.3">
      <c r="A50" s="304" t="s">
        <v>402</v>
      </c>
      <c r="B50" s="13" t="s">
        <v>40</v>
      </c>
      <c r="C50" s="13">
        <v>96</v>
      </c>
      <c r="D50" s="13">
        <v>61.1</v>
      </c>
      <c r="E50" s="13">
        <v>5</v>
      </c>
      <c r="F50" s="13">
        <v>100</v>
      </c>
      <c r="G50" s="13">
        <v>101</v>
      </c>
      <c r="H50" s="35">
        <v>62.3</v>
      </c>
      <c r="J50" s="90"/>
      <c r="K50" s="90"/>
      <c r="L50" s="90"/>
      <c r="M50" s="90"/>
      <c r="N50" s="90"/>
      <c r="O50" s="90"/>
    </row>
    <row r="51" spans="1:15" x14ac:dyDescent="0.3">
      <c r="A51" s="305"/>
      <c r="B51" s="13" t="s">
        <v>57</v>
      </c>
      <c r="C51" s="13">
        <v>60</v>
      </c>
      <c r="D51" s="13">
        <v>38.200000000000003</v>
      </c>
      <c r="E51" s="79">
        <v>0</v>
      </c>
      <c r="F51" s="79">
        <v>0</v>
      </c>
      <c r="G51" s="13">
        <v>60</v>
      </c>
      <c r="H51" s="35">
        <v>37</v>
      </c>
      <c r="J51" s="90"/>
      <c r="K51" s="90"/>
      <c r="L51" s="90"/>
      <c r="M51" s="90"/>
      <c r="N51" s="90"/>
      <c r="O51" s="90"/>
    </row>
    <row r="52" spans="1:15" x14ac:dyDescent="0.3">
      <c r="A52" s="305"/>
      <c r="B52" s="13" t="s">
        <v>44</v>
      </c>
      <c r="C52" s="79">
        <v>0</v>
      </c>
      <c r="D52" s="79">
        <v>0</v>
      </c>
      <c r="E52" s="13">
        <v>0</v>
      </c>
      <c r="F52" s="13">
        <v>0</v>
      </c>
      <c r="G52" s="13">
        <v>0</v>
      </c>
      <c r="H52" s="35">
        <v>0</v>
      </c>
      <c r="J52" s="90"/>
      <c r="K52" s="90"/>
      <c r="L52" s="90"/>
      <c r="M52" s="90"/>
      <c r="N52" s="90"/>
      <c r="O52" s="90"/>
    </row>
    <row r="53" spans="1:15" x14ac:dyDescent="0.3">
      <c r="A53" s="305"/>
      <c r="B53" s="13" t="s">
        <v>41</v>
      </c>
      <c r="C53" s="79">
        <v>0</v>
      </c>
      <c r="D53" s="79">
        <v>0</v>
      </c>
      <c r="E53" s="79">
        <v>0</v>
      </c>
      <c r="F53" s="79">
        <v>0</v>
      </c>
      <c r="G53" s="79">
        <v>0</v>
      </c>
      <c r="H53" s="79">
        <v>0</v>
      </c>
      <c r="J53" s="90"/>
      <c r="K53" s="90"/>
      <c r="L53" s="90"/>
      <c r="M53" s="90"/>
      <c r="N53" s="90"/>
      <c r="O53" s="90"/>
    </row>
    <row r="54" spans="1:15" x14ac:dyDescent="0.3">
      <c r="A54" s="305"/>
      <c r="B54" s="13" t="s">
        <v>68</v>
      </c>
      <c r="C54" s="79">
        <v>0</v>
      </c>
      <c r="D54" s="79">
        <v>0</v>
      </c>
      <c r="E54" s="13">
        <v>0</v>
      </c>
      <c r="F54" s="13">
        <v>0</v>
      </c>
      <c r="G54" s="13">
        <v>0</v>
      </c>
      <c r="H54" s="35">
        <v>0</v>
      </c>
      <c r="J54" s="90"/>
      <c r="K54" s="90"/>
      <c r="L54" s="90"/>
      <c r="M54" s="90"/>
      <c r="N54" s="90"/>
      <c r="O54" s="90"/>
    </row>
    <row r="55" spans="1:15" x14ac:dyDescent="0.3">
      <c r="A55" s="305"/>
      <c r="B55" s="13" t="s">
        <v>52</v>
      </c>
      <c r="C55" s="13">
        <v>0</v>
      </c>
      <c r="D55" s="13">
        <v>0</v>
      </c>
      <c r="E55" s="79">
        <v>0</v>
      </c>
      <c r="F55" s="79">
        <v>0</v>
      </c>
      <c r="G55" s="13">
        <v>0</v>
      </c>
      <c r="H55" s="35">
        <v>0</v>
      </c>
      <c r="J55" s="90"/>
      <c r="K55" s="90"/>
      <c r="L55" s="90"/>
      <c r="M55" s="90"/>
      <c r="N55" s="90"/>
      <c r="O55" s="90"/>
    </row>
    <row r="56" spans="1:15" x14ac:dyDescent="0.3">
      <c r="A56" s="305"/>
      <c r="B56" s="13" t="s">
        <v>56</v>
      </c>
      <c r="C56" s="79">
        <v>0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J56" s="90"/>
      <c r="K56" s="90"/>
      <c r="L56" s="90"/>
      <c r="M56" s="90"/>
      <c r="N56" s="90"/>
      <c r="O56" s="90"/>
    </row>
    <row r="57" spans="1:15" x14ac:dyDescent="0.3">
      <c r="A57" s="305"/>
      <c r="B57" s="13" t="s">
        <v>45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J57" s="90"/>
      <c r="K57" s="90"/>
      <c r="L57" s="90"/>
      <c r="M57" s="90"/>
      <c r="N57" s="90"/>
      <c r="O57" s="90"/>
    </row>
    <row r="58" spans="1:15" x14ac:dyDescent="0.3">
      <c r="A58" s="305"/>
      <c r="B58" s="13" t="s">
        <v>71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J58" s="90"/>
      <c r="K58" s="90"/>
      <c r="L58" s="90"/>
      <c r="M58" s="90"/>
      <c r="N58" s="90"/>
      <c r="O58" s="90"/>
    </row>
    <row r="59" spans="1:15" x14ac:dyDescent="0.3">
      <c r="A59" s="305"/>
      <c r="B59" s="13" t="s">
        <v>253</v>
      </c>
      <c r="C59" s="13">
        <v>1</v>
      </c>
      <c r="D59" s="13">
        <v>0.6</v>
      </c>
      <c r="E59" s="79">
        <v>0</v>
      </c>
      <c r="F59" s="79">
        <v>0</v>
      </c>
      <c r="G59" s="13">
        <v>1</v>
      </c>
      <c r="H59" s="35">
        <v>0.6</v>
      </c>
      <c r="J59" s="90"/>
      <c r="K59" s="90"/>
      <c r="L59" s="90"/>
      <c r="M59" s="90"/>
      <c r="N59" s="90"/>
      <c r="O59" s="90"/>
    </row>
    <row r="60" spans="1:15" x14ac:dyDescent="0.3">
      <c r="A60" s="306"/>
      <c r="B60" s="29" t="s">
        <v>86</v>
      </c>
      <c r="C60" s="29">
        <v>157</v>
      </c>
      <c r="D60" s="29">
        <v>100</v>
      </c>
      <c r="E60" s="29">
        <v>5</v>
      </c>
      <c r="F60" s="29">
        <v>100</v>
      </c>
      <c r="G60" s="29">
        <v>162</v>
      </c>
      <c r="H60" s="42">
        <v>100</v>
      </c>
      <c r="J60" s="90"/>
      <c r="K60" s="90"/>
      <c r="L60" s="90"/>
      <c r="M60" s="90"/>
      <c r="N60" s="90"/>
      <c r="O60" s="90"/>
    </row>
    <row r="62" spans="1:15" x14ac:dyDescent="0.3">
      <c r="A62" t="s">
        <v>780</v>
      </c>
    </row>
    <row r="63" spans="1:15" x14ac:dyDescent="0.3">
      <c r="A63" t="s">
        <v>266</v>
      </c>
    </row>
    <row r="64" spans="1:15" x14ac:dyDescent="0.3">
      <c r="A64" t="s">
        <v>276</v>
      </c>
    </row>
  </sheetData>
  <mergeCells count="10">
    <mergeCell ref="C4:D4"/>
    <mergeCell ref="E4:F4"/>
    <mergeCell ref="G4:H4"/>
    <mergeCell ref="A39:A49"/>
    <mergeCell ref="A50:A60"/>
    <mergeCell ref="A4:A5"/>
    <mergeCell ref="B4:B5"/>
    <mergeCell ref="A28:A38"/>
    <mergeCell ref="A17:A27"/>
    <mergeCell ref="A6:A16"/>
  </mergeCells>
  <phoneticPr fontId="1" type="noConversion"/>
  <hyperlinks>
    <hyperlink ref="I1" location="목차!A1" display="목차" xr:uid="{00000000-0004-0000-2E00-000000000000}"/>
  </hyperlinks>
  <pageMargins left="0.7" right="0.7" top="0.75" bottom="0.75" header="0.3" footer="0.3"/>
  <pageSetup paperSize="9" orientation="portrait" copies="16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1" tint="0.499984740745262"/>
  </sheetPr>
  <dimension ref="A1:AC72"/>
  <sheetViews>
    <sheetView zoomScale="55" zoomScaleNormal="55" workbookViewId="0">
      <selection activeCell="A10" sqref="A10:Q39"/>
    </sheetView>
  </sheetViews>
  <sheetFormatPr defaultRowHeight="16.5" x14ac:dyDescent="0.3"/>
  <cols>
    <col min="1" max="1" width="18.375" customWidth="1"/>
  </cols>
  <sheetData>
    <row r="1" spans="1:29" ht="17.25" x14ac:dyDescent="0.3">
      <c r="A1" s="7" t="s">
        <v>493</v>
      </c>
      <c r="B1" s="4"/>
      <c r="C1" s="4"/>
      <c r="D1" s="4"/>
      <c r="E1" s="4"/>
      <c r="F1" s="4"/>
      <c r="H1" s="72" t="s">
        <v>368</v>
      </c>
    </row>
    <row r="3" spans="1:29" x14ac:dyDescent="0.3">
      <c r="Q3" s="5" t="s">
        <v>280</v>
      </c>
    </row>
    <row r="4" spans="1:29" ht="17.25" thickBot="1" x14ac:dyDescent="0.35">
      <c r="A4" s="342" t="s">
        <v>139</v>
      </c>
      <c r="B4" s="335" t="s">
        <v>369</v>
      </c>
      <c r="C4" s="336"/>
      <c r="D4" s="336"/>
      <c r="E4" s="336"/>
      <c r="F4" s="336"/>
      <c r="G4" s="336"/>
      <c r="H4" s="336"/>
      <c r="I4" s="345"/>
      <c r="J4" s="335" t="s">
        <v>402</v>
      </c>
      <c r="K4" s="336"/>
      <c r="L4" s="336"/>
      <c r="M4" s="336"/>
      <c r="N4" s="336"/>
      <c r="O4" s="336"/>
      <c r="P4" s="336"/>
      <c r="Q4" s="336"/>
    </row>
    <row r="5" spans="1:29" ht="17.25" thickTop="1" x14ac:dyDescent="0.3">
      <c r="A5" s="342"/>
      <c r="B5" s="355" t="s">
        <v>314</v>
      </c>
      <c r="C5" s="358"/>
      <c r="D5" s="358"/>
      <c r="E5" s="358"/>
      <c r="F5" s="356"/>
      <c r="G5" s="357" t="s">
        <v>278</v>
      </c>
      <c r="H5" s="355" t="s">
        <v>313</v>
      </c>
      <c r="I5" s="356"/>
      <c r="J5" s="355" t="s">
        <v>314</v>
      </c>
      <c r="K5" s="358"/>
      <c r="L5" s="358"/>
      <c r="M5" s="358"/>
      <c r="N5" s="356"/>
      <c r="O5" s="357" t="s">
        <v>278</v>
      </c>
      <c r="P5" s="355" t="s">
        <v>313</v>
      </c>
      <c r="Q5" s="358"/>
    </row>
    <row r="6" spans="1:29" ht="17.25" thickBot="1" x14ac:dyDescent="0.35">
      <c r="A6" s="342"/>
      <c r="B6" s="335"/>
      <c r="C6" s="336"/>
      <c r="D6" s="336"/>
      <c r="E6" s="336"/>
      <c r="F6" s="345"/>
      <c r="G6" s="341"/>
      <c r="H6" s="335"/>
      <c r="I6" s="345"/>
      <c r="J6" s="335"/>
      <c r="K6" s="336"/>
      <c r="L6" s="336"/>
      <c r="M6" s="336"/>
      <c r="N6" s="345"/>
      <c r="O6" s="341"/>
      <c r="P6" s="335"/>
      <c r="Q6" s="336"/>
    </row>
    <row r="7" spans="1:29" ht="50.25" customHeight="1" thickTop="1" x14ac:dyDescent="0.3">
      <c r="A7" s="342"/>
      <c r="B7" s="357" t="s">
        <v>355</v>
      </c>
      <c r="C7" s="357" t="s">
        <v>356</v>
      </c>
      <c r="D7" s="357" t="s">
        <v>312</v>
      </c>
      <c r="E7" s="357" t="s">
        <v>311</v>
      </c>
      <c r="F7" s="357" t="s">
        <v>310</v>
      </c>
      <c r="G7" s="341"/>
      <c r="H7" s="357" t="s">
        <v>277</v>
      </c>
      <c r="I7" s="357" t="s">
        <v>36</v>
      </c>
      <c r="J7" s="357" t="s">
        <v>355</v>
      </c>
      <c r="K7" s="357" t="s">
        <v>356</v>
      </c>
      <c r="L7" s="357" t="s">
        <v>312</v>
      </c>
      <c r="M7" s="357" t="s">
        <v>311</v>
      </c>
      <c r="N7" s="357" t="s">
        <v>310</v>
      </c>
      <c r="O7" s="341"/>
      <c r="P7" s="357" t="s">
        <v>277</v>
      </c>
      <c r="Q7" s="355" t="s">
        <v>36</v>
      </c>
    </row>
    <row r="8" spans="1:29" ht="15" customHeight="1" x14ac:dyDescent="0.3">
      <c r="A8" s="342"/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0"/>
    </row>
    <row r="9" spans="1:29" ht="15" customHeight="1" x14ac:dyDescent="0.3">
      <c r="A9" s="342"/>
      <c r="B9" s="341"/>
      <c r="C9" s="341"/>
      <c r="D9" s="341"/>
      <c r="E9" s="341"/>
      <c r="F9" s="341"/>
      <c r="G9" s="341"/>
      <c r="H9" s="341"/>
      <c r="I9" s="341"/>
      <c r="J9" s="341"/>
      <c r="K9" s="341"/>
      <c r="L9" s="341"/>
      <c r="M9" s="341"/>
      <c r="N9" s="341"/>
      <c r="O9" s="341"/>
      <c r="P9" s="341"/>
      <c r="Q9" s="340"/>
    </row>
    <row r="10" spans="1:29" x14ac:dyDescent="0.3">
      <c r="A10" s="46" t="s">
        <v>309</v>
      </c>
      <c r="B10" s="47">
        <v>1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1</v>
      </c>
      <c r="I10" s="47">
        <v>0.7</v>
      </c>
      <c r="J10" s="47">
        <v>0</v>
      </c>
      <c r="K10" s="47">
        <v>0</v>
      </c>
      <c r="L10" s="47">
        <v>0</v>
      </c>
      <c r="M10" s="47">
        <v>0</v>
      </c>
      <c r="N10" s="47">
        <v>1</v>
      </c>
      <c r="O10" s="47">
        <v>0</v>
      </c>
      <c r="P10" s="47">
        <v>1</v>
      </c>
      <c r="Q10" s="48">
        <v>0.6</v>
      </c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</row>
    <row r="11" spans="1:29" x14ac:dyDescent="0.3">
      <c r="A11" s="46" t="s">
        <v>308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81">
        <v>0</v>
      </c>
      <c r="K11" s="81">
        <v>0</v>
      </c>
      <c r="L11" s="81">
        <v>0</v>
      </c>
      <c r="M11" s="81">
        <v>0</v>
      </c>
      <c r="N11" s="81">
        <v>1</v>
      </c>
      <c r="O11" s="81">
        <v>0</v>
      </c>
      <c r="P11" s="81">
        <v>1</v>
      </c>
      <c r="Q11" s="81">
        <v>0.6</v>
      </c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</row>
    <row r="12" spans="1:29" x14ac:dyDescent="0.3">
      <c r="A12" s="46" t="s">
        <v>307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</row>
    <row r="13" spans="1:29" x14ac:dyDescent="0.3">
      <c r="A13" s="46" t="s">
        <v>306</v>
      </c>
      <c r="B13" s="47">
        <v>8</v>
      </c>
      <c r="C13" s="47">
        <v>0</v>
      </c>
      <c r="D13" s="47">
        <v>3</v>
      </c>
      <c r="E13" s="47">
        <v>0</v>
      </c>
      <c r="F13" s="47">
        <v>4</v>
      </c>
      <c r="G13" s="47">
        <v>0</v>
      </c>
      <c r="H13" s="47">
        <v>15</v>
      </c>
      <c r="I13" s="47">
        <v>10.3</v>
      </c>
      <c r="J13" s="47">
        <v>7</v>
      </c>
      <c r="K13" s="47">
        <v>0</v>
      </c>
      <c r="L13" s="47">
        <v>2</v>
      </c>
      <c r="M13" s="47">
        <v>0</v>
      </c>
      <c r="N13" s="47">
        <v>6</v>
      </c>
      <c r="O13" s="47">
        <v>0</v>
      </c>
      <c r="P13" s="47">
        <v>15</v>
      </c>
      <c r="Q13" s="48">
        <v>9.3000000000000007</v>
      </c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</row>
    <row r="14" spans="1:29" x14ac:dyDescent="0.3">
      <c r="A14" s="46" t="s">
        <v>305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</row>
    <row r="15" spans="1:29" x14ac:dyDescent="0.3">
      <c r="A15" s="46" t="s">
        <v>304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</row>
    <row r="16" spans="1:29" x14ac:dyDescent="0.3">
      <c r="A16" s="46" t="s">
        <v>303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81">
        <v>0</v>
      </c>
      <c r="K16" s="81">
        <v>0</v>
      </c>
      <c r="L16" s="81">
        <v>0</v>
      </c>
      <c r="M16" s="81">
        <v>0</v>
      </c>
      <c r="N16" s="81">
        <v>1</v>
      </c>
      <c r="O16" s="81">
        <v>0</v>
      </c>
      <c r="P16" s="81">
        <v>1</v>
      </c>
      <c r="Q16" s="81">
        <v>0.6</v>
      </c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</row>
    <row r="17" spans="1:29" x14ac:dyDescent="0.3">
      <c r="A17" s="46" t="s">
        <v>302</v>
      </c>
      <c r="B17" s="47">
        <v>15</v>
      </c>
      <c r="C17" s="47">
        <v>0</v>
      </c>
      <c r="D17" s="47">
        <v>18</v>
      </c>
      <c r="E17" s="47">
        <v>0</v>
      </c>
      <c r="F17" s="47">
        <v>29</v>
      </c>
      <c r="G17" s="47">
        <v>8</v>
      </c>
      <c r="H17" s="47">
        <v>70</v>
      </c>
      <c r="I17" s="47">
        <v>48.3</v>
      </c>
      <c r="J17" s="47">
        <v>21</v>
      </c>
      <c r="K17" s="47">
        <v>1</v>
      </c>
      <c r="L17" s="47">
        <v>10</v>
      </c>
      <c r="M17" s="47">
        <v>0</v>
      </c>
      <c r="N17" s="47">
        <v>29</v>
      </c>
      <c r="O17" s="47">
        <v>3</v>
      </c>
      <c r="P17" s="47">
        <v>64</v>
      </c>
      <c r="Q17" s="48">
        <v>39.5</v>
      </c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</row>
    <row r="18" spans="1:29" x14ac:dyDescent="0.3">
      <c r="A18" s="46" t="s">
        <v>301</v>
      </c>
      <c r="B18" s="47">
        <v>0</v>
      </c>
      <c r="C18" s="47">
        <v>0</v>
      </c>
      <c r="D18" s="47">
        <v>0</v>
      </c>
      <c r="E18" s="47">
        <v>0</v>
      </c>
      <c r="F18" s="47">
        <v>6</v>
      </c>
      <c r="G18" s="47">
        <v>0</v>
      </c>
      <c r="H18" s="47">
        <v>6</v>
      </c>
      <c r="I18" s="47">
        <v>4.0999999999999996</v>
      </c>
      <c r="J18" s="47">
        <v>0</v>
      </c>
      <c r="K18" s="47">
        <v>0</v>
      </c>
      <c r="L18" s="47">
        <v>0</v>
      </c>
      <c r="M18" s="47">
        <v>0</v>
      </c>
      <c r="N18" s="47">
        <v>9</v>
      </c>
      <c r="O18" s="47">
        <v>0</v>
      </c>
      <c r="P18" s="47">
        <v>9</v>
      </c>
      <c r="Q18" s="48">
        <v>5.6</v>
      </c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</row>
    <row r="19" spans="1:29" x14ac:dyDescent="0.3">
      <c r="A19" s="46" t="s">
        <v>300</v>
      </c>
      <c r="B19" s="47">
        <v>2</v>
      </c>
      <c r="C19" s="47">
        <v>0</v>
      </c>
      <c r="D19" s="47">
        <v>1</v>
      </c>
      <c r="E19" s="47">
        <v>0</v>
      </c>
      <c r="F19" s="47">
        <v>0</v>
      </c>
      <c r="G19" s="47">
        <v>1</v>
      </c>
      <c r="H19" s="47">
        <v>4</v>
      </c>
      <c r="I19" s="47">
        <v>2.8</v>
      </c>
      <c r="J19" s="47">
        <v>2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2</v>
      </c>
      <c r="Q19" s="48">
        <v>1.2</v>
      </c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</row>
    <row r="20" spans="1:29" x14ac:dyDescent="0.3">
      <c r="A20" s="46" t="s">
        <v>299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81">
        <v>0</v>
      </c>
      <c r="K20" s="81">
        <v>0</v>
      </c>
      <c r="L20" s="81">
        <v>0</v>
      </c>
      <c r="M20" s="81">
        <v>0</v>
      </c>
      <c r="N20" s="81">
        <v>1</v>
      </c>
      <c r="O20" s="81">
        <v>0</v>
      </c>
      <c r="P20" s="81">
        <v>1</v>
      </c>
      <c r="Q20" s="81">
        <v>0.6</v>
      </c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</row>
    <row r="21" spans="1:29" x14ac:dyDescent="0.3">
      <c r="A21" s="46" t="s">
        <v>298</v>
      </c>
      <c r="B21" s="47">
        <v>1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1</v>
      </c>
      <c r="I21" s="47">
        <v>0.7</v>
      </c>
      <c r="J21" s="47">
        <v>2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2</v>
      </c>
      <c r="Q21" s="48">
        <v>1.2</v>
      </c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</row>
    <row r="22" spans="1:29" x14ac:dyDescent="0.3">
      <c r="A22" s="46" t="s">
        <v>297</v>
      </c>
      <c r="B22" s="47">
        <v>2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2</v>
      </c>
      <c r="I22" s="47">
        <v>1.4</v>
      </c>
      <c r="J22" s="47">
        <v>2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2</v>
      </c>
      <c r="Q22" s="48">
        <v>1.2</v>
      </c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</row>
    <row r="23" spans="1:29" x14ac:dyDescent="0.3">
      <c r="A23" s="46" t="s">
        <v>296</v>
      </c>
      <c r="B23" s="47">
        <v>0</v>
      </c>
      <c r="C23" s="47">
        <v>0</v>
      </c>
      <c r="D23" s="47">
        <v>14</v>
      </c>
      <c r="E23" s="47">
        <v>0</v>
      </c>
      <c r="F23" s="47">
        <v>0</v>
      </c>
      <c r="G23" s="47">
        <v>0</v>
      </c>
      <c r="H23" s="47">
        <v>14</v>
      </c>
      <c r="I23" s="47">
        <v>9.6999999999999993</v>
      </c>
      <c r="J23" s="47">
        <v>2</v>
      </c>
      <c r="K23" s="47">
        <v>0</v>
      </c>
      <c r="L23" s="47">
        <v>10</v>
      </c>
      <c r="M23" s="47">
        <v>0</v>
      </c>
      <c r="N23" s="47">
        <v>0</v>
      </c>
      <c r="O23" s="47">
        <v>0</v>
      </c>
      <c r="P23" s="47">
        <v>12</v>
      </c>
      <c r="Q23" s="48">
        <v>7.4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</row>
    <row r="24" spans="1:29" x14ac:dyDescent="0.3">
      <c r="A24" s="46" t="s">
        <v>295</v>
      </c>
      <c r="B24" s="47">
        <v>0</v>
      </c>
      <c r="C24" s="47">
        <v>0</v>
      </c>
      <c r="D24" s="47">
        <v>2</v>
      </c>
      <c r="E24" s="47">
        <v>0</v>
      </c>
      <c r="F24" s="47">
        <v>3</v>
      </c>
      <c r="G24" s="47">
        <v>0</v>
      </c>
      <c r="H24" s="47">
        <v>5</v>
      </c>
      <c r="I24" s="47">
        <v>3.4</v>
      </c>
      <c r="J24" s="47">
        <v>2</v>
      </c>
      <c r="K24" s="47">
        <v>0</v>
      </c>
      <c r="L24" s="47">
        <v>2</v>
      </c>
      <c r="M24" s="47">
        <v>0</v>
      </c>
      <c r="N24" s="47">
        <v>1</v>
      </c>
      <c r="O24" s="47">
        <v>0</v>
      </c>
      <c r="P24" s="47">
        <v>5</v>
      </c>
      <c r="Q24" s="48">
        <v>3.1</v>
      </c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spans="1:29" x14ac:dyDescent="0.3">
      <c r="A25" s="46" t="s">
        <v>294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2</v>
      </c>
      <c r="H25" s="47">
        <v>2</v>
      </c>
      <c r="I25" s="47">
        <v>1.4</v>
      </c>
      <c r="J25" s="47">
        <v>0</v>
      </c>
      <c r="K25" s="47">
        <v>0</v>
      </c>
      <c r="L25" s="47">
        <v>0</v>
      </c>
      <c r="M25" s="47">
        <v>0</v>
      </c>
      <c r="N25" s="47">
        <v>1</v>
      </c>
      <c r="O25" s="47">
        <v>0</v>
      </c>
      <c r="P25" s="47">
        <v>1</v>
      </c>
      <c r="Q25" s="48">
        <v>0.6</v>
      </c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</row>
    <row r="26" spans="1:29" x14ac:dyDescent="0.3">
      <c r="A26" s="46" t="s">
        <v>293</v>
      </c>
      <c r="B26" s="47">
        <v>3</v>
      </c>
      <c r="C26" s="47">
        <v>0</v>
      </c>
      <c r="D26" s="47">
        <v>0</v>
      </c>
      <c r="E26" s="47">
        <v>0</v>
      </c>
      <c r="F26" s="47">
        <v>6</v>
      </c>
      <c r="G26" s="47">
        <v>0</v>
      </c>
      <c r="H26" s="47">
        <v>9</v>
      </c>
      <c r="I26" s="47">
        <v>6.2</v>
      </c>
      <c r="J26" s="47">
        <v>1</v>
      </c>
      <c r="K26" s="47">
        <v>0</v>
      </c>
      <c r="L26" s="47">
        <v>0</v>
      </c>
      <c r="M26" s="47">
        <v>0</v>
      </c>
      <c r="N26" s="47">
        <v>13</v>
      </c>
      <c r="O26" s="47">
        <v>0</v>
      </c>
      <c r="P26" s="47">
        <v>14</v>
      </c>
      <c r="Q26" s="48">
        <v>8.6</v>
      </c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</row>
    <row r="27" spans="1:29" x14ac:dyDescent="0.3">
      <c r="A27" s="46" t="s">
        <v>292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81">
        <v>0</v>
      </c>
      <c r="K27" s="81">
        <v>0</v>
      </c>
      <c r="L27" s="81">
        <v>0</v>
      </c>
      <c r="M27" s="81">
        <v>0</v>
      </c>
      <c r="N27" s="81">
        <v>1</v>
      </c>
      <c r="O27" s="81">
        <v>0</v>
      </c>
      <c r="P27" s="81">
        <v>1</v>
      </c>
      <c r="Q27" s="81">
        <v>0.6</v>
      </c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</row>
    <row r="28" spans="1:29" x14ac:dyDescent="0.3">
      <c r="A28" s="46" t="s">
        <v>291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</row>
    <row r="29" spans="1:29" x14ac:dyDescent="0.3">
      <c r="A29" s="46" t="s">
        <v>290</v>
      </c>
      <c r="B29" s="47">
        <v>0</v>
      </c>
      <c r="C29" s="47">
        <v>0</v>
      </c>
      <c r="D29" s="47">
        <v>0</v>
      </c>
      <c r="E29" s="47">
        <v>0</v>
      </c>
      <c r="F29" s="47">
        <v>4</v>
      </c>
      <c r="G29" s="47">
        <v>0</v>
      </c>
      <c r="H29" s="47">
        <v>4</v>
      </c>
      <c r="I29" s="47">
        <v>2.8</v>
      </c>
      <c r="J29" s="47">
        <v>0</v>
      </c>
      <c r="K29" s="47">
        <v>0</v>
      </c>
      <c r="L29" s="47">
        <v>1</v>
      </c>
      <c r="M29" s="47">
        <v>0</v>
      </c>
      <c r="N29" s="47">
        <v>6</v>
      </c>
      <c r="O29" s="47">
        <v>0</v>
      </c>
      <c r="P29" s="47">
        <v>7</v>
      </c>
      <c r="Q29" s="48">
        <v>4.3</v>
      </c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</row>
    <row r="30" spans="1:29" x14ac:dyDescent="0.3">
      <c r="A30" s="46" t="s">
        <v>289</v>
      </c>
      <c r="B30" s="47">
        <v>0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81">
        <v>0</v>
      </c>
      <c r="K30" s="81">
        <v>0</v>
      </c>
      <c r="L30" s="81">
        <v>0</v>
      </c>
      <c r="M30" s="81">
        <v>0</v>
      </c>
      <c r="N30" s="81">
        <v>7</v>
      </c>
      <c r="O30" s="81">
        <v>0</v>
      </c>
      <c r="P30" s="81">
        <v>7</v>
      </c>
      <c r="Q30" s="81">
        <v>4.3</v>
      </c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</row>
    <row r="31" spans="1:29" x14ac:dyDescent="0.3">
      <c r="A31" s="46" t="s">
        <v>288</v>
      </c>
      <c r="B31" s="47">
        <v>0</v>
      </c>
      <c r="C31" s="47">
        <v>0</v>
      </c>
      <c r="D31" s="47">
        <v>0</v>
      </c>
      <c r="E31" s="47">
        <v>0</v>
      </c>
      <c r="F31" s="47">
        <v>0</v>
      </c>
      <c r="G31" s="47">
        <v>1</v>
      </c>
      <c r="H31" s="47">
        <v>1</v>
      </c>
      <c r="I31" s="47">
        <v>0.7</v>
      </c>
      <c r="J31" s="47">
        <v>0</v>
      </c>
      <c r="K31" s="47">
        <v>0</v>
      </c>
      <c r="L31" s="47">
        <v>0</v>
      </c>
      <c r="M31" s="47">
        <v>0</v>
      </c>
      <c r="N31" s="47">
        <v>3</v>
      </c>
      <c r="O31" s="47">
        <v>1</v>
      </c>
      <c r="P31" s="47">
        <v>4</v>
      </c>
      <c r="Q31" s="48">
        <v>2.5</v>
      </c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</row>
    <row r="32" spans="1:29" x14ac:dyDescent="0.3">
      <c r="A32" s="46" t="s">
        <v>287</v>
      </c>
      <c r="B32" s="47">
        <v>0</v>
      </c>
      <c r="C32" s="47">
        <v>0</v>
      </c>
      <c r="D32" s="47">
        <v>1</v>
      </c>
      <c r="E32" s="47">
        <v>0</v>
      </c>
      <c r="F32" s="47">
        <v>3</v>
      </c>
      <c r="G32" s="47">
        <v>0</v>
      </c>
      <c r="H32" s="47">
        <v>4</v>
      </c>
      <c r="I32" s="47">
        <v>2.8</v>
      </c>
      <c r="J32" s="47">
        <v>0</v>
      </c>
      <c r="K32" s="47">
        <v>0</v>
      </c>
      <c r="L32" s="47">
        <v>0</v>
      </c>
      <c r="M32" s="47">
        <v>0</v>
      </c>
      <c r="N32" s="47">
        <v>3</v>
      </c>
      <c r="O32" s="47">
        <v>0</v>
      </c>
      <c r="P32" s="47">
        <v>3</v>
      </c>
      <c r="Q32" s="48">
        <v>1.9</v>
      </c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</row>
    <row r="33" spans="1:29" x14ac:dyDescent="0.3">
      <c r="A33" s="46" t="s">
        <v>286</v>
      </c>
      <c r="B33" s="47">
        <v>1</v>
      </c>
      <c r="C33" s="47">
        <v>0</v>
      </c>
      <c r="D33" s="47">
        <v>0</v>
      </c>
      <c r="E33" s="47">
        <v>0</v>
      </c>
      <c r="F33" s="47">
        <v>2</v>
      </c>
      <c r="G33" s="47">
        <v>1</v>
      </c>
      <c r="H33" s="47">
        <v>4</v>
      </c>
      <c r="I33" s="47">
        <v>2.8</v>
      </c>
      <c r="J33" s="47">
        <v>1</v>
      </c>
      <c r="K33" s="47">
        <v>0</v>
      </c>
      <c r="L33" s="47">
        <v>1</v>
      </c>
      <c r="M33" s="47">
        <v>0</v>
      </c>
      <c r="N33" s="47">
        <v>2</v>
      </c>
      <c r="O33" s="47">
        <v>1</v>
      </c>
      <c r="P33" s="47">
        <v>5</v>
      </c>
      <c r="Q33" s="48">
        <v>3.1</v>
      </c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</row>
    <row r="34" spans="1:29" x14ac:dyDescent="0.3">
      <c r="A34" s="46" t="s">
        <v>284</v>
      </c>
      <c r="B34" s="47">
        <v>0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81">
        <v>1</v>
      </c>
      <c r="K34" s="81">
        <v>0</v>
      </c>
      <c r="L34" s="81">
        <v>0</v>
      </c>
      <c r="M34" s="81">
        <v>0</v>
      </c>
      <c r="N34" s="81">
        <v>0</v>
      </c>
      <c r="O34" s="81">
        <v>0</v>
      </c>
      <c r="P34" s="81">
        <v>1</v>
      </c>
      <c r="Q34" s="81">
        <v>0.6</v>
      </c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</row>
    <row r="35" spans="1:29" x14ac:dyDescent="0.3">
      <c r="A35" s="46" t="s">
        <v>285</v>
      </c>
      <c r="B35" s="47">
        <v>0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</row>
    <row r="36" spans="1:29" x14ac:dyDescent="0.3">
      <c r="A36" s="46" t="s">
        <v>283</v>
      </c>
      <c r="B36" s="47">
        <v>0</v>
      </c>
      <c r="C36" s="47">
        <v>0</v>
      </c>
      <c r="D36" s="47">
        <v>1</v>
      </c>
      <c r="E36" s="47">
        <v>0</v>
      </c>
      <c r="F36" s="47">
        <v>0</v>
      </c>
      <c r="G36" s="47">
        <v>0</v>
      </c>
      <c r="H36" s="47">
        <v>1</v>
      </c>
      <c r="I36" s="47">
        <v>0.7</v>
      </c>
      <c r="J36" s="47">
        <v>0</v>
      </c>
      <c r="K36" s="47">
        <v>0</v>
      </c>
      <c r="L36" s="47">
        <v>0</v>
      </c>
      <c r="M36" s="47">
        <v>0</v>
      </c>
      <c r="N36" s="47">
        <v>4</v>
      </c>
      <c r="O36" s="47">
        <v>0</v>
      </c>
      <c r="P36" s="47">
        <v>4</v>
      </c>
      <c r="Q36" s="48">
        <v>2.5</v>
      </c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</row>
    <row r="37" spans="1:29" x14ac:dyDescent="0.3">
      <c r="A37" s="46" t="s">
        <v>282</v>
      </c>
      <c r="B37" s="47">
        <v>0</v>
      </c>
      <c r="C37" s="47">
        <v>0</v>
      </c>
      <c r="D37" s="47">
        <v>1</v>
      </c>
      <c r="E37" s="47">
        <v>0</v>
      </c>
      <c r="F37" s="47">
        <v>0</v>
      </c>
      <c r="G37" s="47">
        <v>1</v>
      </c>
      <c r="H37" s="47">
        <v>2</v>
      </c>
      <c r="I37" s="47">
        <v>1.4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8">
        <v>0</v>
      </c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</row>
    <row r="38" spans="1:29" x14ac:dyDescent="0.3">
      <c r="A38" s="46" t="s">
        <v>281</v>
      </c>
      <c r="B38" s="47">
        <v>0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</row>
    <row r="39" spans="1:29" x14ac:dyDescent="0.3">
      <c r="A39" s="49" t="s">
        <v>72</v>
      </c>
      <c r="B39" s="50">
        <v>33</v>
      </c>
      <c r="C39" s="50">
        <v>0</v>
      </c>
      <c r="D39" s="50">
        <v>41</v>
      </c>
      <c r="E39" s="50">
        <v>0</v>
      </c>
      <c r="F39" s="50">
        <v>57</v>
      </c>
      <c r="G39" s="50">
        <v>14</v>
      </c>
      <c r="H39" s="50">
        <v>145</v>
      </c>
      <c r="I39" s="50">
        <v>100</v>
      </c>
      <c r="J39" s="50">
        <v>41</v>
      </c>
      <c r="K39" s="50">
        <v>1</v>
      </c>
      <c r="L39" s="50">
        <v>26</v>
      </c>
      <c r="M39" s="50">
        <v>0</v>
      </c>
      <c r="N39" s="50">
        <v>89</v>
      </c>
      <c r="O39" s="50">
        <v>5</v>
      </c>
      <c r="P39" s="50">
        <v>162</v>
      </c>
      <c r="Q39" s="51">
        <v>100</v>
      </c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</row>
    <row r="41" spans="1:29" x14ac:dyDescent="0.3">
      <c r="A41" t="s">
        <v>780</v>
      </c>
    </row>
    <row r="43" spans="1:29" x14ac:dyDescent="0.3">
      <c r="B43" s="90"/>
      <c r="C43" s="90"/>
      <c r="D43" s="90"/>
      <c r="E43" s="90"/>
      <c r="F43" s="90"/>
      <c r="G43" s="90"/>
      <c r="H43" s="90"/>
      <c r="I43" s="90"/>
      <c r="J43" s="90"/>
      <c r="L43" s="90"/>
      <c r="N43" s="90"/>
      <c r="O43" s="90"/>
      <c r="P43" s="90"/>
      <c r="Q43" s="90"/>
    </row>
    <row r="44" spans="1:29" x14ac:dyDescent="0.3">
      <c r="B44" s="90"/>
      <c r="C44" s="90"/>
      <c r="E44" s="90"/>
      <c r="G44" s="90"/>
      <c r="H44" s="90"/>
      <c r="I44" s="90"/>
      <c r="J44" s="90"/>
    </row>
    <row r="45" spans="1:29" x14ac:dyDescent="0.3">
      <c r="B45" s="90"/>
      <c r="C45" s="90"/>
      <c r="E45" s="90"/>
      <c r="G45" s="90"/>
      <c r="H45" s="90"/>
      <c r="I45" s="90"/>
      <c r="J45" s="90"/>
    </row>
    <row r="46" spans="1:29" x14ac:dyDescent="0.3">
      <c r="B46" s="90"/>
      <c r="C46" s="90"/>
      <c r="E46" s="90"/>
      <c r="G46" s="90"/>
      <c r="H46" s="90"/>
      <c r="I46" s="90"/>
      <c r="J46" s="90"/>
    </row>
    <row r="47" spans="1:29" x14ac:dyDescent="0.3">
      <c r="B47" s="90"/>
      <c r="C47" s="90"/>
      <c r="E47" s="90"/>
      <c r="G47" s="90"/>
      <c r="H47" s="90"/>
      <c r="I47" s="90"/>
      <c r="J47" s="90"/>
    </row>
    <row r="48" spans="1:29" x14ac:dyDescent="0.3">
      <c r="B48" s="90"/>
      <c r="C48" s="90"/>
      <c r="E48" s="90"/>
      <c r="G48" s="90"/>
      <c r="H48" s="90"/>
      <c r="I48" s="90"/>
      <c r="J48" s="90"/>
    </row>
    <row r="49" spans="2:17" x14ac:dyDescent="0.3">
      <c r="B49" s="90"/>
      <c r="C49" s="90"/>
      <c r="E49" s="90"/>
      <c r="G49" s="90"/>
      <c r="H49" s="90"/>
      <c r="I49" s="90"/>
      <c r="J49" s="90"/>
    </row>
    <row r="50" spans="2:17" x14ac:dyDescent="0.3">
      <c r="B50" s="90"/>
      <c r="C50" s="90"/>
      <c r="E50" s="90"/>
      <c r="G50" s="90"/>
      <c r="H50" s="90"/>
      <c r="I50" s="90"/>
      <c r="J50" s="90"/>
    </row>
    <row r="51" spans="2:17" x14ac:dyDescent="0.3">
      <c r="B51" s="90"/>
      <c r="C51" s="90"/>
      <c r="E51" s="90"/>
      <c r="G51" s="90"/>
      <c r="H51" s="90"/>
      <c r="I51" s="90"/>
      <c r="J51" s="90"/>
    </row>
    <row r="52" spans="2:17" x14ac:dyDescent="0.3">
      <c r="B52" s="90"/>
      <c r="C52" s="90"/>
      <c r="E52" s="90"/>
      <c r="G52" s="90"/>
      <c r="H52" s="90"/>
      <c r="I52" s="90"/>
      <c r="J52" s="90"/>
    </row>
    <row r="53" spans="2:17" x14ac:dyDescent="0.3">
      <c r="B53" s="90"/>
      <c r="C53" s="90"/>
      <c r="E53" s="90"/>
      <c r="G53" s="90"/>
      <c r="H53" s="90"/>
      <c r="I53" s="90"/>
      <c r="J53" s="90"/>
    </row>
    <row r="54" spans="2:17" x14ac:dyDescent="0.3">
      <c r="B54" s="90"/>
      <c r="C54" s="90"/>
      <c r="D54" s="90"/>
      <c r="E54" s="90"/>
      <c r="F54" s="90"/>
      <c r="G54" s="90"/>
      <c r="H54" s="90"/>
      <c r="I54" s="90"/>
      <c r="J54" s="90"/>
      <c r="L54" s="90"/>
      <c r="N54" s="90"/>
      <c r="O54" s="90"/>
      <c r="P54" s="90"/>
      <c r="Q54" s="90"/>
    </row>
    <row r="55" spans="2:17" x14ac:dyDescent="0.3">
      <c r="B55" s="90"/>
      <c r="C55" s="90"/>
      <c r="D55" s="90"/>
      <c r="E55" s="90"/>
      <c r="F55" s="90"/>
      <c r="G55" s="90"/>
      <c r="H55" s="90"/>
      <c r="I55" s="90"/>
      <c r="J55" s="90"/>
      <c r="L55" s="90"/>
      <c r="N55" s="90"/>
      <c r="O55" s="90"/>
      <c r="P55" s="90"/>
      <c r="Q55" s="90"/>
    </row>
    <row r="56" spans="2:17" x14ac:dyDescent="0.3">
      <c r="B56" s="90"/>
      <c r="C56" s="90"/>
      <c r="D56" s="90"/>
      <c r="E56" s="90"/>
      <c r="F56" s="90"/>
      <c r="G56" s="90"/>
      <c r="H56" s="90"/>
      <c r="I56" s="90"/>
      <c r="J56" s="90"/>
      <c r="L56" s="90"/>
      <c r="N56" s="90"/>
      <c r="O56" s="90"/>
      <c r="P56" s="90"/>
      <c r="Q56" s="90"/>
    </row>
    <row r="57" spans="2:17" x14ac:dyDescent="0.3">
      <c r="B57" s="90"/>
      <c r="C57" s="90"/>
      <c r="D57" s="90"/>
      <c r="E57" s="90"/>
      <c r="F57" s="90"/>
      <c r="G57" s="90"/>
      <c r="H57" s="90"/>
      <c r="I57" s="90"/>
      <c r="J57" s="90"/>
      <c r="L57" s="90"/>
      <c r="N57" s="90"/>
      <c r="O57" s="90"/>
      <c r="P57" s="90"/>
      <c r="Q57" s="90"/>
    </row>
    <row r="58" spans="2:17" x14ac:dyDescent="0.3">
      <c r="B58" s="90"/>
      <c r="C58" s="90"/>
      <c r="D58" s="90"/>
      <c r="E58" s="90"/>
      <c r="F58" s="90"/>
      <c r="G58" s="90"/>
      <c r="H58" s="90"/>
      <c r="I58" s="90"/>
      <c r="J58" s="90"/>
      <c r="L58" s="90"/>
      <c r="N58" s="90"/>
      <c r="O58" s="90"/>
      <c r="P58" s="90"/>
      <c r="Q58" s="90"/>
    </row>
    <row r="59" spans="2:17" x14ac:dyDescent="0.3">
      <c r="B59" s="90"/>
      <c r="C59" s="90"/>
      <c r="D59" s="90"/>
      <c r="E59" s="90"/>
      <c r="F59" s="90"/>
      <c r="G59" s="90"/>
      <c r="H59" s="90"/>
      <c r="I59" s="90"/>
      <c r="J59" s="90"/>
      <c r="L59" s="90"/>
      <c r="N59" s="90"/>
      <c r="O59" s="90"/>
      <c r="P59" s="90"/>
      <c r="Q59" s="90"/>
    </row>
    <row r="60" spans="2:17" x14ac:dyDescent="0.3">
      <c r="B60" s="90"/>
      <c r="C60" s="90"/>
      <c r="D60" s="90"/>
      <c r="E60" s="90"/>
      <c r="F60" s="90"/>
      <c r="G60" s="90"/>
      <c r="H60" s="90"/>
      <c r="I60" s="90"/>
      <c r="J60" s="90"/>
      <c r="L60" s="90"/>
      <c r="N60" s="90"/>
      <c r="O60" s="90"/>
      <c r="P60" s="90"/>
      <c r="Q60" s="90"/>
    </row>
    <row r="61" spans="2:17" x14ac:dyDescent="0.3">
      <c r="B61" s="90"/>
      <c r="C61" s="90"/>
      <c r="D61" s="90"/>
      <c r="E61" s="90"/>
      <c r="F61" s="90"/>
      <c r="G61" s="90"/>
      <c r="H61" s="90"/>
      <c r="I61" s="90"/>
      <c r="J61" s="90"/>
      <c r="L61" s="90"/>
      <c r="N61" s="90"/>
      <c r="O61" s="90"/>
      <c r="P61" s="90"/>
      <c r="Q61" s="90"/>
    </row>
    <row r="62" spans="2:17" x14ac:dyDescent="0.3">
      <c r="B62" s="90"/>
      <c r="C62" s="90"/>
      <c r="D62" s="90"/>
      <c r="E62" s="90"/>
      <c r="F62" s="90"/>
      <c r="G62" s="90"/>
      <c r="H62" s="90"/>
      <c r="I62" s="90"/>
      <c r="J62" s="90"/>
      <c r="L62" s="90"/>
      <c r="N62" s="90"/>
      <c r="O62" s="90"/>
      <c r="P62" s="90"/>
      <c r="Q62" s="90"/>
    </row>
    <row r="63" spans="2:17" x14ac:dyDescent="0.3">
      <c r="B63" s="90"/>
      <c r="C63" s="90"/>
      <c r="D63" s="90"/>
      <c r="E63" s="90"/>
      <c r="F63" s="90"/>
      <c r="G63" s="90"/>
      <c r="H63" s="90"/>
      <c r="I63" s="90"/>
      <c r="J63" s="90"/>
      <c r="L63" s="90"/>
      <c r="N63" s="90"/>
      <c r="O63" s="90"/>
      <c r="P63" s="90"/>
      <c r="Q63" s="90"/>
    </row>
    <row r="64" spans="2:17" x14ac:dyDescent="0.3">
      <c r="B64" s="90"/>
      <c r="C64" s="90"/>
      <c r="D64" s="90"/>
      <c r="E64" s="90"/>
      <c r="F64" s="90"/>
      <c r="G64" s="90"/>
      <c r="H64" s="90"/>
      <c r="I64" s="90"/>
      <c r="J64" s="90"/>
      <c r="L64" s="90"/>
      <c r="N64" s="90"/>
      <c r="O64" s="90"/>
      <c r="P64" s="90"/>
      <c r="Q64" s="90"/>
    </row>
    <row r="65" spans="2:17" x14ac:dyDescent="0.3">
      <c r="B65" s="90"/>
      <c r="C65" s="90"/>
      <c r="D65" s="90"/>
      <c r="E65" s="90"/>
      <c r="F65" s="90"/>
      <c r="G65" s="90"/>
      <c r="H65" s="90"/>
      <c r="I65" s="90"/>
      <c r="J65" s="90"/>
      <c r="L65" s="90"/>
      <c r="N65" s="90"/>
      <c r="O65" s="90"/>
      <c r="P65" s="90"/>
      <c r="Q65" s="90"/>
    </row>
    <row r="66" spans="2:17" x14ac:dyDescent="0.3">
      <c r="B66" s="90"/>
      <c r="C66" s="90"/>
      <c r="D66" s="90"/>
      <c r="E66" s="90"/>
      <c r="F66" s="90"/>
      <c r="G66" s="90"/>
      <c r="H66" s="90"/>
      <c r="I66" s="90"/>
      <c r="J66" s="90"/>
      <c r="L66" s="90"/>
      <c r="N66" s="90"/>
      <c r="O66" s="90"/>
      <c r="P66" s="90"/>
      <c r="Q66" s="90"/>
    </row>
    <row r="67" spans="2:17" x14ac:dyDescent="0.3">
      <c r="B67" s="90"/>
      <c r="C67" s="90"/>
      <c r="D67" s="90"/>
      <c r="E67" s="90"/>
      <c r="F67" s="90"/>
      <c r="G67" s="90"/>
      <c r="H67" s="90"/>
      <c r="I67" s="90"/>
      <c r="J67" s="90"/>
      <c r="L67" s="90"/>
      <c r="N67" s="90"/>
      <c r="O67" s="90"/>
      <c r="P67" s="90"/>
      <c r="Q67" s="90"/>
    </row>
    <row r="68" spans="2:17" x14ac:dyDescent="0.3">
      <c r="B68" s="90"/>
      <c r="C68" s="90"/>
      <c r="D68" s="90"/>
      <c r="E68" s="90"/>
      <c r="F68" s="90"/>
      <c r="G68" s="90"/>
      <c r="H68" s="90"/>
      <c r="I68" s="90"/>
      <c r="J68" s="90"/>
      <c r="L68" s="90"/>
      <c r="N68" s="90"/>
      <c r="O68" s="90"/>
      <c r="P68" s="90"/>
      <c r="Q68" s="90"/>
    </row>
    <row r="69" spans="2:17" x14ac:dyDescent="0.3">
      <c r="B69" s="90"/>
      <c r="C69" s="90"/>
      <c r="D69" s="90"/>
      <c r="E69" s="90"/>
      <c r="F69" s="90"/>
      <c r="G69" s="90"/>
      <c r="H69" s="90"/>
      <c r="I69" s="90"/>
      <c r="J69" s="90"/>
      <c r="L69" s="90"/>
      <c r="N69" s="90"/>
      <c r="O69" s="90"/>
      <c r="P69" s="90"/>
      <c r="Q69" s="90"/>
    </row>
    <row r="70" spans="2:17" x14ac:dyDescent="0.3">
      <c r="B70" s="90"/>
      <c r="C70" s="90"/>
      <c r="D70" s="90"/>
      <c r="E70" s="90"/>
      <c r="F70" s="90"/>
      <c r="G70" s="90"/>
      <c r="H70" s="90"/>
      <c r="I70" s="90"/>
      <c r="J70" s="90"/>
      <c r="L70" s="90"/>
      <c r="N70" s="90"/>
      <c r="O70" s="90"/>
      <c r="P70" s="90"/>
      <c r="Q70" s="90"/>
    </row>
    <row r="71" spans="2:17" x14ac:dyDescent="0.3">
      <c r="B71" s="90"/>
      <c r="C71" s="90"/>
      <c r="D71" s="90"/>
      <c r="E71" s="90"/>
      <c r="F71" s="90"/>
      <c r="G71" s="90"/>
      <c r="H71" s="90"/>
      <c r="I71" s="90"/>
      <c r="J71" s="90"/>
      <c r="L71" s="90"/>
      <c r="N71" s="90"/>
      <c r="O71" s="90"/>
      <c r="P71" s="90"/>
      <c r="Q71" s="90"/>
    </row>
    <row r="72" spans="2:17" x14ac:dyDescent="0.3">
      <c r="B72" s="90"/>
      <c r="C72" s="90"/>
      <c r="D72" s="90"/>
      <c r="E72" s="90"/>
      <c r="F72" s="90"/>
      <c r="G72" s="90"/>
      <c r="H72" s="90"/>
      <c r="I72" s="90"/>
      <c r="J72" s="90"/>
      <c r="L72" s="90"/>
      <c r="N72" s="90"/>
      <c r="O72" s="90"/>
      <c r="P72" s="90"/>
      <c r="Q72" s="90"/>
    </row>
  </sheetData>
  <mergeCells count="23">
    <mergeCell ref="G5:G9"/>
    <mergeCell ref="A4:A9"/>
    <mergeCell ref="B4:I4"/>
    <mergeCell ref="J4:Q4"/>
    <mergeCell ref="B5:F6"/>
    <mergeCell ref="H5:I6"/>
    <mergeCell ref="J5:N6"/>
    <mergeCell ref="P5:Q6"/>
    <mergeCell ref="D7:D9"/>
    <mergeCell ref="E7:E9"/>
    <mergeCell ref="F7:F9"/>
    <mergeCell ref="B7:B9"/>
    <mergeCell ref="J7:J9"/>
    <mergeCell ref="C7:C9"/>
    <mergeCell ref="K7:K9"/>
    <mergeCell ref="O5:O9"/>
    <mergeCell ref="Q7:Q9"/>
    <mergeCell ref="H7:H9"/>
    <mergeCell ref="I7:I9"/>
    <mergeCell ref="L7:L9"/>
    <mergeCell ref="M7:M9"/>
    <mergeCell ref="N7:N9"/>
    <mergeCell ref="P7:P9"/>
  </mergeCells>
  <phoneticPr fontId="1" type="noConversion"/>
  <hyperlinks>
    <hyperlink ref="H1" location="목차!A1" display="목차" xr:uid="{00000000-0004-0000-2F00-000000000000}"/>
  </hyperlinks>
  <pageMargins left="0.7" right="0.7" top="0.75" bottom="0.75" header="0.3" footer="0.3"/>
  <pageSetup paperSize="9" orientation="portrait" copies="16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1" tint="0.499984740745262"/>
  </sheetPr>
  <dimension ref="A1:S68"/>
  <sheetViews>
    <sheetView topLeftCell="A6" zoomScale="55" zoomScaleNormal="55" workbookViewId="0">
      <selection activeCell="B6" sqref="B6:J65"/>
    </sheetView>
  </sheetViews>
  <sheetFormatPr defaultRowHeight="16.5" x14ac:dyDescent="0.3"/>
  <cols>
    <col min="2" max="2" width="24.125" customWidth="1"/>
  </cols>
  <sheetData>
    <row r="1" spans="1:19" ht="17.25" x14ac:dyDescent="0.3">
      <c r="A1" s="7" t="s">
        <v>424</v>
      </c>
      <c r="B1" s="4"/>
      <c r="C1" s="4"/>
      <c r="D1" s="4"/>
      <c r="E1" s="4"/>
      <c r="F1" s="4"/>
      <c r="H1" s="72" t="s">
        <v>368</v>
      </c>
    </row>
    <row r="3" spans="1:19" x14ac:dyDescent="0.3">
      <c r="A3" s="45"/>
      <c r="B3" s="45"/>
      <c r="C3" s="45"/>
      <c r="D3" s="45"/>
      <c r="E3" s="45"/>
      <c r="F3" s="45"/>
      <c r="G3" s="45"/>
      <c r="H3" s="45"/>
      <c r="I3" s="45"/>
      <c r="J3" s="33" t="s">
        <v>280</v>
      </c>
    </row>
    <row r="4" spans="1:19" ht="17.25" thickBot="1" x14ac:dyDescent="0.35">
      <c r="A4" s="342" t="s">
        <v>245</v>
      </c>
      <c r="B4" s="341" t="s">
        <v>139</v>
      </c>
      <c r="C4" s="335" t="s">
        <v>314</v>
      </c>
      <c r="D4" s="336"/>
      <c r="E4" s="336"/>
      <c r="F4" s="336"/>
      <c r="G4" s="345"/>
      <c r="H4" s="341" t="s">
        <v>278</v>
      </c>
      <c r="I4" s="335" t="s">
        <v>313</v>
      </c>
      <c r="J4" s="336"/>
    </row>
    <row r="5" spans="1:19" ht="33.75" thickTop="1" x14ac:dyDescent="0.3">
      <c r="A5" s="342"/>
      <c r="B5" s="341"/>
      <c r="C5" s="39" t="s">
        <v>316</v>
      </c>
      <c r="D5" s="39" t="s">
        <v>315</v>
      </c>
      <c r="E5" s="39" t="s">
        <v>312</v>
      </c>
      <c r="F5" s="39" t="s">
        <v>311</v>
      </c>
      <c r="G5" s="39" t="s">
        <v>310</v>
      </c>
      <c r="H5" s="341"/>
      <c r="I5" s="39" t="s">
        <v>277</v>
      </c>
      <c r="J5" s="40" t="s">
        <v>36</v>
      </c>
    </row>
    <row r="6" spans="1:19" x14ac:dyDescent="0.3">
      <c r="A6" s="304" t="s">
        <v>8</v>
      </c>
      <c r="B6" s="95" t="s">
        <v>302</v>
      </c>
      <c r="C6" s="95">
        <v>26</v>
      </c>
      <c r="D6" s="95">
        <v>0</v>
      </c>
      <c r="E6" s="95">
        <v>13</v>
      </c>
      <c r="F6" s="95">
        <v>1</v>
      </c>
      <c r="G6" s="95">
        <v>71</v>
      </c>
      <c r="H6" s="95">
        <v>116</v>
      </c>
      <c r="I6" s="95">
        <v>227</v>
      </c>
      <c r="J6" s="123">
        <v>44</v>
      </c>
      <c r="L6" s="90"/>
      <c r="M6" s="90"/>
      <c r="N6" s="90"/>
      <c r="O6" s="90"/>
      <c r="P6" s="90"/>
      <c r="Q6" s="90"/>
      <c r="R6" s="90"/>
      <c r="S6" s="90"/>
    </row>
    <row r="7" spans="1:19" x14ac:dyDescent="0.3">
      <c r="A7" s="305"/>
      <c r="B7" s="95" t="s">
        <v>296</v>
      </c>
      <c r="C7" s="95">
        <v>0</v>
      </c>
      <c r="D7" s="95">
        <v>0</v>
      </c>
      <c r="E7" s="95">
        <v>29</v>
      </c>
      <c r="F7" s="95">
        <v>0</v>
      </c>
      <c r="G7" s="95">
        <v>0</v>
      </c>
      <c r="H7" s="95">
        <v>0</v>
      </c>
      <c r="I7" s="95">
        <v>29</v>
      </c>
      <c r="J7" s="123">
        <v>5.6</v>
      </c>
      <c r="L7" s="90"/>
      <c r="M7" s="90"/>
      <c r="N7" s="90"/>
      <c r="O7" s="90"/>
      <c r="P7" s="90"/>
      <c r="Q7" s="90"/>
      <c r="R7" s="90"/>
      <c r="S7" s="90"/>
    </row>
    <row r="8" spans="1:19" x14ac:dyDescent="0.3">
      <c r="A8" s="305"/>
      <c r="B8" s="95" t="s">
        <v>306</v>
      </c>
      <c r="C8" s="95">
        <v>1</v>
      </c>
      <c r="D8" s="95">
        <v>0</v>
      </c>
      <c r="E8" s="95">
        <v>3</v>
      </c>
      <c r="F8" s="95">
        <v>0</v>
      </c>
      <c r="G8" s="95">
        <v>13</v>
      </c>
      <c r="H8" s="95">
        <v>10</v>
      </c>
      <c r="I8" s="95">
        <v>27</v>
      </c>
      <c r="J8" s="123">
        <v>5.2</v>
      </c>
      <c r="L8" s="90"/>
      <c r="M8" s="90"/>
      <c r="N8" s="90"/>
      <c r="O8" s="90"/>
      <c r="P8" s="90"/>
      <c r="Q8" s="90"/>
      <c r="R8" s="90"/>
      <c r="S8" s="90"/>
    </row>
    <row r="9" spans="1:19" x14ac:dyDescent="0.3">
      <c r="A9" s="305"/>
      <c r="B9" s="95" t="s">
        <v>287</v>
      </c>
      <c r="C9" s="95">
        <v>2</v>
      </c>
      <c r="D9" s="95">
        <v>0</v>
      </c>
      <c r="E9" s="95">
        <v>3</v>
      </c>
      <c r="F9" s="95">
        <v>0</v>
      </c>
      <c r="G9" s="95">
        <v>8</v>
      </c>
      <c r="H9" s="95">
        <v>14</v>
      </c>
      <c r="I9" s="95">
        <v>27</v>
      </c>
      <c r="J9" s="123">
        <v>5.2</v>
      </c>
      <c r="L9" s="90"/>
      <c r="M9" s="90"/>
      <c r="N9" s="90"/>
      <c r="O9" s="90"/>
      <c r="P9" s="90"/>
      <c r="Q9" s="90"/>
      <c r="R9" s="90"/>
      <c r="S9" s="90"/>
    </row>
    <row r="10" spans="1:19" x14ac:dyDescent="0.3">
      <c r="A10" s="305"/>
      <c r="B10" s="95" t="s">
        <v>286</v>
      </c>
      <c r="C10" s="95">
        <v>5</v>
      </c>
      <c r="D10" s="95">
        <v>0</v>
      </c>
      <c r="E10" s="95">
        <v>3</v>
      </c>
      <c r="F10" s="95">
        <v>0</v>
      </c>
      <c r="G10" s="95">
        <v>10</v>
      </c>
      <c r="H10" s="95">
        <v>7</v>
      </c>
      <c r="I10" s="95">
        <v>25</v>
      </c>
      <c r="J10" s="123">
        <v>4.8</v>
      </c>
      <c r="L10" s="90"/>
      <c r="M10" s="90"/>
      <c r="N10" s="90"/>
      <c r="O10" s="90"/>
      <c r="P10" s="90"/>
      <c r="Q10" s="90"/>
      <c r="R10" s="90"/>
      <c r="S10" s="90"/>
    </row>
    <row r="11" spans="1:19" x14ac:dyDescent="0.3">
      <c r="A11" s="305"/>
      <c r="B11" s="95" t="s">
        <v>301</v>
      </c>
      <c r="C11" s="95">
        <v>7</v>
      </c>
      <c r="D11" s="95">
        <v>0</v>
      </c>
      <c r="E11" s="95">
        <v>6</v>
      </c>
      <c r="F11" s="95">
        <v>0</v>
      </c>
      <c r="G11" s="95">
        <v>2</v>
      </c>
      <c r="H11" s="95">
        <v>6</v>
      </c>
      <c r="I11" s="95">
        <v>21</v>
      </c>
      <c r="J11" s="123">
        <v>4.0999999999999996</v>
      </c>
      <c r="L11" s="90"/>
      <c r="M11" s="90"/>
      <c r="N11" s="90"/>
      <c r="O11" s="90"/>
      <c r="P11" s="90"/>
      <c r="Q11" s="90"/>
      <c r="R11" s="90"/>
      <c r="S11" s="90"/>
    </row>
    <row r="12" spans="1:19" x14ac:dyDescent="0.3">
      <c r="A12" s="305"/>
      <c r="B12" s="95" t="s">
        <v>288</v>
      </c>
      <c r="C12" s="95">
        <v>4</v>
      </c>
      <c r="D12" s="95">
        <v>0</v>
      </c>
      <c r="E12" s="95">
        <v>6</v>
      </c>
      <c r="F12" s="95">
        <v>0</v>
      </c>
      <c r="G12" s="95">
        <v>7</v>
      </c>
      <c r="H12" s="95">
        <v>2</v>
      </c>
      <c r="I12" s="95">
        <v>19</v>
      </c>
      <c r="J12" s="123">
        <v>3.7</v>
      </c>
      <c r="L12" s="90"/>
      <c r="M12" s="90"/>
      <c r="N12" s="90"/>
      <c r="O12" s="90"/>
      <c r="P12" s="90"/>
      <c r="Q12" s="90"/>
      <c r="R12" s="90"/>
      <c r="S12" s="90"/>
    </row>
    <row r="13" spans="1:19" x14ac:dyDescent="0.3">
      <c r="A13" s="305"/>
      <c r="B13" s="95" t="s">
        <v>294</v>
      </c>
      <c r="C13" s="95">
        <v>1</v>
      </c>
      <c r="D13" s="95">
        <v>0</v>
      </c>
      <c r="E13" s="95">
        <v>1</v>
      </c>
      <c r="F13" s="95">
        <v>0</v>
      </c>
      <c r="G13" s="95">
        <v>2</v>
      </c>
      <c r="H13" s="95">
        <v>12</v>
      </c>
      <c r="I13" s="95">
        <v>16</v>
      </c>
      <c r="J13" s="123">
        <v>3.1</v>
      </c>
      <c r="L13" s="90"/>
      <c r="M13" s="90"/>
      <c r="N13" s="90"/>
      <c r="O13" s="90"/>
      <c r="P13" s="90"/>
      <c r="Q13" s="90"/>
      <c r="R13" s="90"/>
      <c r="S13" s="90"/>
    </row>
    <row r="14" spans="1:19" x14ac:dyDescent="0.3">
      <c r="A14" s="305"/>
      <c r="B14" s="95" t="s">
        <v>295</v>
      </c>
      <c r="C14" s="95">
        <v>2</v>
      </c>
      <c r="D14" s="95">
        <v>0</v>
      </c>
      <c r="E14" s="95">
        <v>2</v>
      </c>
      <c r="F14" s="95">
        <v>0</v>
      </c>
      <c r="G14" s="95">
        <v>7</v>
      </c>
      <c r="H14" s="95">
        <v>4</v>
      </c>
      <c r="I14" s="95">
        <v>15</v>
      </c>
      <c r="J14" s="123">
        <v>2.9</v>
      </c>
      <c r="L14" s="90"/>
      <c r="M14" s="90"/>
      <c r="N14" s="90"/>
      <c r="O14" s="90"/>
      <c r="P14" s="90"/>
      <c r="Q14" s="90"/>
      <c r="R14" s="90"/>
      <c r="S14" s="90"/>
    </row>
    <row r="15" spans="1:19" x14ac:dyDescent="0.3">
      <c r="A15" s="305"/>
      <c r="B15" s="95" t="s">
        <v>289</v>
      </c>
      <c r="C15" s="95">
        <v>8</v>
      </c>
      <c r="D15" s="95">
        <v>0</v>
      </c>
      <c r="E15" s="95">
        <v>3</v>
      </c>
      <c r="F15" s="95">
        <v>0</v>
      </c>
      <c r="G15" s="95">
        <v>2</v>
      </c>
      <c r="H15" s="95">
        <v>2</v>
      </c>
      <c r="I15" s="95">
        <v>15</v>
      </c>
      <c r="J15" s="123">
        <v>2.9</v>
      </c>
      <c r="L15" s="90"/>
      <c r="M15" s="90"/>
      <c r="N15" s="90"/>
      <c r="O15" s="90"/>
      <c r="P15" s="90"/>
      <c r="Q15" s="90"/>
      <c r="R15" s="90"/>
      <c r="S15" s="90"/>
    </row>
    <row r="16" spans="1:19" x14ac:dyDescent="0.3">
      <c r="A16" s="305"/>
      <c r="B16" s="95" t="s">
        <v>389</v>
      </c>
      <c r="C16" s="95">
        <v>21</v>
      </c>
      <c r="D16" s="95">
        <v>2</v>
      </c>
      <c r="E16" s="95">
        <v>8</v>
      </c>
      <c r="F16" s="95">
        <v>0</v>
      </c>
      <c r="G16" s="95">
        <v>29</v>
      </c>
      <c r="H16" s="95">
        <v>35</v>
      </c>
      <c r="I16" s="95">
        <v>95</v>
      </c>
      <c r="J16" s="123">
        <v>18.399999999999999</v>
      </c>
      <c r="L16" s="90"/>
      <c r="M16" s="90"/>
      <c r="N16" s="90"/>
      <c r="O16" s="90"/>
      <c r="P16" s="90"/>
      <c r="Q16" s="90"/>
      <c r="R16" s="90"/>
      <c r="S16" s="90"/>
    </row>
    <row r="17" spans="1:19" x14ac:dyDescent="0.3">
      <c r="A17" s="306"/>
      <c r="B17" s="97" t="s">
        <v>86</v>
      </c>
      <c r="C17" s="97">
        <v>77</v>
      </c>
      <c r="D17" s="97">
        <v>2</v>
      </c>
      <c r="E17" s="97">
        <v>77</v>
      </c>
      <c r="F17" s="97">
        <v>1</v>
      </c>
      <c r="G17" s="97">
        <v>151</v>
      </c>
      <c r="H17" s="97">
        <v>208</v>
      </c>
      <c r="I17" s="97">
        <v>516</v>
      </c>
      <c r="J17" s="125">
        <v>100</v>
      </c>
      <c r="L17" s="90"/>
      <c r="M17" s="90"/>
      <c r="N17" s="90"/>
      <c r="O17" s="90"/>
      <c r="P17" s="90"/>
      <c r="Q17" s="90"/>
      <c r="R17" s="90"/>
      <c r="S17" s="90"/>
    </row>
    <row r="18" spans="1:19" x14ac:dyDescent="0.3">
      <c r="A18" s="304" t="s">
        <v>9</v>
      </c>
      <c r="B18" s="95" t="s">
        <v>302</v>
      </c>
      <c r="C18" s="95">
        <v>19</v>
      </c>
      <c r="D18" s="95">
        <v>0</v>
      </c>
      <c r="E18" s="95">
        <v>4</v>
      </c>
      <c r="F18" s="95">
        <v>1</v>
      </c>
      <c r="G18" s="95">
        <v>120</v>
      </c>
      <c r="H18" s="95">
        <v>119</v>
      </c>
      <c r="I18" s="95">
        <v>263</v>
      </c>
      <c r="J18" s="123">
        <v>49.3</v>
      </c>
      <c r="L18" s="90"/>
      <c r="M18" s="90"/>
      <c r="N18" s="90"/>
      <c r="O18" s="90"/>
      <c r="P18" s="90"/>
      <c r="Q18" s="90"/>
      <c r="R18" s="90"/>
      <c r="S18" s="90"/>
    </row>
    <row r="19" spans="1:19" x14ac:dyDescent="0.3">
      <c r="A19" s="305"/>
      <c r="B19" s="95" t="s">
        <v>287</v>
      </c>
      <c r="C19" s="95">
        <v>2</v>
      </c>
      <c r="D19" s="95">
        <v>0</v>
      </c>
      <c r="E19" s="95">
        <v>0</v>
      </c>
      <c r="F19" s="95">
        <v>0</v>
      </c>
      <c r="G19" s="95">
        <v>11</v>
      </c>
      <c r="H19" s="95">
        <v>20</v>
      </c>
      <c r="I19" s="95">
        <v>33</v>
      </c>
      <c r="J19" s="123">
        <v>6.2</v>
      </c>
      <c r="L19" s="90"/>
      <c r="M19" s="90"/>
      <c r="N19" s="90"/>
      <c r="O19" s="90"/>
      <c r="P19" s="90"/>
      <c r="Q19" s="90"/>
      <c r="R19" s="90"/>
      <c r="S19" s="90"/>
    </row>
    <row r="20" spans="1:19" x14ac:dyDescent="0.3">
      <c r="A20" s="305"/>
      <c r="B20" s="95" t="s">
        <v>286</v>
      </c>
      <c r="C20" s="95">
        <v>1</v>
      </c>
      <c r="D20" s="95">
        <v>0</v>
      </c>
      <c r="E20" s="95">
        <v>2</v>
      </c>
      <c r="F20" s="95">
        <v>0</v>
      </c>
      <c r="G20" s="95">
        <v>22</v>
      </c>
      <c r="H20" s="95">
        <v>7</v>
      </c>
      <c r="I20" s="95">
        <v>32</v>
      </c>
      <c r="J20" s="123">
        <v>6</v>
      </c>
      <c r="L20" s="90"/>
      <c r="M20" s="90"/>
      <c r="N20" s="90"/>
      <c r="O20" s="90"/>
      <c r="P20" s="90"/>
      <c r="Q20" s="90"/>
      <c r="R20" s="90"/>
      <c r="S20" s="90"/>
    </row>
    <row r="21" spans="1:19" x14ac:dyDescent="0.3">
      <c r="A21" s="305"/>
      <c r="B21" s="95" t="s">
        <v>306</v>
      </c>
      <c r="C21" s="95">
        <v>1</v>
      </c>
      <c r="D21" s="95">
        <v>0</v>
      </c>
      <c r="E21" s="95">
        <v>3</v>
      </c>
      <c r="F21" s="95">
        <v>0</v>
      </c>
      <c r="G21" s="95">
        <v>15</v>
      </c>
      <c r="H21" s="95">
        <v>9</v>
      </c>
      <c r="I21" s="95">
        <v>28</v>
      </c>
      <c r="J21" s="123">
        <v>5.2</v>
      </c>
      <c r="L21" s="90"/>
      <c r="M21" s="90"/>
      <c r="N21" s="90"/>
      <c r="O21" s="90"/>
      <c r="P21" s="90"/>
      <c r="Q21" s="90"/>
      <c r="R21" s="90"/>
      <c r="S21" s="90"/>
    </row>
    <row r="22" spans="1:19" x14ac:dyDescent="0.3">
      <c r="A22" s="305"/>
      <c r="B22" s="95" t="s">
        <v>301</v>
      </c>
      <c r="C22" s="95">
        <v>5</v>
      </c>
      <c r="D22" s="95">
        <v>0</v>
      </c>
      <c r="E22" s="95">
        <v>2</v>
      </c>
      <c r="F22" s="95">
        <v>0</v>
      </c>
      <c r="G22" s="95">
        <v>10</v>
      </c>
      <c r="H22" s="95">
        <v>4</v>
      </c>
      <c r="I22" s="95">
        <v>21</v>
      </c>
      <c r="J22" s="123">
        <v>3.9</v>
      </c>
      <c r="L22" s="90"/>
      <c r="M22" s="90"/>
      <c r="N22" s="90"/>
      <c r="O22" s="90"/>
      <c r="P22" s="90"/>
      <c r="Q22" s="90"/>
      <c r="R22" s="90"/>
      <c r="S22" s="90"/>
    </row>
    <row r="23" spans="1:19" x14ac:dyDescent="0.3">
      <c r="A23" s="305"/>
      <c r="B23" s="95" t="s">
        <v>288</v>
      </c>
      <c r="C23" s="95">
        <v>3</v>
      </c>
      <c r="D23" s="95">
        <v>0</v>
      </c>
      <c r="E23" s="95">
        <v>4</v>
      </c>
      <c r="F23" s="95">
        <v>0</v>
      </c>
      <c r="G23" s="95">
        <v>10</v>
      </c>
      <c r="H23" s="95">
        <v>2</v>
      </c>
      <c r="I23" s="95">
        <v>19</v>
      </c>
      <c r="J23" s="123">
        <v>3.6</v>
      </c>
      <c r="L23" s="90"/>
      <c r="M23" s="90"/>
      <c r="N23" s="90"/>
      <c r="O23" s="90"/>
      <c r="P23" s="90"/>
      <c r="Q23" s="90"/>
      <c r="R23" s="90"/>
      <c r="S23" s="90"/>
    </row>
    <row r="24" spans="1:19" x14ac:dyDescent="0.3">
      <c r="A24" s="305"/>
      <c r="B24" s="95" t="s">
        <v>295</v>
      </c>
      <c r="C24" s="95">
        <v>3</v>
      </c>
      <c r="D24" s="95">
        <v>0</v>
      </c>
      <c r="E24" s="95">
        <v>0</v>
      </c>
      <c r="F24" s="95">
        <v>0</v>
      </c>
      <c r="G24" s="95">
        <v>9</v>
      </c>
      <c r="H24" s="95">
        <v>5</v>
      </c>
      <c r="I24" s="95">
        <v>17</v>
      </c>
      <c r="J24" s="123">
        <v>3.2</v>
      </c>
      <c r="L24" s="90"/>
      <c r="M24" s="90"/>
      <c r="N24" s="90"/>
      <c r="O24" s="90"/>
      <c r="P24" s="90"/>
      <c r="Q24" s="90"/>
      <c r="R24" s="90"/>
      <c r="S24" s="90"/>
    </row>
    <row r="25" spans="1:19" x14ac:dyDescent="0.3">
      <c r="A25" s="305"/>
      <c r="B25" s="95" t="s">
        <v>294</v>
      </c>
      <c r="C25" s="95">
        <v>3</v>
      </c>
      <c r="D25" s="95">
        <v>0</v>
      </c>
      <c r="E25" s="95">
        <v>0</v>
      </c>
      <c r="F25" s="95">
        <v>0</v>
      </c>
      <c r="G25" s="95">
        <v>0</v>
      </c>
      <c r="H25" s="95">
        <v>12</v>
      </c>
      <c r="I25" s="95">
        <v>15</v>
      </c>
      <c r="J25" s="123">
        <v>2.8</v>
      </c>
      <c r="L25" s="90"/>
      <c r="M25" s="90"/>
      <c r="N25" s="90"/>
      <c r="O25" s="90"/>
      <c r="P25" s="90"/>
      <c r="Q25" s="90"/>
      <c r="R25" s="90"/>
      <c r="S25" s="90"/>
    </row>
    <row r="26" spans="1:19" x14ac:dyDescent="0.3">
      <c r="A26" s="305"/>
      <c r="B26" s="95" t="s">
        <v>289</v>
      </c>
      <c r="C26" s="95">
        <v>1</v>
      </c>
      <c r="D26" s="95">
        <v>0</v>
      </c>
      <c r="E26" s="95">
        <v>1</v>
      </c>
      <c r="F26" s="95">
        <v>0</v>
      </c>
      <c r="G26" s="95">
        <v>12</v>
      </c>
      <c r="H26" s="95">
        <v>1</v>
      </c>
      <c r="I26" s="95">
        <v>15</v>
      </c>
      <c r="J26" s="123">
        <v>2.8</v>
      </c>
      <c r="L26" s="90"/>
      <c r="M26" s="90"/>
      <c r="N26" s="90"/>
      <c r="O26" s="90"/>
      <c r="P26" s="90"/>
      <c r="Q26" s="90"/>
      <c r="R26" s="90"/>
      <c r="S26" s="90"/>
    </row>
    <row r="27" spans="1:19" x14ac:dyDescent="0.3">
      <c r="A27" s="305"/>
      <c r="B27" s="95" t="s">
        <v>281</v>
      </c>
      <c r="C27" s="95">
        <v>0</v>
      </c>
      <c r="D27" s="95">
        <v>0</v>
      </c>
      <c r="E27" s="95">
        <v>0</v>
      </c>
      <c r="F27" s="95">
        <v>0</v>
      </c>
      <c r="G27" s="95">
        <v>3</v>
      </c>
      <c r="H27" s="95">
        <v>6</v>
      </c>
      <c r="I27" s="95">
        <v>9</v>
      </c>
      <c r="J27" s="123">
        <v>1.7</v>
      </c>
      <c r="L27" s="90"/>
      <c r="M27" s="90"/>
      <c r="N27" s="90"/>
      <c r="O27" s="90"/>
      <c r="P27" s="90"/>
      <c r="Q27" s="90"/>
      <c r="R27" s="90"/>
      <c r="S27" s="90"/>
    </row>
    <row r="28" spans="1:19" x14ac:dyDescent="0.3">
      <c r="A28" s="305"/>
      <c r="B28" s="95" t="s">
        <v>389</v>
      </c>
      <c r="C28" s="95">
        <v>9</v>
      </c>
      <c r="D28" s="95">
        <v>1</v>
      </c>
      <c r="E28" s="95">
        <v>3</v>
      </c>
      <c r="F28" s="95">
        <v>0</v>
      </c>
      <c r="G28" s="95">
        <v>38</v>
      </c>
      <c r="H28" s="95">
        <v>31</v>
      </c>
      <c r="I28" s="95">
        <v>82</v>
      </c>
      <c r="J28" s="123">
        <v>15.4</v>
      </c>
      <c r="L28" s="90"/>
      <c r="M28" s="90"/>
      <c r="N28" s="90"/>
      <c r="O28" s="90"/>
      <c r="P28" s="90"/>
      <c r="Q28" s="90"/>
      <c r="R28" s="90"/>
      <c r="S28" s="90"/>
    </row>
    <row r="29" spans="1:19" x14ac:dyDescent="0.3">
      <c r="A29" s="306"/>
      <c r="B29" s="97" t="s">
        <v>86</v>
      </c>
      <c r="C29" s="97">
        <v>47</v>
      </c>
      <c r="D29" s="97">
        <v>1</v>
      </c>
      <c r="E29" s="97">
        <v>19</v>
      </c>
      <c r="F29" s="97">
        <v>1</v>
      </c>
      <c r="G29" s="97">
        <v>250</v>
      </c>
      <c r="H29" s="97">
        <v>216</v>
      </c>
      <c r="I29" s="97">
        <v>534</v>
      </c>
      <c r="J29" s="125">
        <v>100</v>
      </c>
      <c r="L29" s="90"/>
      <c r="M29" s="90"/>
      <c r="N29" s="90"/>
      <c r="O29" s="90"/>
      <c r="P29" s="90"/>
      <c r="Q29" s="90"/>
      <c r="R29" s="90"/>
      <c r="S29" s="90"/>
    </row>
    <row r="30" spans="1:19" x14ac:dyDescent="0.3">
      <c r="A30" s="304" t="s">
        <v>10</v>
      </c>
      <c r="B30" s="95" t="s">
        <v>302</v>
      </c>
      <c r="C30" s="95">
        <v>10</v>
      </c>
      <c r="D30" s="126">
        <v>0</v>
      </c>
      <c r="E30" s="95">
        <v>22</v>
      </c>
      <c r="F30" s="126">
        <v>0</v>
      </c>
      <c r="G30" s="95">
        <v>62</v>
      </c>
      <c r="H30" s="95">
        <v>27</v>
      </c>
      <c r="I30" s="95">
        <v>121</v>
      </c>
      <c r="J30" s="123">
        <v>41.6</v>
      </c>
      <c r="L30" s="90"/>
      <c r="M30" s="90"/>
      <c r="N30" s="90"/>
      <c r="O30" s="90"/>
      <c r="P30" s="90"/>
      <c r="Q30" s="90"/>
      <c r="R30" s="90"/>
      <c r="S30" s="90"/>
    </row>
    <row r="31" spans="1:19" x14ac:dyDescent="0.3">
      <c r="A31" s="305"/>
      <c r="B31" s="95" t="s">
        <v>306</v>
      </c>
      <c r="C31" s="95">
        <v>0</v>
      </c>
      <c r="D31" s="126">
        <v>0</v>
      </c>
      <c r="E31" s="95">
        <v>7</v>
      </c>
      <c r="F31" s="126">
        <v>0</v>
      </c>
      <c r="G31" s="95">
        <v>15</v>
      </c>
      <c r="H31" s="95">
        <v>3</v>
      </c>
      <c r="I31" s="95">
        <v>25</v>
      </c>
      <c r="J31" s="123">
        <v>8.6</v>
      </c>
      <c r="L31" s="90"/>
      <c r="M31" s="90"/>
      <c r="N31" s="90"/>
      <c r="O31" s="90"/>
      <c r="P31" s="90"/>
      <c r="Q31" s="90"/>
      <c r="R31" s="90"/>
      <c r="S31" s="90"/>
    </row>
    <row r="32" spans="1:19" x14ac:dyDescent="0.3">
      <c r="A32" s="305"/>
      <c r="B32" s="95" t="s">
        <v>286</v>
      </c>
      <c r="C32" s="95">
        <v>0</v>
      </c>
      <c r="D32" s="126">
        <v>0</v>
      </c>
      <c r="E32" s="95">
        <v>0</v>
      </c>
      <c r="F32" s="126">
        <v>0</v>
      </c>
      <c r="G32" s="95">
        <v>16</v>
      </c>
      <c r="H32" s="95">
        <v>5</v>
      </c>
      <c r="I32" s="95">
        <v>21</v>
      </c>
      <c r="J32" s="123">
        <v>7.2</v>
      </c>
      <c r="L32" s="90"/>
      <c r="M32" s="90"/>
      <c r="N32" s="90"/>
      <c r="O32" s="90"/>
      <c r="P32" s="90"/>
      <c r="Q32" s="90"/>
      <c r="R32" s="90"/>
      <c r="S32" s="90"/>
    </row>
    <row r="33" spans="1:19" x14ac:dyDescent="0.3">
      <c r="A33" s="305"/>
      <c r="B33" s="95" t="s">
        <v>288</v>
      </c>
      <c r="C33" s="95">
        <v>3</v>
      </c>
      <c r="D33" s="126">
        <v>0</v>
      </c>
      <c r="E33" s="95">
        <v>4</v>
      </c>
      <c r="F33" s="126">
        <v>0</v>
      </c>
      <c r="G33" s="95">
        <v>7</v>
      </c>
      <c r="H33" s="95">
        <v>1</v>
      </c>
      <c r="I33" s="95">
        <v>15</v>
      </c>
      <c r="J33" s="123">
        <v>5.2</v>
      </c>
      <c r="L33" s="90"/>
      <c r="M33" s="90"/>
      <c r="N33" s="90"/>
      <c r="O33" s="90"/>
      <c r="P33" s="90"/>
      <c r="Q33" s="90"/>
      <c r="R33" s="90"/>
      <c r="S33" s="90"/>
    </row>
    <row r="34" spans="1:19" x14ac:dyDescent="0.3">
      <c r="A34" s="305"/>
      <c r="B34" s="95" t="s">
        <v>287</v>
      </c>
      <c r="C34" s="95">
        <v>1</v>
      </c>
      <c r="D34" s="126">
        <v>0</v>
      </c>
      <c r="E34" s="95">
        <v>2</v>
      </c>
      <c r="F34" s="126">
        <v>0</v>
      </c>
      <c r="G34" s="95">
        <v>7</v>
      </c>
      <c r="H34" s="95">
        <v>4</v>
      </c>
      <c r="I34" s="95">
        <v>14</v>
      </c>
      <c r="J34" s="123">
        <v>4.8</v>
      </c>
      <c r="L34" s="90"/>
      <c r="M34" s="90"/>
      <c r="N34" s="90"/>
      <c r="O34" s="90"/>
      <c r="P34" s="90"/>
      <c r="Q34" s="90"/>
      <c r="R34" s="90"/>
      <c r="S34" s="90"/>
    </row>
    <row r="35" spans="1:19" x14ac:dyDescent="0.3">
      <c r="A35" s="305"/>
      <c r="B35" s="95" t="s">
        <v>301</v>
      </c>
      <c r="C35" s="95">
        <v>0</v>
      </c>
      <c r="D35" s="126">
        <v>0</v>
      </c>
      <c r="E35" s="95">
        <v>0</v>
      </c>
      <c r="F35" s="126">
        <v>0</v>
      </c>
      <c r="G35" s="95">
        <v>9</v>
      </c>
      <c r="H35" s="95">
        <v>3</v>
      </c>
      <c r="I35" s="95">
        <v>12</v>
      </c>
      <c r="J35" s="123">
        <v>4.0999999999999996</v>
      </c>
      <c r="L35" s="90"/>
      <c r="M35" s="90"/>
      <c r="N35" s="90"/>
      <c r="O35" s="90"/>
      <c r="P35" s="90"/>
      <c r="Q35" s="90"/>
      <c r="R35" s="90"/>
      <c r="S35" s="90"/>
    </row>
    <row r="36" spans="1:19" x14ac:dyDescent="0.3">
      <c r="A36" s="305"/>
      <c r="B36" s="95" t="s">
        <v>295</v>
      </c>
      <c r="C36" s="95">
        <v>0</v>
      </c>
      <c r="D36" s="126">
        <v>0</v>
      </c>
      <c r="E36" s="95">
        <v>0</v>
      </c>
      <c r="F36" s="126">
        <v>0</v>
      </c>
      <c r="G36" s="95">
        <v>8</v>
      </c>
      <c r="H36" s="95">
        <v>4</v>
      </c>
      <c r="I36" s="95">
        <v>12</v>
      </c>
      <c r="J36" s="123">
        <v>4.0999999999999996</v>
      </c>
      <c r="L36" s="90"/>
      <c r="M36" s="90"/>
      <c r="N36" s="90"/>
      <c r="O36" s="90"/>
      <c r="P36" s="90"/>
      <c r="Q36" s="90"/>
      <c r="R36" s="90"/>
      <c r="S36" s="90"/>
    </row>
    <row r="37" spans="1:19" x14ac:dyDescent="0.3">
      <c r="A37" s="305"/>
      <c r="B37" s="95" t="s">
        <v>296</v>
      </c>
      <c r="C37" s="95">
        <v>0</v>
      </c>
      <c r="D37" s="126">
        <v>0</v>
      </c>
      <c r="E37" s="95">
        <v>11</v>
      </c>
      <c r="F37" s="126">
        <v>0</v>
      </c>
      <c r="G37" s="95">
        <v>0</v>
      </c>
      <c r="H37" s="95">
        <v>0</v>
      </c>
      <c r="I37" s="95">
        <v>11</v>
      </c>
      <c r="J37" s="123">
        <v>3.8</v>
      </c>
      <c r="L37" s="90"/>
      <c r="M37" s="90"/>
      <c r="N37" s="90"/>
      <c r="O37" s="90"/>
      <c r="P37" s="90"/>
      <c r="Q37" s="90"/>
      <c r="R37" s="90"/>
      <c r="S37" s="90"/>
    </row>
    <row r="38" spans="1:19" x14ac:dyDescent="0.3">
      <c r="A38" s="305"/>
      <c r="B38" s="95" t="s">
        <v>294</v>
      </c>
      <c r="C38" s="95">
        <v>2</v>
      </c>
      <c r="D38" s="126">
        <v>0</v>
      </c>
      <c r="E38" s="95">
        <v>0</v>
      </c>
      <c r="F38" s="126">
        <v>0</v>
      </c>
      <c r="G38" s="95">
        <v>2</v>
      </c>
      <c r="H38" s="95">
        <v>5</v>
      </c>
      <c r="I38" s="95">
        <v>9</v>
      </c>
      <c r="J38" s="123">
        <v>3.1</v>
      </c>
      <c r="L38" s="90"/>
      <c r="M38" s="90"/>
      <c r="N38" s="90"/>
      <c r="O38" s="90"/>
      <c r="P38" s="90"/>
      <c r="Q38" s="90"/>
      <c r="R38" s="90"/>
      <c r="S38" s="90"/>
    </row>
    <row r="39" spans="1:19" x14ac:dyDescent="0.3">
      <c r="A39" s="305"/>
      <c r="B39" s="95" t="s">
        <v>293</v>
      </c>
      <c r="C39" s="95">
        <v>0</v>
      </c>
      <c r="D39" s="126">
        <v>0</v>
      </c>
      <c r="E39" s="95">
        <v>0</v>
      </c>
      <c r="F39" s="126">
        <v>0</v>
      </c>
      <c r="G39" s="95">
        <v>8</v>
      </c>
      <c r="H39" s="95">
        <v>0</v>
      </c>
      <c r="I39" s="95">
        <v>8</v>
      </c>
      <c r="J39" s="123">
        <v>2.7</v>
      </c>
      <c r="L39" s="90"/>
      <c r="M39" s="90"/>
      <c r="N39" s="90"/>
      <c r="O39" s="90"/>
      <c r="P39" s="90"/>
      <c r="Q39" s="90"/>
      <c r="R39" s="90"/>
      <c r="S39" s="90"/>
    </row>
    <row r="40" spans="1:19" x14ac:dyDescent="0.3">
      <c r="A40" s="305"/>
      <c r="B40" s="95" t="s">
        <v>389</v>
      </c>
      <c r="C40" s="95">
        <v>2</v>
      </c>
      <c r="D40" s="126">
        <v>0</v>
      </c>
      <c r="E40" s="95">
        <v>4</v>
      </c>
      <c r="F40" s="126">
        <v>0</v>
      </c>
      <c r="G40" s="95">
        <v>27</v>
      </c>
      <c r="H40" s="95">
        <v>10</v>
      </c>
      <c r="I40" s="95">
        <v>43</v>
      </c>
      <c r="J40" s="123">
        <v>14.8</v>
      </c>
      <c r="L40" s="90"/>
      <c r="M40" s="90"/>
      <c r="N40" s="90"/>
      <c r="O40" s="90"/>
      <c r="P40" s="90"/>
      <c r="Q40" s="90"/>
      <c r="R40" s="90"/>
      <c r="S40" s="90"/>
    </row>
    <row r="41" spans="1:19" x14ac:dyDescent="0.3">
      <c r="A41" s="306"/>
      <c r="B41" s="97" t="s">
        <v>86</v>
      </c>
      <c r="C41" s="97">
        <v>18</v>
      </c>
      <c r="D41" s="82">
        <v>0</v>
      </c>
      <c r="E41" s="97">
        <v>50</v>
      </c>
      <c r="F41" s="82">
        <v>0</v>
      </c>
      <c r="G41" s="97">
        <v>161</v>
      </c>
      <c r="H41" s="97">
        <v>62</v>
      </c>
      <c r="I41" s="97">
        <v>291</v>
      </c>
      <c r="J41" s="125">
        <v>100</v>
      </c>
      <c r="L41" s="90"/>
      <c r="M41" s="90"/>
      <c r="N41" s="90"/>
      <c r="O41" s="90"/>
      <c r="P41" s="90"/>
      <c r="Q41" s="90"/>
      <c r="R41" s="90"/>
      <c r="S41" s="90"/>
    </row>
    <row r="42" spans="1:19" x14ac:dyDescent="0.3">
      <c r="A42" s="304" t="s">
        <v>369</v>
      </c>
      <c r="B42" s="95" t="s">
        <v>302</v>
      </c>
      <c r="C42" s="95">
        <v>15</v>
      </c>
      <c r="D42" s="126">
        <v>0</v>
      </c>
      <c r="E42" s="95">
        <v>18</v>
      </c>
      <c r="F42" s="126">
        <v>0</v>
      </c>
      <c r="G42" s="95">
        <v>29</v>
      </c>
      <c r="H42" s="95">
        <v>8</v>
      </c>
      <c r="I42" s="95">
        <v>70</v>
      </c>
      <c r="J42" s="123">
        <v>48.3</v>
      </c>
      <c r="L42" s="90"/>
      <c r="M42" s="90"/>
      <c r="N42" s="90"/>
      <c r="O42" s="90"/>
      <c r="P42" s="90"/>
      <c r="Q42" s="90"/>
      <c r="R42" s="90"/>
      <c r="S42" s="90"/>
    </row>
    <row r="43" spans="1:19" x14ac:dyDescent="0.3">
      <c r="A43" s="305"/>
      <c r="B43" s="95" t="s">
        <v>306</v>
      </c>
      <c r="C43" s="95">
        <v>8</v>
      </c>
      <c r="D43" s="126">
        <v>0</v>
      </c>
      <c r="E43" s="95">
        <v>3</v>
      </c>
      <c r="F43" s="126">
        <v>0</v>
      </c>
      <c r="G43" s="95">
        <v>4</v>
      </c>
      <c r="H43" s="95">
        <v>0</v>
      </c>
      <c r="I43" s="95">
        <v>15</v>
      </c>
      <c r="J43" s="123">
        <v>10.3</v>
      </c>
      <c r="L43" s="90"/>
      <c r="M43" s="90"/>
      <c r="N43" s="90"/>
      <c r="O43" s="90"/>
      <c r="P43" s="90"/>
      <c r="Q43" s="90"/>
      <c r="R43" s="90"/>
      <c r="S43" s="90"/>
    </row>
    <row r="44" spans="1:19" x14ac:dyDescent="0.3">
      <c r="A44" s="305"/>
      <c r="B44" s="95" t="s">
        <v>296</v>
      </c>
      <c r="C44" s="95">
        <v>0</v>
      </c>
      <c r="D44" s="126">
        <v>0</v>
      </c>
      <c r="E44" s="95">
        <v>14</v>
      </c>
      <c r="F44" s="126">
        <v>0</v>
      </c>
      <c r="G44" s="95">
        <v>0</v>
      </c>
      <c r="H44" s="95">
        <v>0</v>
      </c>
      <c r="I44" s="95">
        <v>14</v>
      </c>
      <c r="J44" s="123">
        <v>9.6999999999999993</v>
      </c>
      <c r="L44" s="90"/>
      <c r="M44" s="90"/>
      <c r="N44" s="90"/>
      <c r="O44" s="90"/>
      <c r="P44" s="90"/>
      <c r="Q44" s="90"/>
      <c r="R44" s="90"/>
      <c r="S44" s="90"/>
    </row>
    <row r="45" spans="1:19" x14ac:dyDescent="0.3">
      <c r="A45" s="305"/>
      <c r="B45" s="95" t="s">
        <v>293</v>
      </c>
      <c r="C45" s="95">
        <v>3</v>
      </c>
      <c r="D45" s="126">
        <v>0</v>
      </c>
      <c r="E45" s="95">
        <v>0</v>
      </c>
      <c r="F45" s="126">
        <v>0</v>
      </c>
      <c r="G45" s="95">
        <v>6</v>
      </c>
      <c r="H45" s="95">
        <v>0</v>
      </c>
      <c r="I45" s="95">
        <v>9</v>
      </c>
      <c r="J45" s="123">
        <v>6.2</v>
      </c>
      <c r="L45" s="90"/>
      <c r="M45" s="90"/>
      <c r="N45" s="90"/>
      <c r="O45" s="90"/>
      <c r="P45" s="90"/>
      <c r="Q45" s="90"/>
      <c r="R45" s="90"/>
      <c r="S45" s="90"/>
    </row>
    <row r="46" spans="1:19" x14ac:dyDescent="0.3">
      <c r="A46" s="305"/>
      <c r="B46" s="95" t="s">
        <v>301</v>
      </c>
      <c r="C46" s="95">
        <v>0</v>
      </c>
      <c r="D46" s="126">
        <v>0</v>
      </c>
      <c r="E46" s="95">
        <v>0</v>
      </c>
      <c r="F46" s="126">
        <v>0</v>
      </c>
      <c r="G46" s="95">
        <v>6</v>
      </c>
      <c r="H46" s="95">
        <v>0</v>
      </c>
      <c r="I46" s="95">
        <v>6</v>
      </c>
      <c r="J46" s="123">
        <v>4.0999999999999996</v>
      </c>
      <c r="L46" s="90"/>
      <c r="M46" s="90"/>
      <c r="N46" s="90"/>
      <c r="O46" s="90"/>
      <c r="P46" s="90"/>
      <c r="Q46" s="90"/>
      <c r="R46" s="90"/>
      <c r="S46" s="90"/>
    </row>
    <row r="47" spans="1:19" x14ac:dyDescent="0.3">
      <c r="A47" s="305"/>
      <c r="B47" s="95" t="s">
        <v>295</v>
      </c>
      <c r="C47" s="95">
        <v>0</v>
      </c>
      <c r="D47" s="126">
        <v>0</v>
      </c>
      <c r="E47" s="95">
        <v>2</v>
      </c>
      <c r="F47" s="126">
        <v>0</v>
      </c>
      <c r="G47" s="95">
        <v>3</v>
      </c>
      <c r="H47" s="95">
        <v>0</v>
      </c>
      <c r="I47" s="95">
        <v>5</v>
      </c>
      <c r="J47" s="123">
        <v>3.4</v>
      </c>
      <c r="L47" s="90"/>
      <c r="M47" s="90"/>
      <c r="N47" s="90"/>
      <c r="O47" s="90"/>
      <c r="P47" s="90"/>
      <c r="Q47" s="90"/>
      <c r="R47" s="90"/>
      <c r="S47" s="90"/>
    </row>
    <row r="48" spans="1:19" x14ac:dyDescent="0.3">
      <c r="A48" s="305"/>
      <c r="B48" s="95" t="s">
        <v>300</v>
      </c>
      <c r="C48" s="95">
        <v>2</v>
      </c>
      <c r="D48" s="126">
        <v>0</v>
      </c>
      <c r="E48" s="95">
        <v>1</v>
      </c>
      <c r="F48" s="126">
        <v>0</v>
      </c>
      <c r="G48" s="95">
        <v>0</v>
      </c>
      <c r="H48" s="95">
        <v>1</v>
      </c>
      <c r="I48" s="95">
        <v>4</v>
      </c>
      <c r="J48" s="123">
        <v>2.8</v>
      </c>
      <c r="L48" s="90"/>
      <c r="M48" s="90"/>
      <c r="N48" s="90"/>
      <c r="O48" s="90"/>
      <c r="P48" s="90"/>
      <c r="Q48" s="90"/>
      <c r="R48" s="90"/>
      <c r="S48" s="90"/>
    </row>
    <row r="49" spans="1:19" x14ac:dyDescent="0.3">
      <c r="A49" s="305"/>
      <c r="B49" s="95" t="s">
        <v>290</v>
      </c>
      <c r="C49" s="95">
        <v>0</v>
      </c>
      <c r="D49" s="126">
        <v>0</v>
      </c>
      <c r="E49" s="95">
        <v>0</v>
      </c>
      <c r="F49" s="126">
        <v>0</v>
      </c>
      <c r="G49" s="95">
        <v>4</v>
      </c>
      <c r="H49" s="95">
        <v>0</v>
      </c>
      <c r="I49" s="95">
        <v>4</v>
      </c>
      <c r="J49" s="123">
        <v>2.8</v>
      </c>
      <c r="L49" s="90"/>
      <c r="M49" s="90"/>
      <c r="N49" s="90"/>
      <c r="O49" s="90"/>
      <c r="P49" s="90"/>
      <c r="Q49" s="90"/>
      <c r="R49" s="90"/>
      <c r="S49" s="90"/>
    </row>
    <row r="50" spans="1:19" x14ac:dyDescent="0.3">
      <c r="A50" s="305"/>
      <c r="B50" s="95" t="s">
        <v>287</v>
      </c>
      <c r="C50" s="95">
        <v>0</v>
      </c>
      <c r="D50" s="126">
        <v>0</v>
      </c>
      <c r="E50" s="95">
        <v>1</v>
      </c>
      <c r="F50" s="126">
        <v>0</v>
      </c>
      <c r="G50" s="95">
        <v>3</v>
      </c>
      <c r="H50" s="95">
        <v>0</v>
      </c>
      <c r="I50" s="95">
        <v>4</v>
      </c>
      <c r="J50" s="123">
        <v>2.8</v>
      </c>
      <c r="L50" s="90"/>
      <c r="M50" s="90"/>
      <c r="N50" s="90"/>
      <c r="O50" s="90"/>
      <c r="P50" s="90"/>
      <c r="Q50" s="90"/>
      <c r="R50" s="90"/>
      <c r="S50" s="90"/>
    </row>
    <row r="51" spans="1:19" x14ac:dyDescent="0.3">
      <c r="A51" s="305"/>
      <c r="B51" s="95" t="s">
        <v>286</v>
      </c>
      <c r="C51" s="95">
        <v>1</v>
      </c>
      <c r="D51" s="126">
        <v>0</v>
      </c>
      <c r="E51" s="95">
        <v>0</v>
      </c>
      <c r="F51" s="126">
        <v>0</v>
      </c>
      <c r="G51" s="95">
        <v>2</v>
      </c>
      <c r="H51" s="95">
        <v>1</v>
      </c>
      <c r="I51" s="95">
        <v>4</v>
      </c>
      <c r="J51" s="123">
        <v>2.8</v>
      </c>
      <c r="L51" s="90"/>
      <c r="M51" s="90"/>
      <c r="N51" s="90"/>
      <c r="O51" s="90"/>
      <c r="P51" s="90"/>
      <c r="Q51" s="90"/>
      <c r="R51" s="90"/>
      <c r="S51" s="90"/>
    </row>
    <row r="52" spans="1:19" x14ac:dyDescent="0.3">
      <c r="A52" s="305"/>
      <c r="B52" s="95" t="s">
        <v>389</v>
      </c>
      <c r="C52" s="95">
        <v>4</v>
      </c>
      <c r="D52" s="126">
        <v>0</v>
      </c>
      <c r="E52" s="95">
        <v>2</v>
      </c>
      <c r="F52" s="126">
        <v>0</v>
      </c>
      <c r="G52" s="95">
        <v>0</v>
      </c>
      <c r="H52" s="95">
        <v>4</v>
      </c>
      <c r="I52" s="95">
        <v>10</v>
      </c>
      <c r="J52" s="123">
        <v>6.9</v>
      </c>
      <c r="L52" s="90"/>
      <c r="M52" s="90"/>
      <c r="N52" s="90"/>
      <c r="O52" s="90"/>
      <c r="P52" s="90"/>
      <c r="Q52" s="90"/>
      <c r="R52" s="90"/>
      <c r="S52" s="90"/>
    </row>
    <row r="53" spans="1:19" x14ac:dyDescent="0.3">
      <c r="A53" s="306"/>
      <c r="B53" s="97" t="s">
        <v>86</v>
      </c>
      <c r="C53" s="97">
        <v>33</v>
      </c>
      <c r="D53" s="82">
        <v>0</v>
      </c>
      <c r="E53" s="97">
        <v>41</v>
      </c>
      <c r="F53" s="82">
        <v>0</v>
      </c>
      <c r="G53" s="97">
        <v>57</v>
      </c>
      <c r="H53" s="97">
        <v>14</v>
      </c>
      <c r="I53" s="97">
        <v>145</v>
      </c>
      <c r="J53" s="125">
        <v>100</v>
      </c>
      <c r="L53" s="90"/>
      <c r="M53" s="90"/>
      <c r="N53" s="90"/>
      <c r="O53" s="90"/>
      <c r="P53" s="90"/>
      <c r="Q53" s="90"/>
      <c r="R53" s="90"/>
      <c r="S53" s="90"/>
    </row>
    <row r="54" spans="1:19" x14ac:dyDescent="0.3">
      <c r="A54" s="304" t="s">
        <v>402</v>
      </c>
      <c r="B54" s="13" t="s">
        <v>302</v>
      </c>
      <c r="C54" s="13">
        <v>21</v>
      </c>
      <c r="D54" s="80">
        <v>1</v>
      </c>
      <c r="E54" s="13">
        <v>10</v>
      </c>
      <c r="F54" s="80">
        <v>0</v>
      </c>
      <c r="G54" s="13">
        <v>29</v>
      </c>
      <c r="H54" s="13">
        <v>3</v>
      </c>
      <c r="I54" s="13">
        <v>64</v>
      </c>
      <c r="J54" s="35">
        <v>39.5</v>
      </c>
      <c r="L54" s="90"/>
      <c r="M54" s="90"/>
      <c r="N54" s="90"/>
      <c r="O54" s="90"/>
      <c r="P54" s="90"/>
      <c r="Q54" s="90"/>
      <c r="R54" s="90"/>
      <c r="S54" s="90"/>
    </row>
    <row r="55" spans="1:19" x14ac:dyDescent="0.3">
      <c r="A55" s="305"/>
      <c r="B55" s="13" t="s">
        <v>306</v>
      </c>
      <c r="C55" s="13">
        <v>7</v>
      </c>
      <c r="D55" s="80">
        <v>0</v>
      </c>
      <c r="E55" s="13">
        <v>2</v>
      </c>
      <c r="F55" s="80">
        <v>0</v>
      </c>
      <c r="G55" s="13">
        <v>6</v>
      </c>
      <c r="H55" s="13">
        <v>0</v>
      </c>
      <c r="I55" s="13">
        <v>15</v>
      </c>
      <c r="J55" s="35">
        <v>9.3000000000000007</v>
      </c>
      <c r="L55" s="90"/>
      <c r="M55" s="90"/>
      <c r="N55" s="90"/>
      <c r="O55" s="90"/>
      <c r="P55" s="90"/>
      <c r="Q55" s="90"/>
      <c r="R55" s="90"/>
      <c r="S55" s="90"/>
    </row>
    <row r="56" spans="1:19" x14ac:dyDescent="0.3">
      <c r="A56" s="305"/>
      <c r="B56" s="13" t="s">
        <v>293</v>
      </c>
      <c r="C56" s="13">
        <v>1</v>
      </c>
      <c r="D56" s="80">
        <v>0</v>
      </c>
      <c r="E56" s="13">
        <v>0</v>
      </c>
      <c r="F56" s="80">
        <v>0</v>
      </c>
      <c r="G56" s="13">
        <v>13</v>
      </c>
      <c r="H56" s="13">
        <v>0</v>
      </c>
      <c r="I56" s="13">
        <v>14</v>
      </c>
      <c r="J56" s="35">
        <v>8.6</v>
      </c>
      <c r="L56" s="90"/>
      <c r="M56" s="90"/>
      <c r="N56" s="90"/>
      <c r="O56" s="90"/>
      <c r="P56" s="90"/>
      <c r="Q56" s="90"/>
      <c r="R56" s="90"/>
      <c r="S56" s="90"/>
    </row>
    <row r="57" spans="1:19" x14ac:dyDescent="0.3">
      <c r="A57" s="305"/>
      <c r="B57" s="13" t="s">
        <v>296</v>
      </c>
      <c r="C57" s="13">
        <v>2</v>
      </c>
      <c r="D57" s="80">
        <v>0</v>
      </c>
      <c r="E57" s="13">
        <v>10</v>
      </c>
      <c r="F57" s="80">
        <v>0</v>
      </c>
      <c r="G57" s="13">
        <v>0</v>
      </c>
      <c r="H57" s="13">
        <v>0</v>
      </c>
      <c r="I57" s="13">
        <v>12</v>
      </c>
      <c r="J57" s="35">
        <v>7.4</v>
      </c>
      <c r="L57" s="90"/>
      <c r="M57" s="90"/>
      <c r="N57" s="90"/>
      <c r="O57" s="90"/>
      <c r="P57" s="90"/>
      <c r="Q57" s="90"/>
      <c r="R57" s="90"/>
      <c r="S57" s="90"/>
    </row>
    <row r="58" spans="1:19" x14ac:dyDescent="0.3">
      <c r="A58" s="305"/>
      <c r="B58" s="13" t="s">
        <v>301</v>
      </c>
      <c r="C58" s="13">
        <v>0</v>
      </c>
      <c r="D58" s="80">
        <v>0</v>
      </c>
      <c r="E58" s="13">
        <v>0</v>
      </c>
      <c r="F58" s="80">
        <v>0</v>
      </c>
      <c r="G58" s="13">
        <v>9</v>
      </c>
      <c r="H58" s="13">
        <v>0</v>
      </c>
      <c r="I58" s="13">
        <v>9</v>
      </c>
      <c r="J58" s="35">
        <v>5.6</v>
      </c>
      <c r="L58" s="90"/>
      <c r="M58" s="90"/>
      <c r="N58" s="90"/>
      <c r="O58" s="90"/>
      <c r="P58" s="90"/>
      <c r="Q58" s="90"/>
      <c r="R58" s="90"/>
      <c r="S58" s="90"/>
    </row>
    <row r="59" spans="1:19" x14ac:dyDescent="0.3">
      <c r="A59" s="305"/>
      <c r="B59" s="13" t="s">
        <v>290</v>
      </c>
      <c r="C59" s="13">
        <v>0</v>
      </c>
      <c r="D59" s="80">
        <v>0</v>
      </c>
      <c r="E59" s="13">
        <v>1</v>
      </c>
      <c r="F59" s="80">
        <v>0</v>
      </c>
      <c r="G59" s="13">
        <v>6</v>
      </c>
      <c r="H59" s="13">
        <v>0</v>
      </c>
      <c r="I59" s="13">
        <v>7</v>
      </c>
      <c r="J59" s="35">
        <v>4.3</v>
      </c>
      <c r="L59" s="90"/>
      <c r="M59" s="90"/>
      <c r="N59" s="90"/>
      <c r="O59" s="90"/>
      <c r="P59" s="90"/>
      <c r="Q59" s="90"/>
      <c r="R59" s="90"/>
      <c r="S59" s="90"/>
    </row>
    <row r="60" spans="1:19" x14ac:dyDescent="0.3">
      <c r="A60" s="305"/>
      <c r="B60" s="13" t="s">
        <v>289</v>
      </c>
      <c r="C60" s="13">
        <v>0</v>
      </c>
      <c r="D60" s="80">
        <v>0</v>
      </c>
      <c r="E60" s="13">
        <v>0</v>
      </c>
      <c r="F60" s="80">
        <v>0</v>
      </c>
      <c r="G60" s="13">
        <v>7</v>
      </c>
      <c r="H60" s="13">
        <v>0</v>
      </c>
      <c r="I60" s="13">
        <v>7</v>
      </c>
      <c r="J60" s="35">
        <v>4.3</v>
      </c>
      <c r="L60" s="90"/>
      <c r="M60" s="90"/>
      <c r="N60" s="90"/>
      <c r="O60" s="90"/>
      <c r="P60" s="90"/>
      <c r="Q60" s="90"/>
      <c r="R60" s="90"/>
      <c r="S60" s="90"/>
    </row>
    <row r="61" spans="1:19" x14ac:dyDescent="0.3">
      <c r="A61" s="305"/>
      <c r="B61" s="13" t="s">
        <v>295</v>
      </c>
      <c r="C61" s="13">
        <v>2</v>
      </c>
      <c r="D61" s="80">
        <v>0</v>
      </c>
      <c r="E61" s="13">
        <v>2</v>
      </c>
      <c r="F61" s="80">
        <v>0</v>
      </c>
      <c r="G61" s="13">
        <v>1</v>
      </c>
      <c r="H61" s="13">
        <v>0</v>
      </c>
      <c r="I61" s="13">
        <v>5</v>
      </c>
      <c r="J61" s="35">
        <v>3.1</v>
      </c>
      <c r="L61" s="90"/>
      <c r="M61" s="90"/>
      <c r="N61" s="90"/>
      <c r="O61" s="90"/>
      <c r="P61" s="90"/>
      <c r="Q61" s="90"/>
      <c r="R61" s="90"/>
      <c r="S61" s="90"/>
    </row>
    <row r="62" spans="1:19" x14ac:dyDescent="0.3">
      <c r="A62" s="305"/>
      <c r="B62" s="13" t="s">
        <v>286</v>
      </c>
      <c r="C62" s="13">
        <v>1</v>
      </c>
      <c r="D62" s="80">
        <v>0</v>
      </c>
      <c r="E62" s="13">
        <v>1</v>
      </c>
      <c r="F62" s="80">
        <v>0</v>
      </c>
      <c r="G62" s="13">
        <v>2</v>
      </c>
      <c r="H62" s="13">
        <v>1</v>
      </c>
      <c r="I62" s="13">
        <v>5</v>
      </c>
      <c r="J62" s="35">
        <v>3.1</v>
      </c>
      <c r="L62" s="90"/>
      <c r="M62" s="90"/>
      <c r="N62" s="90"/>
      <c r="O62" s="90"/>
      <c r="P62" s="90"/>
      <c r="Q62" s="90"/>
      <c r="R62" s="90"/>
      <c r="S62" s="90"/>
    </row>
    <row r="63" spans="1:19" x14ac:dyDescent="0.3">
      <c r="A63" s="305"/>
      <c r="B63" s="13" t="s">
        <v>283</v>
      </c>
      <c r="C63" s="13">
        <v>0</v>
      </c>
      <c r="D63" s="80">
        <v>0</v>
      </c>
      <c r="E63" s="13">
        <v>0</v>
      </c>
      <c r="F63" s="80">
        <v>0</v>
      </c>
      <c r="G63" s="13">
        <v>4</v>
      </c>
      <c r="H63" s="13">
        <v>0</v>
      </c>
      <c r="I63" s="13">
        <v>4</v>
      </c>
      <c r="J63" s="35">
        <v>2.5</v>
      </c>
      <c r="L63" s="90"/>
      <c r="M63" s="90"/>
      <c r="N63" s="90"/>
      <c r="O63" s="90"/>
      <c r="P63" s="90"/>
      <c r="Q63" s="90"/>
      <c r="R63" s="90"/>
      <c r="S63" s="90"/>
    </row>
    <row r="64" spans="1:19" x14ac:dyDescent="0.3">
      <c r="A64" s="305"/>
      <c r="B64" s="13" t="s">
        <v>389</v>
      </c>
      <c r="C64" s="13">
        <v>7</v>
      </c>
      <c r="D64" s="80">
        <v>0</v>
      </c>
      <c r="E64" s="13">
        <v>0</v>
      </c>
      <c r="F64" s="80">
        <v>0</v>
      </c>
      <c r="G64" s="13">
        <v>12</v>
      </c>
      <c r="H64" s="13">
        <v>1</v>
      </c>
      <c r="I64" s="13">
        <v>20</v>
      </c>
      <c r="J64" s="35">
        <v>12.2</v>
      </c>
      <c r="L64" s="90"/>
      <c r="M64" s="90"/>
      <c r="N64" s="90"/>
      <c r="O64" s="90"/>
      <c r="P64" s="90"/>
      <c r="Q64" s="90"/>
      <c r="R64" s="90"/>
      <c r="S64" s="90"/>
    </row>
    <row r="65" spans="1:19" x14ac:dyDescent="0.3">
      <c r="A65" s="306"/>
      <c r="B65" s="29" t="s">
        <v>86</v>
      </c>
      <c r="C65" s="29">
        <v>41</v>
      </c>
      <c r="D65" s="82">
        <v>1</v>
      </c>
      <c r="E65" s="29">
        <v>26</v>
      </c>
      <c r="F65" s="82">
        <v>0</v>
      </c>
      <c r="G65" s="29">
        <v>89</v>
      </c>
      <c r="H65" s="29">
        <v>5</v>
      </c>
      <c r="I65" s="29">
        <v>162</v>
      </c>
      <c r="J65" s="42">
        <v>100</v>
      </c>
      <c r="L65" s="90"/>
      <c r="M65" s="90"/>
      <c r="N65" s="90"/>
      <c r="O65" s="90"/>
      <c r="P65" s="90"/>
      <c r="Q65" s="90"/>
      <c r="R65" s="90"/>
      <c r="S65" s="90"/>
    </row>
    <row r="67" spans="1:19" x14ac:dyDescent="0.3">
      <c r="A67" t="s">
        <v>780</v>
      </c>
    </row>
    <row r="68" spans="1:19" x14ac:dyDescent="0.3">
      <c r="A68" t="s">
        <v>266</v>
      </c>
    </row>
  </sheetData>
  <mergeCells count="10">
    <mergeCell ref="A54:A65"/>
    <mergeCell ref="A4:A5"/>
    <mergeCell ref="B4:B5"/>
    <mergeCell ref="C4:G4"/>
    <mergeCell ref="I4:J4"/>
    <mergeCell ref="A42:A53"/>
    <mergeCell ref="H4:H5"/>
    <mergeCell ref="A30:A41"/>
    <mergeCell ref="A18:A29"/>
    <mergeCell ref="A6:A17"/>
  </mergeCells>
  <phoneticPr fontId="1" type="noConversion"/>
  <hyperlinks>
    <hyperlink ref="H1" location="목차!A1" display="목차" xr:uid="{00000000-0004-0000-3000-000000000000}"/>
  </hyperlinks>
  <pageMargins left="0.7" right="0.7" top="0.75" bottom="0.75" header="0.3" footer="0.3"/>
  <pageSetup paperSize="9" orientation="portrait" copies="16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1" tint="0.499984740745262"/>
  </sheetPr>
  <dimension ref="A1:M20"/>
  <sheetViews>
    <sheetView zoomScale="70" zoomScaleNormal="70" workbookViewId="0">
      <selection activeCell="B6" sqref="B6:M12"/>
    </sheetView>
  </sheetViews>
  <sheetFormatPr defaultRowHeight="16.5" x14ac:dyDescent="0.3"/>
  <cols>
    <col min="1" max="1" width="25" customWidth="1"/>
  </cols>
  <sheetData>
    <row r="1" spans="1:13" ht="17.25" x14ac:dyDescent="0.3">
      <c r="A1" s="7" t="s">
        <v>425</v>
      </c>
      <c r="B1" s="4"/>
      <c r="C1" s="4"/>
      <c r="D1" s="4"/>
      <c r="E1" s="4"/>
      <c r="F1" s="4"/>
      <c r="H1" s="72" t="s">
        <v>368</v>
      </c>
    </row>
    <row r="3" spans="1:13" x14ac:dyDescent="0.3">
      <c r="M3" s="5" t="s">
        <v>323</v>
      </c>
    </row>
    <row r="4" spans="1:13" ht="17.25" thickBot="1" x14ac:dyDescent="0.35">
      <c r="A4" s="342" t="s">
        <v>139</v>
      </c>
      <c r="B4" s="335" t="s">
        <v>8</v>
      </c>
      <c r="C4" s="345"/>
      <c r="D4" s="335" t="s">
        <v>9</v>
      </c>
      <c r="E4" s="345"/>
      <c r="F4" s="335" t="s">
        <v>10</v>
      </c>
      <c r="G4" s="345"/>
      <c r="H4" s="335" t="s">
        <v>369</v>
      </c>
      <c r="I4" s="345"/>
      <c r="J4" s="335" t="s">
        <v>402</v>
      </c>
      <c r="K4" s="345"/>
      <c r="L4" s="335" t="s">
        <v>32</v>
      </c>
      <c r="M4" s="336"/>
    </row>
    <row r="5" spans="1:13" ht="17.25" thickTop="1" x14ac:dyDescent="0.3">
      <c r="A5" s="342"/>
      <c r="B5" s="130" t="s">
        <v>277</v>
      </c>
      <c r="C5" s="130" t="s">
        <v>36</v>
      </c>
      <c r="D5" s="130" t="s">
        <v>277</v>
      </c>
      <c r="E5" s="130" t="s">
        <v>36</v>
      </c>
      <c r="F5" s="130" t="s">
        <v>270</v>
      </c>
      <c r="G5" s="130" t="s">
        <v>36</v>
      </c>
      <c r="H5" s="130" t="s">
        <v>322</v>
      </c>
      <c r="I5" s="130" t="s">
        <v>36</v>
      </c>
      <c r="J5" s="39" t="s">
        <v>322</v>
      </c>
      <c r="K5" s="39" t="s">
        <v>36</v>
      </c>
      <c r="L5" s="39" t="s">
        <v>37</v>
      </c>
      <c r="M5" s="40" t="s">
        <v>38</v>
      </c>
    </row>
    <row r="6" spans="1:13" x14ac:dyDescent="0.3">
      <c r="A6" s="26" t="s">
        <v>321</v>
      </c>
      <c r="B6" s="127">
        <v>15784</v>
      </c>
      <c r="C6" s="126">
        <v>78.8</v>
      </c>
      <c r="D6" s="127">
        <v>19147</v>
      </c>
      <c r="E6" s="126">
        <v>85</v>
      </c>
      <c r="F6" s="127">
        <v>20267</v>
      </c>
      <c r="G6" s="126">
        <v>81.900000000000006</v>
      </c>
      <c r="H6" s="103">
        <v>23490</v>
      </c>
      <c r="I6" s="104">
        <v>81.7</v>
      </c>
      <c r="J6" s="103">
        <v>27079</v>
      </c>
      <c r="K6" s="104">
        <v>82.9</v>
      </c>
      <c r="L6" s="103">
        <v>3589</v>
      </c>
      <c r="M6" s="37">
        <v>15.3</v>
      </c>
    </row>
    <row r="7" spans="1:13" x14ac:dyDescent="0.3">
      <c r="A7" s="36" t="s">
        <v>320</v>
      </c>
      <c r="B7" s="95">
        <v>12</v>
      </c>
      <c r="C7" s="95">
        <v>0.1</v>
      </c>
      <c r="D7" s="95">
        <v>265</v>
      </c>
      <c r="E7" s="95">
        <v>1.2</v>
      </c>
      <c r="F7" s="95">
        <v>351</v>
      </c>
      <c r="G7" s="95">
        <v>1.4</v>
      </c>
      <c r="H7" s="93">
        <v>537</v>
      </c>
      <c r="I7" s="93">
        <v>1.9</v>
      </c>
      <c r="J7" s="93">
        <v>499</v>
      </c>
      <c r="K7" s="93">
        <v>1.5</v>
      </c>
      <c r="L7" s="93">
        <v>-38</v>
      </c>
      <c r="M7" s="35">
        <v>-7.1</v>
      </c>
    </row>
    <row r="8" spans="1:13" x14ac:dyDescent="0.3">
      <c r="A8" s="36" t="s">
        <v>319</v>
      </c>
      <c r="B8" s="95">
        <v>171</v>
      </c>
      <c r="C8" s="95">
        <v>0.9</v>
      </c>
      <c r="D8" s="95">
        <v>334</v>
      </c>
      <c r="E8" s="95">
        <v>1.5</v>
      </c>
      <c r="F8" s="95">
        <v>374</v>
      </c>
      <c r="G8" s="95">
        <v>1.5</v>
      </c>
      <c r="H8" s="93">
        <v>462</v>
      </c>
      <c r="I8" s="93">
        <v>1.6</v>
      </c>
      <c r="J8" s="93">
        <v>907</v>
      </c>
      <c r="K8" s="93">
        <v>2.8</v>
      </c>
      <c r="L8" s="93">
        <v>445</v>
      </c>
      <c r="M8" s="35">
        <v>96.3</v>
      </c>
    </row>
    <row r="9" spans="1:13" x14ac:dyDescent="0.3">
      <c r="A9" s="36" t="s">
        <v>318</v>
      </c>
      <c r="B9" s="95">
        <v>18</v>
      </c>
      <c r="C9" s="95">
        <v>0.1</v>
      </c>
      <c r="D9" s="95">
        <v>175</v>
      </c>
      <c r="E9" s="95">
        <v>0.8</v>
      </c>
      <c r="F9" s="95">
        <v>170</v>
      </c>
      <c r="G9" s="95">
        <v>0.7</v>
      </c>
      <c r="H9" s="93">
        <v>170</v>
      </c>
      <c r="I9" s="93">
        <v>0.6</v>
      </c>
      <c r="J9" s="93">
        <v>144</v>
      </c>
      <c r="K9" s="93">
        <v>0.4</v>
      </c>
      <c r="L9" s="93">
        <v>-26</v>
      </c>
      <c r="M9" s="35">
        <v>-15.3</v>
      </c>
    </row>
    <row r="10" spans="1:13" x14ac:dyDescent="0.3">
      <c r="A10" s="36" t="s">
        <v>317</v>
      </c>
      <c r="B10" s="95">
        <v>75</v>
      </c>
      <c r="C10" s="95">
        <v>0.4</v>
      </c>
      <c r="D10" s="95">
        <v>227</v>
      </c>
      <c r="E10" s="95">
        <v>1</v>
      </c>
      <c r="F10" s="95">
        <v>128</v>
      </c>
      <c r="G10" s="95">
        <v>0.5</v>
      </c>
      <c r="H10" s="93">
        <v>165</v>
      </c>
      <c r="I10" s="93">
        <v>0.6</v>
      </c>
      <c r="J10" s="93">
        <v>128</v>
      </c>
      <c r="K10" s="93">
        <v>0.4</v>
      </c>
      <c r="L10" s="93">
        <v>-37</v>
      </c>
      <c r="M10" s="35">
        <v>-22.4</v>
      </c>
    </row>
    <row r="11" spans="1:13" x14ac:dyDescent="0.3">
      <c r="A11" s="36" t="s">
        <v>85</v>
      </c>
      <c r="B11" s="96">
        <v>3964</v>
      </c>
      <c r="C11" s="95">
        <v>19.8</v>
      </c>
      <c r="D11" s="96">
        <v>2372</v>
      </c>
      <c r="E11" s="95">
        <v>10.5</v>
      </c>
      <c r="F11" s="96">
        <v>3446</v>
      </c>
      <c r="G11" s="95">
        <v>13.9</v>
      </c>
      <c r="H11" s="94">
        <v>3924</v>
      </c>
      <c r="I11" s="93">
        <v>13.6</v>
      </c>
      <c r="J11" s="94">
        <v>3900</v>
      </c>
      <c r="K11" s="93">
        <v>11.9</v>
      </c>
      <c r="L11" s="94">
        <v>-24</v>
      </c>
      <c r="M11" s="35">
        <v>-0.6</v>
      </c>
    </row>
    <row r="12" spans="1:13" x14ac:dyDescent="0.3">
      <c r="A12" s="41" t="s">
        <v>86</v>
      </c>
      <c r="B12" s="98">
        <v>20024</v>
      </c>
      <c r="C12" s="97">
        <v>100</v>
      </c>
      <c r="D12" s="98">
        <v>22520</v>
      </c>
      <c r="E12" s="97">
        <v>100</v>
      </c>
      <c r="F12" s="98">
        <v>24736</v>
      </c>
      <c r="G12" s="97">
        <v>100</v>
      </c>
      <c r="H12" s="98">
        <v>28748</v>
      </c>
      <c r="I12" s="97">
        <v>100</v>
      </c>
      <c r="J12" s="98">
        <v>32657</v>
      </c>
      <c r="K12" s="97">
        <v>100</v>
      </c>
      <c r="L12" s="98">
        <v>3909</v>
      </c>
      <c r="M12" s="42">
        <v>13.6</v>
      </c>
    </row>
    <row r="14" spans="1:13" x14ac:dyDescent="0.3"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</row>
    <row r="15" spans="1:13" x14ac:dyDescent="0.3"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</row>
    <row r="16" spans="1:13" x14ac:dyDescent="0.3"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</row>
    <row r="17" spans="2:13" x14ac:dyDescent="0.3"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</row>
    <row r="18" spans="2:13" x14ac:dyDescent="0.3"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</row>
    <row r="19" spans="2:13" x14ac:dyDescent="0.3"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</row>
    <row r="20" spans="2:13" x14ac:dyDescent="0.3"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</row>
  </sheetData>
  <mergeCells count="7">
    <mergeCell ref="L4:M4"/>
    <mergeCell ref="A4:A5"/>
    <mergeCell ref="H4:I4"/>
    <mergeCell ref="J4:K4"/>
    <mergeCell ref="F4:G4"/>
    <mergeCell ref="D4:E4"/>
    <mergeCell ref="B4:C4"/>
  </mergeCells>
  <phoneticPr fontId="1" type="noConversion"/>
  <conditionalFormatting sqref="B6:M12">
    <cfRule type="expression" dxfId="13" priority="4">
      <formula>NOT(B6=#REF!)</formula>
    </cfRule>
  </conditionalFormatting>
  <hyperlinks>
    <hyperlink ref="H1" location="목차!A1" display="목차" xr:uid="{00000000-0004-0000-3100-000000000000}"/>
  </hyperlinks>
  <pageMargins left="0.7" right="0.7" top="0.75" bottom="0.75" header="0.3" footer="0.3"/>
  <pageSetup paperSize="9" orientation="portrait" copies="16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58E7-B178-4CEC-B8FF-2CB52DFD0DED}">
  <sheetPr>
    <tabColor theme="1" tint="0.499984740745262"/>
  </sheetPr>
  <dimension ref="A1:Z39"/>
  <sheetViews>
    <sheetView zoomScale="70" zoomScaleNormal="70" workbookViewId="0">
      <selection activeCell="A22" sqref="A22"/>
    </sheetView>
  </sheetViews>
  <sheetFormatPr defaultRowHeight="16.5" x14ac:dyDescent="0.3"/>
  <cols>
    <col min="1" max="1" width="11" customWidth="1"/>
    <col min="2" max="26" width="9" customWidth="1"/>
  </cols>
  <sheetData>
    <row r="1" spans="1:26" ht="17.25" x14ac:dyDescent="0.3">
      <c r="A1" s="7" t="s">
        <v>1048</v>
      </c>
      <c r="B1" s="10"/>
      <c r="C1" s="10"/>
      <c r="D1" s="10"/>
      <c r="E1" s="10"/>
      <c r="F1" s="10"/>
      <c r="H1" s="72" t="s">
        <v>367</v>
      </c>
    </row>
    <row r="3" spans="1:26" x14ac:dyDescent="0.3">
      <c r="Z3" s="5" t="s">
        <v>92</v>
      </c>
    </row>
    <row r="4" spans="1:26" ht="17.25" thickBot="1" x14ac:dyDescent="0.35">
      <c r="A4" s="342" t="s">
        <v>139</v>
      </c>
      <c r="B4" s="335" t="s">
        <v>8</v>
      </c>
      <c r="C4" s="336"/>
      <c r="D4" s="336"/>
      <c r="E4" s="336"/>
      <c r="F4" s="345"/>
      <c r="G4" s="335" t="s">
        <v>9</v>
      </c>
      <c r="H4" s="336"/>
      <c r="I4" s="336"/>
      <c r="J4" s="336"/>
      <c r="K4" s="345"/>
      <c r="L4" s="335" t="s">
        <v>10</v>
      </c>
      <c r="M4" s="336"/>
      <c r="N4" s="336"/>
      <c r="O4" s="336"/>
      <c r="P4" s="345"/>
      <c r="Q4" s="335" t="s">
        <v>369</v>
      </c>
      <c r="R4" s="336"/>
      <c r="S4" s="336"/>
      <c r="T4" s="336"/>
      <c r="U4" s="336"/>
      <c r="V4" s="335" t="s">
        <v>402</v>
      </c>
      <c r="W4" s="336"/>
      <c r="X4" s="336"/>
      <c r="Y4" s="336"/>
      <c r="Z4" s="336"/>
    </row>
    <row r="5" spans="1:26" ht="17.25" customHeight="1" thickTop="1" x14ac:dyDescent="0.3">
      <c r="A5" s="342"/>
      <c r="B5" s="355" t="s">
        <v>35</v>
      </c>
      <c r="C5" s="356"/>
      <c r="D5" s="355" t="s">
        <v>1049</v>
      </c>
      <c r="E5" s="356"/>
      <c r="F5" s="240" t="s">
        <v>1050</v>
      </c>
      <c r="G5" s="355" t="s">
        <v>35</v>
      </c>
      <c r="H5" s="356"/>
      <c r="I5" s="355" t="s">
        <v>1049</v>
      </c>
      <c r="J5" s="356"/>
      <c r="K5" s="240" t="s">
        <v>1050</v>
      </c>
      <c r="L5" s="355" t="s">
        <v>35</v>
      </c>
      <c r="M5" s="356"/>
      <c r="N5" s="355" t="s">
        <v>1049</v>
      </c>
      <c r="O5" s="356"/>
      <c r="P5" s="240" t="s">
        <v>1050</v>
      </c>
      <c r="Q5" s="355" t="s">
        <v>35</v>
      </c>
      <c r="R5" s="356"/>
      <c r="S5" s="355" t="s">
        <v>1049</v>
      </c>
      <c r="T5" s="356"/>
      <c r="U5" s="239" t="s">
        <v>1050</v>
      </c>
      <c r="V5" s="355" t="s">
        <v>35</v>
      </c>
      <c r="W5" s="356"/>
      <c r="X5" s="355" t="s">
        <v>1049</v>
      </c>
      <c r="Y5" s="356"/>
      <c r="Z5" s="182" t="s">
        <v>1050</v>
      </c>
    </row>
    <row r="6" spans="1:26" ht="17.25" thickBot="1" x14ac:dyDescent="0.35">
      <c r="A6" s="342"/>
      <c r="B6" s="335"/>
      <c r="C6" s="345"/>
      <c r="D6" s="335"/>
      <c r="E6" s="345"/>
      <c r="F6" s="235" t="s">
        <v>7</v>
      </c>
      <c r="G6" s="335"/>
      <c r="H6" s="345"/>
      <c r="I6" s="335"/>
      <c r="J6" s="345"/>
      <c r="K6" s="235" t="s">
        <v>7</v>
      </c>
      <c r="L6" s="335"/>
      <c r="M6" s="345"/>
      <c r="N6" s="335"/>
      <c r="O6" s="345"/>
      <c r="P6" s="235" t="s">
        <v>7</v>
      </c>
      <c r="Q6" s="335"/>
      <c r="R6" s="345"/>
      <c r="S6" s="335"/>
      <c r="T6" s="345"/>
      <c r="U6" s="236" t="s">
        <v>7</v>
      </c>
      <c r="V6" s="335"/>
      <c r="W6" s="345"/>
      <c r="X6" s="335"/>
      <c r="Y6" s="345"/>
      <c r="Z6" s="184" t="s">
        <v>7</v>
      </c>
    </row>
    <row r="7" spans="1:26" ht="17.25" thickTop="1" x14ac:dyDescent="0.3">
      <c r="A7" s="342"/>
      <c r="B7" s="240" t="s">
        <v>270</v>
      </c>
      <c r="C7" s="240" t="s">
        <v>36</v>
      </c>
      <c r="D7" s="240" t="s">
        <v>74</v>
      </c>
      <c r="E7" s="240" t="s">
        <v>36</v>
      </c>
      <c r="F7" s="235" t="s">
        <v>269</v>
      </c>
      <c r="G7" s="240" t="s">
        <v>270</v>
      </c>
      <c r="H7" s="240" t="s">
        <v>36</v>
      </c>
      <c r="I7" s="240" t="s">
        <v>74</v>
      </c>
      <c r="J7" s="240" t="s">
        <v>36</v>
      </c>
      <c r="K7" s="235" t="s">
        <v>269</v>
      </c>
      <c r="L7" s="240" t="s">
        <v>270</v>
      </c>
      <c r="M7" s="240" t="s">
        <v>36</v>
      </c>
      <c r="N7" s="240" t="s">
        <v>74</v>
      </c>
      <c r="O7" s="240" t="s">
        <v>36</v>
      </c>
      <c r="P7" s="235" t="s">
        <v>269</v>
      </c>
      <c r="Q7" s="240" t="s">
        <v>270</v>
      </c>
      <c r="R7" s="240" t="s">
        <v>36</v>
      </c>
      <c r="S7" s="240" t="s">
        <v>74</v>
      </c>
      <c r="T7" s="240" t="s">
        <v>36</v>
      </c>
      <c r="U7" s="236" t="s">
        <v>269</v>
      </c>
      <c r="V7" s="183" t="s">
        <v>270</v>
      </c>
      <c r="W7" s="183" t="s">
        <v>36</v>
      </c>
      <c r="X7" s="183" t="s">
        <v>74</v>
      </c>
      <c r="Y7" s="183" t="s">
        <v>36</v>
      </c>
      <c r="Z7" s="184" t="s">
        <v>269</v>
      </c>
    </row>
    <row r="8" spans="1:26" x14ac:dyDescent="0.3">
      <c r="A8" s="167" t="s">
        <v>1051</v>
      </c>
      <c r="B8" s="233">
        <v>1785</v>
      </c>
      <c r="C8" s="231">
        <v>15.1</v>
      </c>
      <c r="D8" s="233">
        <v>6044</v>
      </c>
      <c r="E8" s="231">
        <v>9.1999999999999993</v>
      </c>
      <c r="F8" s="231">
        <v>3.39</v>
      </c>
      <c r="G8" s="233">
        <v>2048</v>
      </c>
      <c r="H8" s="231">
        <v>16.399999999999999</v>
      </c>
      <c r="I8" s="233">
        <v>7618</v>
      </c>
      <c r="J8" s="231">
        <v>9.6</v>
      </c>
      <c r="K8" s="231">
        <v>3.72</v>
      </c>
      <c r="L8" s="233">
        <v>2182</v>
      </c>
      <c r="M8" s="231">
        <v>25.3</v>
      </c>
      <c r="N8" s="233">
        <v>8899</v>
      </c>
      <c r="O8" s="231">
        <v>15.9</v>
      </c>
      <c r="P8" s="231">
        <v>4.08</v>
      </c>
      <c r="Q8" s="233">
        <v>2490</v>
      </c>
      <c r="R8" s="231">
        <v>24.8</v>
      </c>
      <c r="S8" s="233">
        <v>10818</v>
      </c>
      <c r="T8" s="231">
        <v>15.7</v>
      </c>
      <c r="U8" s="117">
        <v>4.34</v>
      </c>
      <c r="V8" s="178">
        <v>3127</v>
      </c>
      <c r="W8" s="169">
        <v>26.8</v>
      </c>
      <c r="X8" s="178">
        <v>11961</v>
      </c>
      <c r="Y8" s="169">
        <v>14.6</v>
      </c>
      <c r="Z8" s="117">
        <v>3.82</v>
      </c>
    </row>
    <row r="9" spans="1:26" x14ac:dyDescent="0.3">
      <c r="A9" s="124" t="s">
        <v>1052</v>
      </c>
      <c r="B9" s="96">
        <v>4493</v>
      </c>
      <c r="C9" s="95">
        <v>38</v>
      </c>
      <c r="D9" s="96">
        <v>14030</v>
      </c>
      <c r="E9" s="95">
        <v>21.2</v>
      </c>
      <c r="F9" s="95">
        <v>3.12</v>
      </c>
      <c r="G9" s="96">
        <v>4667</v>
      </c>
      <c r="H9" s="95">
        <v>37.299999999999997</v>
      </c>
      <c r="I9" s="96">
        <v>17368</v>
      </c>
      <c r="J9" s="95">
        <v>21.9</v>
      </c>
      <c r="K9" s="95">
        <v>3.72</v>
      </c>
      <c r="L9" s="96">
        <v>2944</v>
      </c>
      <c r="M9" s="95">
        <v>34.1</v>
      </c>
      <c r="N9" s="96">
        <v>14279</v>
      </c>
      <c r="O9" s="95">
        <v>25.5</v>
      </c>
      <c r="P9" s="95">
        <v>4.8499999999999996</v>
      </c>
      <c r="Q9" s="96">
        <v>3725</v>
      </c>
      <c r="R9" s="95">
        <v>37.1</v>
      </c>
      <c r="S9" s="96">
        <v>19716</v>
      </c>
      <c r="T9" s="95">
        <v>28.7</v>
      </c>
      <c r="U9" s="237">
        <v>5.29</v>
      </c>
      <c r="V9" s="96">
        <v>3797</v>
      </c>
      <c r="W9" s="95">
        <v>32.6</v>
      </c>
      <c r="X9" s="96">
        <v>22980</v>
      </c>
      <c r="Y9" s="95">
        <v>28.1</v>
      </c>
      <c r="Z9" s="123">
        <v>6.05</v>
      </c>
    </row>
    <row r="10" spans="1:26" x14ac:dyDescent="0.3">
      <c r="A10" s="124" t="s">
        <v>1053</v>
      </c>
      <c r="B10" s="96">
        <v>1267</v>
      </c>
      <c r="C10" s="95">
        <v>10.7</v>
      </c>
      <c r="D10" s="96">
        <v>6367</v>
      </c>
      <c r="E10" s="95">
        <v>9.6</v>
      </c>
      <c r="F10" s="95">
        <v>5.0199999999999996</v>
      </c>
      <c r="G10" s="96">
        <v>1226</v>
      </c>
      <c r="H10" s="95">
        <v>9.8000000000000007</v>
      </c>
      <c r="I10" s="96">
        <v>6658</v>
      </c>
      <c r="J10" s="95">
        <v>8.4</v>
      </c>
      <c r="K10" s="95">
        <v>5.43</v>
      </c>
      <c r="L10" s="96">
        <v>1177</v>
      </c>
      <c r="M10" s="95">
        <v>13.6</v>
      </c>
      <c r="N10" s="96">
        <v>9075</v>
      </c>
      <c r="O10" s="95">
        <v>16.2</v>
      </c>
      <c r="P10" s="95">
        <v>7.71</v>
      </c>
      <c r="Q10" s="96">
        <v>1084</v>
      </c>
      <c r="R10" s="95">
        <v>10.8</v>
      </c>
      <c r="S10" s="96">
        <v>8277</v>
      </c>
      <c r="T10" s="95">
        <v>12</v>
      </c>
      <c r="U10" s="237">
        <v>7.64</v>
      </c>
      <c r="V10" s="96">
        <v>1221</v>
      </c>
      <c r="W10" s="95">
        <v>10.5</v>
      </c>
      <c r="X10" s="96">
        <v>9744</v>
      </c>
      <c r="Y10" s="95">
        <v>11.9</v>
      </c>
      <c r="Z10" s="123">
        <v>7.98</v>
      </c>
    </row>
    <row r="11" spans="1:26" x14ac:dyDescent="0.3">
      <c r="A11" s="124" t="s">
        <v>1054</v>
      </c>
      <c r="B11" s="96">
        <v>1058</v>
      </c>
      <c r="C11" s="95">
        <v>9</v>
      </c>
      <c r="D11" s="96">
        <v>1887</v>
      </c>
      <c r="E11" s="95">
        <v>2.9</v>
      </c>
      <c r="F11" s="95">
        <v>1.78</v>
      </c>
      <c r="G11" s="96">
        <v>1242</v>
      </c>
      <c r="H11" s="95">
        <v>9.9</v>
      </c>
      <c r="I11" s="96">
        <v>2465</v>
      </c>
      <c r="J11" s="95">
        <v>3.1</v>
      </c>
      <c r="K11" s="95">
        <v>1.98</v>
      </c>
      <c r="L11" s="96">
        <v>538</v>
      </c>
      <c r="M11" s="95">
        <v>6.2</v>
      </c>
      <c r="N11" s="96">
        <v>1471</v>
      </c>
      <c r="O11" s="95">
        <v>2.6</v>
      </c>
      <c r="P11" s="95">
        <v>2.73</v>
      </c>
      <c r="Q11" s="95">
        <v>621</v>
      </c>
      <c r="R11" s="95">
        <v>6.2</v>
      </c>
      <c r="S11" s="96">
        <v>1696</v>
      </c>
      <c r="T11" s="95">
        <v>2.5</v>
      </c>
      <c r="U11" s="237">
        <v>2.73</v>
      </c>
      <c r="V11" s="95">
        <v>616</v>
      </c>
      <c r="W11" s="95">
        <v>5.3</v>
      </c>
      <c r="X11" s="96">
        <v>1712</v>
      </c>
      <c r="Y11" s="95">
        <v>2.1</v>
      </c>
      <c r="Z11" s="123">
        <v>2.78</v>
      </c>
    </row>
    <row r="12" spans="1:26" x14ac:dyDescent="0.3">
      <c r="A12" s="124" t="s">
        <v>1055</v>
      </c>
      <c r="B12" s="95">
        <v>596</v>
      </c>
      <c r="C12" s="95">
        <v>5</v>
      </c>
      <c r="D12" s="96">
        <v>2111</v>
      </c>
      <c r="E12" s="95">
        <v>3.2</v>
      </c>
      <c r="F12" s="95">
        <v>3.54</v>
      </c>
      <c r="G12" s="95">
        <v>621</v>
      </c>
      <c r="H12" s="95">
        <v>5</v>
      </c>
      <c r="I12" s="96">
        <v>2260</v>
      </c>
      <c r="J12" s="95">
        <v>2.8</v>
      </c>
      <c r="K12" s="95">
        <v>3.64</v>
      </c>
      <c r="L12" s="95">
        <v>207</v>
      </c>
      <c r="M12" s="95">
        <v>2.4</v>
      </c>
      <c r="N12" s="96">
        <v>812</v>
      </c>
      <c r="O12" s="95">
        <v>1.5</v>
      </c>
      <c r="P12" s="95">
        <v>3.92</v>
      </c>
      <c r="Q12" s="95">
        <v>342</v>
      </c>
      <c r="R12" s="95">
        <v>3.4</v>
      </c>
      <c r="S12" s="95">
        <v>1930</v>
      </c>
      <c r="T12" s="95">
        <v>2.8</v>
      </c>
      <c r="U12" s="237">
        <v>5.64</v>
      </c>
      <c r="V12" s="95">
        <v>457</v>
      </c>
      <c r="W12" s="95">
        <v>3.9</v>
      </c>
      <c r="X12" s="95">
        <v>2795</v>
      </c>
      <c r="Y12" s="95">
        <v>3.4</v>
      </c>
      <c r="Z12" s="123">
        <v>6.12</v>
      </c>
    </row>
    <row r="13" spans="1:26" x14ac:dyDescent="0.3">
      <c r="A13" s="124" t="s">
        <v>1056</v>
      </c>
      <c r="B13" s="95">
        <v>1048</v>
      </c>
      <c r="C13" s="95">
        <v>8.9</v>
      </c>
      <c r="D13" s="96">
        <v>12708</v>
      </c>
      <c r="E13" s="95">
        <v>19.2</v>
      </c>
      <c r="F13" s="95">
        <v>12.13</v>
      </c>
      <c r="G13" s="96">
        <v>1030</v>
      </c>
      <c r="H13" s="95">
        <v>8.1999999999999993</v>
      </c>
      <c r="I13" s="96">
        <v>15201</v>
      </c>
      <c r="J13" s="95">
        <v>19.100000000000001</v>
      </c>
      <c r="K13" s="95">
        <v>14.76</v>
      </c>
      <c r="L13" s="96">
        <v>196</v>
      </c>
      <c r="M13" s="95">
        <v>2.2999999999999998</v>
      </c>
      <c r="N13" s="96">
        <v>2938</v>
      </c>
      <c r="O13" s="95">
        <v>5.3</v>
      </c>
      <c r="P13" s="95">
        <v>14.99</v>
      </c>
      <c r="Q13" s="95">
        <v>321</v>
      </c>
      <c r="R13" s="95">
        <v>3.2</v>
      </c>
      <c r="S13" s="96">
        <v>4567</v>
      </c>
      <c r="T13" s="95">
        <v>6.6</v>
      </c>
      <c r="U13" s="237">
        <v>14.23</v>
      </c>
      <c r="V13" s="95">
        <v>721</v>
      </c>
      <c r="W13" s="95">
        <v>6.2</v>
      </c>
      <c r="X13" s="96">
        <v>7215</v>
      </c>
      <c r="Y13" s="95">
        <v>8.8000000000000007</v>
      </c>
      <c r="Z13" s="123">
        <v>10.01</v>
      </c>
    </row>
    <row r="14" spans="1:26" x14ac:dyDescent="0.3">
      <c r="A14" s="124" t="s">
        <v>1057</v>
      </c>
      <c r="B14" s="95">
        <v>147</v>
      </c>
      <c r="C14" s="95">
        <v>1.2</v>
      </c>
      <c r="D14" s="95">
        <v>1094</v>
      </c>
      <c r="E14" s="95">
        <v>1.7</v>
      </c>
      <c r="F14" s="95">
        <v>7.44</v>
      </c>
      <c r="G14" s="95">
        <v>181</v>
      </c>
      <c r="H14" s="95">
        <v>1.4</v>
      </c>
      <c r="I14" s="96">
        <v>892</v>
      </c>
      <c r="J14" s="95">
        <v>1.1000000000000001</v>
      </c>
      <c r="K14" s="95">
        <v>4.93</v>
      </c>
      <c r="L14" s="95">
        <v>35</v>
      </c>
      <c r="M14" s="95">
        <v>0.4</v>
      </c>
      <c r="N14" s="95">
        <v>187</v>
      </c>
      <c r="O14" s="95">
        <v>0.3</v>
      </c>
      <c r="P14" s="95">
        <v>5.33</v>
      </c>
      <c r="Q14" s="95">
        <v>39</v>
      </c>
      <c r="R14" s="95">
        <v>0.4</v>
      </c>
      <c r="S14" s="95">
        <v>218</v>
      </c>
      <c r="T14" s="95">
        <v>0.3</v>
      </c>
      <c r="U14" s="237">
        <v>5.6</v>
      </c>
      <c r="V14" s="95">
        <v>55</v>
      </c>
      <c r="W14" s="95">
        <v>0.5</v>
      </c>
      <c r="X14" s="95">
        <v>476</v>
      </c>
      <c r="Y14" s="95">
        <v>0.6</v>
      </c>
      <c r="Z14" s="123">
        <v>8.65</v>
      </c>
    </row>
    <row r="15" spans="1:26" x14ac:dyDescent="0.3">
      <c r="A15" s="124" t="s">
        <v>1058</v>
      </c>
      <c r="B15" s="95">
        <v>166</v>
      </c>
      <c r="C15" s="95">
        <v>1.4</v>
      </c>
      <c r="D15" s="96">
        <v>1764</v>
      </c>
      <c r="E15" s="95">
        <v>2.7</v>
      </c>
      <c r="F15" s="95">
        <v>10.63</v>
      </c>
      <c r="G15" s="95">
        <v>71</v>
      </c>
      <c r="H15" s="95">
        <v>0.6</v>
      </c>
      <c r="I15" s="96">
        <v>586</v>
      </c>
      <c r="J15" s="95">
        <v>0.7</v>
      </c>
      <c r="K15" s="95">
        <v>8.25</v>
      </c>
      <c r="L15" s="95">
        <v>58</v>
      </c>
      <c r="M15" s="95">
        <v>0.7</v>
      </c>
      <c r="N15" s="95">
        <v>690</v>
      </c>
      <c r="O15" s="95">
        <v>1.2</v>
      </c>
      <c r="P15" s="95">
        <v>11.89</v>
      </c>
      <c r="Q15" s="95">
        <v>58</v>
      </c>
      <c r="R15" s="95">
        <v>0.6</v>
      </c>
      <c r="S15" s="95">
        <v>891</v>
      </c>
      <c r="T15" s="95">
        <v>1.3</v>
      </c>
      <c r="U15" s="237">
        <v>15.37</v>
      </c>
      <c r="V15" s="95">
        <v>117</v>
      </c>
      <c r="W15" s="95">
        <v>1</v>
      </c>
      <c r="X15" s="95">
        <v>1878</v>
      </c>
      <c r="Y15" s="95">
        <v>2.2999999999999998</v>
      </c>
      <c r="Z15" s="123">
        <v>16.05</v>
      </c>
    </row>
    <row r="16" spans="1:26" x14ac:dyDescent="0.3">
      <c r="A16" s="124" t="s">
        <v>1059</v>
      </c>
      <c r="B16" s="95">
        <v>132</v>
      </c>
      <c r="C16" s="95">
        <v>1.1000000000000001</v>
      </c>
      <c r="D16" s="95">
        <v>514</v>
      </c>
      <c r="E16" s="95">
        <v>0.8</v>
      </c>
      <c r="F16" s="95">
        <v>3.89</v>
      </c>
      <c r="G16" s="95">
        <v>115</v>
      </c>
      <c r="H16" s="95">
        <v>0.9</v>
      </c>
      <c r="I16" s="95">
        <v>1058</v>
      </c>
      <c r="J16" s="95">
        <v>1.3</v>
      </c>
      <c r="K16" s="95">
        <v>9.1999999999999993</v>
      </c>
      <c r="L16" s="95">
        <v>75</v>
      </c>
      <c r="M16" s="95">
        <v>0.9</v>
      </c>
      <c r="N16" s="96">
        <v>1350</v>
      </c>
      <c r="O16" s="95">
        <v>2.4</v>
      </c>
      <c r="P16" s="95">
        <v>17.989999999999998</v>
      </c>
      <c r="Q16" s="95">
        <v>53</v>
      </c>
      <c r="R16" s="95">
        <v>0.5</v>
      </c>
      <c r="S16" s="96">
        <v>1254</v>
      </c>
      <c r="T16" s="95">
        <v>1.8</v>
      </c>
      <c r="U16" s="237">
        <v>23.66</v>
      </c>
      <c r="V16" s="95">
        <v>53</v>
      </c>
      <c r="W16" s="95">
        <v>0.5</v>
      </c>
      <c r="X16" s="96">
        <v>909</v>
      </c>
      <c r="Y16" s="95">
        <v>1.1000000000000001</v>
      </c>
      <c r="Z16" s="123">
        <v>17.14</v>
      </c>
    </row>
    <row r="17" spans="1:26" x14ac:dyDescent="0.3">
      <c r="A17" s="124" t="s">
        <v>1060</v>
      </c>
      <c r="B17" s="96">
        <v>1118</v>
      </c>
      <c r="C17" s="95">
        <v>9.5</v>
      </c>
      <c r="D17" s="96">
        <v>19515</v>
      </c>
      <c r="E17" s="95">
        <v>29.6</v>
      </c>
      <c r="F17" s="95">
        <v>17.46</v>
      </c>
      <c r="G17" s="96">
        <v>1296</v>
      </c>
      <c r="H17" s="95">
        <v>10.4</v>
      </c>
      <c r="I17" s="96">
        <v>25327</v>
      </c>
      <c r="J17" s="95">
        <v>31.9</v>
      </c>
      <c r="K17" s="95">
        <v>19.54</v>
      </c>
      <c r="L17" s="96">
        <v>1222</v>
      </c>
      <c r="M17" s="95">
        <v>14.2</v>
      </c>
      <c r="N17" s="96">
        <v>16188</v>
      </c>
      <c r="O17" s="95">
        <v>29</v>
      </c>
      <c r="P17" s="95">
        <v>13.25</v>
      </c>
      <c r="Q17" s="96">
        <v>1299</v>
      </c>
      <c r="R17" s="95">
        <v>12.9</v>
      </c>
      <c r="S17" s="96">
        <v>19371</v>
      </c>
      <c r="T17" s="95">
        <v>28.2</v>
      </c>
      <c r="U17" s="237">
        <v>14.91</v>
      </c>
      <c r="V17" s="96">
        <v>1490</v>
      </c>
      <c r="W17" s="95">
        <v>12.8</v>
      </c>
      <c r="X17" s="96">
        <v>22078</v>
      </c>
      <c r="Y17" s="95">
        <v>27</v>
      </c>
      <c r="Z17" s="123">
        <v>14.82</v>
      </c>
    </row>
    <row r="18" spans="1:26" x14ac:dyDescent="0.3">
      <c r="A18" s="175" t="s">
        <v>110</v>
      </c>
      <c r="B18" s="98">
        <v>11810</v>
      </c>
      <c r="C18" s="97">
        <v>100</v>
      </c>
      <c r="D18" s="98">
        <v>66033</v>
      </c>
      <c r="E18" s="97">
        <v>100</v>
      </c>
      <c r="F18" s="97">
        <v>5.59</v>
      </c>
      <c r="G18" s="98">
        <v>12497</v>
      </c>
      <c r="H18" s="97">
        <v>100</v>
      </c>
      <c r="I18" s="98">
        <v>79434</v>
      </c>
      <c r="J18" s="97">
        <v>100</v>
      </c>
      <c r="K18" s="97">
        <v>6.36</v>
      </c>
      <c r="L18" s="98">
        <v>8634</v>
      </c>
      <c r="M18" s="97">
        <v>100</v>
      </c>
      <c r="N18" s="98">
        <v>55887</v>
      </c>
      <c r="O18" s="97">
        <v>100</v>
      </c>
      <c r="P18" s="97">
        <v>6.47</v>
      </c>
      <c r="Q18" s="98">
        <v>10032</v>
      </c>
      <c r="R18" s="97">
        <v>100</v>
      </c>
      <c r="S18" s="98">
        <v>68739</v>
      </c>
      <c r="T18" s="97">
        <v>100</v>
      </c>
      <c r="U18" s="234">
        <v>6.85</v>
      </c>
      <c r="V18" s="98">
        <v>11654</v>
      </c>
      <c r="W18" s="97">
        <v>100</v>
      </c>
      <c r="X18" s="98">
        <v>81747</v>
      </c>
      <c r="Y18" s="97">
        <v>100</v>
      </c>
      <c r="Z18" s="125">
        <v>7.01</v>
      </c>
    </row>
    <row r="19" spans="1:26" x14ac:dyDescent="0.3">
      <c r="A19" s="124" t="s">
        <v>1061</v>
      </c>
      <c r="B19" s="96">
        <v>47728</v>
      </c>
      <c r="C19" s="95"/>
      <c r="D19" s="96">
        <v>112749</v>
      </c>
      <c r="E19" s="95"/>
      <c r="F19" s="95">
        <v>2.36</v>
      </c>
      <c r="G19" s="96">
        <v>50219</v>
      </c>
      <c r="H19" s="95"/>
      <c r="I19" s="96">
        <v>127531</v>
      </c>
      <c r="J19" s="95"/>
      <c r="K19" s="95">
        <v>2.54</v>
      </c>
      <c r="L19" s="96">
        <v>56039</v>
      </c>
      <c r="M19" s="95"/>
      <c r="N19" s="96">
        <v>171908</v>
      </c>
      <c r="O19" s="95"/>
      <c r="P19" s="95">
        <v>3.07</v>
      </c>
      <c r="Q19" s="96">
        <v>55983</v>
      </c>
      <c r="R19" s="95"/>
      <c r="S19" s="96">
        <v>183021</v>
      </c>
      <c r="T19" s="95"/>
      <c r="U19" s="237">
        <v>3.27</v>
      </c>
      <c r="V19" s="96">
        <v>49521</v>
      </c>
      <c r="W19" s="95"/>
      <c r="X19" s="96">
        <v>187134</v>
      </c>
      <c r="Y19" s="95"/>
      <c r="Z19" s="123">
        <v>3.78</v>
      </c>
    </row>
    <row r="20" spans="1:26" x14ac:dyDescent="0.3">
      <c r="A20" s="175" t="s">
        <v>86</v>
      </c>
      <c r="B20" s="98">
        <v>59538</v>
      </c>
      <c r="C20" s="97"/>
      <c r="D20" s="98">
        <v>178782</v>
      </c>
      <c r="E20" s="97"/>
      <c r="F20" s="97">
        <v>3</v>
      </c>
      <c r="G20" s="98">
        <v>62716</v>
      </c>
      <c r="H20" s="97"/>
      <c r="I20" s="98">
        <v>206965</v>
      </c>
      <c r="J20" s="97"/>
      <c r="K20" s="97">
        <v>3.3</v>
      </c>
      <c r="L20" s="98">
        <v>64673</v>
      </c>
      <c r="M20" s="97"/>
      <c r="N20" s="98">
        <v>227795</v>
      </c>
      <c r="O20" s="97"/>
      <c r="P20" s="97">
        <v>3.52</v>
      </c>
      <c r="Q20" s="98">
        <v>66015</v>
      </c>
      <c r="R20" s="97"/>
      <c r="S20" s="98">
        <v>251760</v>
      </c>
      <c r="T20" s="97"/>
      <c r="U20" s="234">
        <v>3.81</v>
      </c>
      <c r="V20" s="98">
        <v>61175</v>
      </c>
      <c r="W20" s="97"/>
      <c r="X20" s="98">
        <v>268881</v>
      </c>
      <c r="Y20" s="97"/>
      <c r="Z20" s="125">
        <v>4.4000000000000004</v>
      </c>
    </row>
    <row r="22" spans="1:26" x14ac:dyDescent="0.3">
      <c r="A22" t="s">
        <v>1339</v>
      </c>
    </row>
    <row r="24" spans="1:26" x14ac:dyDescent="0.3">
      <c r="V24" s="86"/>
      <c r="X24" s="86"/>
    </row>
    <row r="27" spans="1:26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2:26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2:26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2:26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2:26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2:26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2:26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2:26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</sheetData>
  <mergeCells count="16">
    <mergeCell ref="A4:A7"/>
    <mergeCell ref="Q4:U4"/>
    <mergeCell ref="V4:Z4"/>
    <mergeCell ref="Q5:R6"/>
    <mergeCell ref="S5:T6"/>
    <mergeCell ref="V5:W6"/>
    <mergeCell ref="L5:M6"/>
    <mergeCell ref="N5:O6"/>
    <mergeCell ref="G5:H6"/>
    <mergeCell ref="I5:J6"/>
    <mergeCell ref="B5:C6"/>
    <mergeCell ref="D5:E6"/>
    <mergeCell ref="L4:P4"/>
    <mergeCell ref="G4:K4"/>
    <mergeCell ref="B4:F4"/>
    <mergeCell ref="X5:Y6"/>
  </mergeCells>
  <phoneticPr fontId="1" type="noConversion"/>
  <conditionalFormatting sqref="B8:Z20">
    <cfRule type="expression" dxfId="12" priority="1">
      <formula>NOT(B8=#REF!)</formula>
    </cfRule>
  </conditionalFormatting>
  <hyperlinks>
    <hyperlink ref="H1" location="목차!A1" display="목차" xr:uid="{65D8043F-EE67-4211-A248-44830A2FCF21}"/>
  </hyperlinks>
  <pageMargins left="0.7" right="0.7" top="0.75" bottom="0.75" header="0.3" footer="0.3"/>
  <pageSetup paperSize="9" orientation="portrait" copies="16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 tint="-4.9989318521683403E-2"/>
  </sheetPr>
  <dimension ref="A1:M20"/>
  <sheetViews>
    <sheetView zoomScale="85" zoomScaleNormal="85" workbookViewId="0">
      <selection activeCell="A11" sqref="A11"/>
    </sheetView>
  </sheetViews>
  <sheetFormatPr defaultRowHeight="16.5" x14ac:dyDescent="0.3"/>
  <sheetData>
    <row r="1" spans="1:13" ht="17.25" x14ac:dyDescent="0.3">
      <c r="A1" s="7" t="s">
        <v>426</v>
      </c>
      <c r="B1" s="6"/>
      <c r="C1" s="6"/>
      <c r="D1" s="6"/>
      <c r="E1" s="2"/>
      <c r="G1" s="72" t="s">
        <v>368</v>
      </c>
    </row>
    <row r="3" spans="1:13" x14ac:dyDescent="0.3">
      <c r="L3" s="5" t="s">
        <v>327</v>
      </c>
    </row>
    <row r="4" spans="1:13" x14ac:dyDescent="0.3">
      <c r="A4" s="342" t="s">
        <v>0</v>
      </c>
      <c r="B4" s="340" t="s">
        <v>8</v>
      </c>
      <c r="C4" s="342"/>
      <c r="D4" s="340" t="s">
        <v>9</v>
      </c>
      <c r="E4" s="342"/>
      <c r="F4" s="340" t="s">
        <v>10</v>
      </c>
      <c r="G4" s="342"/>
      <c r="H4" s="340" t="s">
        <v>369</v>
      </c>
      <c r="I4" s="342"/>
      <c r="J4" s="340" t="s">
        <v>402</v>
      </c>
      <c r="K4" s="342"/>
      <c r="L4" s="44" t="s">
        <v>228</v>
      </c>
    </row>
    <row r="5" spans="1:13" ht="17.25" thickBot="1" x14ac:dyDescent="0.35">
      <c r="A5" s="342"/>
      <c r="B5" s="335"/>
      <c r="C5" s="345"/>
      <c r="D5" s="335"/>
      <c r="E5" s="345"/>
      <c r="F5" s="335"/>
      <c r="G5" s="345"/>
      <c r="H5" s="335"/>
      <c r="I5" s="345"/>
      <c r="J5" s="335"/>
      <c r="K5" s="345"/>
      <c r="L5" s="44" t="s">
        <v>2</v>
      </c>
    </row>
    <row r="6" spans="1:13" ht="33.75" thickTop="1" x14ac:dyDescent="0.3">
      <c r="A6" s="342"/>
      <c r="B6" s="130" t="s">
        <v>326</v>
      </c>
      <c r="C6" s="130" t="s">
        <v>36</v>
      </c>
      <c r="D6" s="130" t="s">
        <v>326</v>
      </c>
      <c r="E6" s="130" t="s">
        <v>36</v>
      </c>
      <c r="F6" s="130" t="s">
        <v>326</v>
      </c>
      <c r="G6" s="130" t="s">
        <v>36</v>
      </c>
      <c r="H6" s="130" t="s">
        <v>326</v>
      </c>
      <c r="I6" s="130" t="s">
        <v>36</v>
      </c>
      <c r="J6" s="39" t="s">
        <v>326</v>
      </c>
      <c r="K6" s="39" t="s">
        <v>36</v>
      </c>
      <c r="L6" s="44" t="s">
        <v>492</v>
      </c>
    </row>
    <row r="7" spans="1:13" x14ac:dyDescent="0.3">
      <c r="A7" s="26" t="s">
        <v>325</v>
      </c>
      <c r="B7" s="127">
        <v>36777</v>
      </c>
      <c r="C7" s="126">
        <v>82.5</v>
      </c>
      <c r="D7" s="127">
        <v>38783</v>
      </c>
      <c r="E7" s="126">
        <v>82.6</v>
      </c>
      <c r="F7" s="127">
        <v>40337</v>
      </c>
      <c r="G7" s="126">
        <v>82.3</v>
      </c>
      <c r="H7" s="127">
        <v>41502</v>
      </c>
      <c r="I7" s="126">
        <v>81.8</v>
      </c>
      <c r="J7" s="12">
        <v>39191</v>
      </c>
      <c r="K7" s="28">
        <v>81.599999999999994</v>
      </c>
      <c r="L7" s="141">
        <v>1.6020595086331805E-2</v>
      </c>
      <c r="M7" s="108"/>
    </row>
    <row r="8" spans="1:13" x14ac:dyDescent="0.3">
      <c r="A8" s="36" t="s">
        <v>324</v>
      </c>
      <c r="B8" s="96">
        <v>7801</v>
      </c>
      <c r="C8" s="95">
        <v>17.5</v>
      </c>
      <c r="D8" s="96">
        <v>8154</v>
      </c>
      <c r="E8" s="95">
        <v>17.399999999999999</v>
      </c>
      <c r="F8" s="96">
        <v>8688</v>
      </c>
      <c r="G8" s="95">
        <v>17.7</v>
      </c>
      <c r="H8" s="94">
        <v>9264</v>
      </c>
      <c r="I8" s="95">
        <v>18.2</v>
      </c>
      <c r="J8" s="94">
        <v>8849</v>
      </c>
      <c r="K8" s="13">
        <v>18.399999999999999</v>
      </c>
      <c r="L8" s="142">
        <v>3.201492784391731E-2</v>
      </c>
      <c r="M8" s="108"/>
    </row>
    <row r="9" spans="1:13" x14ac:dyDescent="0.3">
      <c r="A9" s="41" t="s">
        <v>86</v>
      </c>
      <c r="B9" s="98">
        <v>44578</v>
      </c>
      <c r="C9" s="97">
        <v>100</v>
      </c>
      <c r="D9" s="98">
        <v>46937</v>
      </c>
      <c r="E9" s="97">
        <v>100</v>
      </c>
      <c r="F9" s="98">
        <v>49025</v>
      </c>
      <c r="G9" s="97">
        <v>100</v>
      </c>
      <c r="H9" s="98">
        <v>50766</v>
      </c>
      <c r="I9" s="97">
        <v>100</v>
      </c>
      <c r="J9" s="98">
        <v>48040</v>
      </c>
      <c r="K9" s="29">
        <v>100</v>
      </c>
      <c r="L9" s="143">
        <v>1.8874292824346432E-2</v>
      </c>
      <c r="M9" s="108"/>
    </row>
    <row r="11" spans="1:13" x14ac:dyDescent="0.3">
      <c r="A11" t="s">
        <v>1340</v>
      </c>
    </row>
    <row r="13" spans="1:13" x14ac:dyDescent="0.3"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</row>
    <row r="14" spans="1:13" x14ac:dyDescent="0.3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spans="1:13" x14ac:dyDescent="0.3"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</row>
    <row r="18" spans="2:12" x14ac:dyDescent="0.3"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</row>
    <row r="19" spans="2:12" x14ac:dyDescent="0.3"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</row>
    <row r="20" spans="2:12" x14ac:dyDescent="0.3"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</row>
  </sheetData>
  <mergeCells count="6">
    <mergeCell ref="J4:K5"/>
    <mergeCell ref="A4:A6"/>
    <mergeCell ref="H4:I5"/>
    <mergeCell ref="F4:G5"/>
    <mergeCell ref="D4:E5"/>
    <mergeCell ref="B4:C5"/>
  </mergeCells>
  <phoneticPr fontId="1" type="noConversion"/>
  <hyperlinks>
    <hyperlink ref="G1" location="목차!A1" display="목차" xr:uid="{00000000-0004-0000-3300-000000000000}"/>
  </hyperlinks>
  <pageMargins left="0.7" right="0.7" top="0.75" bottom="0.75" header="0.3" footer="0.3"/>
  <pageSetup paperSize="9" orientation="portrait" copies="16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 tint="-4.9989318521683403E-2"/>
  </sheetPr>
  <dimension ref="A1:W45"/>
  <sheetViews>
    <sheetView zoomScale="70" zoomScaleNormal="70" workbookViewId="0">
      <selection activeCell="C6" sqref="C6:L23"/>
    </sheetView>
  </sheetViews>
  <sheetFormatPr defaultRowHeight="16.5" x14ac:dyDescent="0.3"/>
  <cols>
    <col min="2" max="2" width="17.625" customWidth="1"/>
    <col min="4" max="4" width="9" customWidth="1"/>
  </cols>
  <sheetData>
    <row r="1" spans="1:23" ht="17.25" x14ac:dyDescent="0.3">
      <c r="A1" s="7" t="s">
        <v>427</v>
      </c>
      <c r="B1" s="6"/>
      <c r="C1" s="6"/>
      <c r="D1" s="6"/>
      <c r="E1" s="2"/>
      <c r="G1" s="72" t="s">
        <v>368</v>
      </c>
    </row>
    <row r="3" spans="1:23" x14ac:dyDescent="0.3">
      <c r="L3" s="5" t="s">
        <v>327</v>
      </c>
    </row>
    <row r="4" spans="1:23" ht="17.25" thickBot="1" x14ac:dyDescent="0.35">
      <c r="A4" s="346" t="s">
        <v>0</v>
      </c>
      <c r="B4" s="342"/>
      <c r="C4" s="335" t="s">
        <v>8</v>
      </c>
      <c r="D4" s="345"/>
      <c r="E4" s="335" t="s">
        <v>9</v>
      </c>
      <c r="F4" s="345"/>
      <c r="G4" s="335" t="s">
        <v>10</v>
      </c>
      <c r="H4" s="345"/>
      <c r="I4" s="335" t="s">
        <v>369</v>
      </c>
      <c r="J4" s="336"/>
      <c r="K4" s="335" t="s">
        <v>402</v>
      </c>
      <c r="L4" s="336"/>
    </row>
    <row r="5" spans="1:23" ht="17.25" thickTop="1" x14ac:dyDescent="0.3">
      <c r="A5" s="346"/>
      <c r="B5" s="342"/>
      <c r="C5" s="130" t="s">
        <v>332</v>
      </c>
      <c r="D5" s="130" t="s">
        <v>36</v>
      </c>
      <c r="E5" s="130" t="s">
        <v>332</v>
      </c>
      <c r="F5" s="130" t="s">
        <v>36</v>
      </c>
      <c r="G5" s="130" t="s">
        <v>332</v>
      </c>
      <c r="H5" s="130" t="s">
        <v>36</v>
      </c>
      <c r="I5" s="130" t="s">
        <v>332</v>
      </c>
      <c r="J5" s="129" t="s">
        <v>36</v>
      </c>
      <c r="K5" s="39" t="s">
        <v>332</v>
      </c>
      <c r="L5" s="40" t="s">
        <v>36</v>
      </c>
    </row>
    <row r="6" spans="1:23" x14ac:dyDescent="0.3">
      <c r="A6" s="305" t="s">
        <v>86</v>
      </c>
      <c r="B6" s="28" t="s">
        <v>331</v>
      </c>
      <c r="C6" s="103">
        <v>1695</v>
      </c>
      <c r="D6" s="105">
        <v>3.8</v>
      </c>
      <c r="E6" s="103">
        <v>1815</v>
      </c>
      <c r="F6" s="105">
        <v>3.9</v>
      </c>
      <c r="G6" s="103">
        <v>1863</v>
      </c>
      <c r="H6" s="105">
        <v>3.8</v>
      </c>
      <c r="I6" s="103">
        <v>1776</v>
      </c>
      <c r="J6" s="105">
        <v>3.5</v>
      </c>
      <c r="K6" s="103">
        <v>1605</v>
      </c>
      <c r="L6" s="105">
        <v>3.3</v>
      </c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1:23" x14ac:dyDescent="0.3">
      <c r="A7" s="305"/>
      <c r="B7" s="13" t="s">
        <v>330</v>
      </c>
      <c r="C7" s="94">
        <v>10100</v>
      </c>
      <c r="D7" s="105">
        <v>22.7</v>
      </c>
      <c r="E7" s="94">
        <v>10568</v>
      </c>
      <c r="F7" s="105">
        <v>22.5</v>
      </c>
      <c r="G7" s="94">
        <v>11111</v>
      </c>
      <c r="H7" s="105">
        <v>22.7</v>
      </c>
      <c r="I7" s="94">
        <v>11673</v>
      </c>
      <c r="J7" s="105">
        <v>23</v>
      </c>
      <c r="K7" s="94">
        <v>10671</v>
      </c>
      <c r="L7" s="105">
        <v>22.2</v>
      </c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x14ac:dyDescent="0.3">
      <c r="A8" s="305"/>
      <c r="B8" s="13" t="s">
        <v>329</v>
      </c>
      <c r="C8" s="94">
        <v>18328</v>
      </c>
      <c r="D8" s="105">
        <v>41.1</v>
      </c>
      <c r="E8" s="94">
        <v>18984</v>
      </c>
      <c r="F8" s="105">
        <v>40.4</v>
      </c>
      <c r="G8" s="94">
        <v>19281</v>
      </c>
      <c r="H8" s="105">
        <v>39.299999999999997</v>
      </c>
      <c r="I8" s="94">
        <v>19415</v>
      </c>
      <c r="J8" s="105">
        <v>38.200000000000003</v>
      </c>
      <c r="K8" s="94">
        <v>18043</v>
      </c>
      <c r="L8" s="105">
        <v>37.6</v>
      </c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1:23" x14ac:dyDescent="0.3">
      <c r="A9" s="305"/>
      <c r="B9" s="13" t="s">
        <v>328</v>
      </c>
      <c r="C9" s="94">
        <v>11693</v>
      </c>
      <c r="D9" s="105">
        <v>26.2</v>
      </c>
      <c r="E9" s="94">
        <v>12430</v>
      </c>
      <c r="F9" s="105">
        <v>26.5</v>
      </c>
      <c r="G9" s="94">
        <v>13347</v>
      </c>
      <c r="H9" s="105">
        <v>27.2</v>
      </c>
      <c r="I9" s="94">
        <v>14149</v>
      </c>
      <c r="J9" s="105">
        <v>27.9</v>
      </c>
      <c r="K9" s="94">
        <v>13868</v>
      </c>
      <c r="L9" s="105">
        <v>28.9</v>
      </c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1:23" x14ac:dyDescent="0.3">
      <c r="A10" s="305"/>
      <c r="B10" s="13" t="s">
        <v>400</v>
      </c>
      <c r="C10" s="94">
        <v>2762</v>
      </c>
      <c r="D10" s="105">
        <v>6.2</v>
      </c>
      <c r="E10" s="94">
        <v>3140</v>
      </c>
      <c r="F10" s="105">
        <v>6.7</v>
      </c>
      <c r="G10" s="94">
        <v>3423</v>
      </c>
      <c r="H10" s="105">
        <v>7</v>
      </c>
      <c r="I10" s="94">
        <v>3753</v>
      </c>
      <c r="J10" s="105">
        <v>7.4</v>
      </c>
      <c r="K10" s="94">
        <v>3853</v>
      </c>
      <c r="L10" s="105">
        <v>8.1</v>
      </c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1:23" x14ac:dyDescent="0.3">
      <c r="A11" s="306"/>
      <c r="B11" s="29" t="s">
        <v>110</v>
      </c>
      <c r="C11" s="98">
        <v>44578</v>
      </c>
      <c r="D11" s="83">
        <v>100</v>
      </c>
      <c r="E11" s="98">
        <v>46937</v>
      </c>
      <c r="F11" s="83">
        <v>100</v>
      </c>
      <c r="G11" s="98">
        <v>49025</v>
      </c>
      <c r="H11" s="83">
        <v>100</v>
      </c>
      <c r="I11" s="98">
        <v>50766</v>
      </c>
      <c r="J11" s="83">
        <v>100</v>
      </c>
      <c r="K11" s="98">
        <v>48040</v>
      </c>
      <c r="L11" s="83">
        <v>100</v>
      </c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1:23" x14ac:dyDescent="0.3">
      <c r="A12" s="304" t="s">
        <v>325</v>
      </c>
      <c r="B12" s="13" t="s">
        <v>331</v>
      </c>
      <c r="C12" s="93">
        <v>1021</v>
      </c>
      <c r="D12" s="105">
        <v>2.8</v>
      </c>
      <c r="E12" s="93">
        <v>1087</v>
      </c>
      <c r="F12" s="105">
        <v>2.8</v>
      </c>
      <c r="G12" s="93">
        <v>1076</v>
      </c>
      <c r="H12" s="105">
        <v>2.7</v>
      </c>
      <c r="I12" s="93">
        <v>1031</v>
      </c>
      <c r="J12" s="105">
        <v>2.5</v>
      </c>
      <c r="K12" s="93">
        <v>947</v>
      </c>
      <c r="L12" s="105">
        <v>2.4</v>
      </c>
      <c r="N12" s="90"/>
      <c r="O12" s="90"/>
      <c r="P12" s="90"/>
      <c r="Q12" s="90"/>
      <c r="R12" s="90"/>
      <c r="S12" s="90"/>
      <c r="T12" s="90"/>
      <c r="U12" s="90"/>
      <c r="V12" s="90"/>
      <c r="W12" s="90"/>
    </row>
    <row r="13" spans="1:23" x14ac:dyDescent="0.3">
      <c r="A13" s="305"/>
      <c r="B13" s="13" t="s">
        <v>330</v>
      </c>
      <c r="C13" s="94">
        <v>7310</v>
      </c>
      <c r="D13" s="105">
        <v>19.899999999999999</v>
      </c>
      <c r="E13" s="94">
        <v>7792</v>
      </c>
      <c r="F13" s="105">
        <v>20.100000000000001</v>
      </c>
      <c r="G13" s="94">
        <v>8177</v>
      </c>
      <c r="H13" s="105">
        <v>20.3</v>
      </c>
      <c r="I13" s="94">
        <v>8527</v>
      </c>
      <c r="J13" s="105">
        <v>20.5</v>
      </c>
      <c r="K13" s="94">
        <v>7813</v>
      </c>
      <c r="L13" s="105">
        <v>19.899999999999999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</row>
    <row r="14" spans="1:23" x14ac:dyDescent="0.3">
      <c r="A14" s="305"/>
      <c r="B14" s="13" t="s">
        <v>329</v>
      </c>
      <c r="C14" s="94">
        <v>15314</v>
      </c>
      <c r="D14" s="105">
        <v>41.6</v>
      </c>
      <c r="E14" s="94">
        <v>15791</v>
      </c>
      <c r="F14" s="105">
        <v>40.700000000000003</v>
      </c>
      <c r="G14" s="94">
        <v>15929</v>
      </c>
      <c r="H14" s="105">
        <v>39.5</v>
      </c>
      <c r="I14" s="94">
        <v>15878</v>
      </c>
      <c r="J14" s="105">
        <v>38.299999999999997</v>
      </c>
      <c r="K14" s="94">
        <v>14622</v>
      </c>
      <c r="L14" s="105">
        <v>37.299999999999997</v>
      </c>
      <c r="N14" s="90"/>
      <c r="O14" s="90"/>
      <c r="P14" s="90"/>
      <c r="Q14" s="90"/>
      <c r="R14" s="90"/>
      <c r="S14" s="90"/>
      <c r="T14" s="90"/>
      <c r="U14" s="90"/>
      <c r="V14" s="90"/>
      <c r="W14" s="90"/>
    </row>
    <row r="15" spans="1:23" x14ac:dyDescent="0.3">
      <c r="A15" s="305"/>
      <c r="B15" s="13" t="s">
        <v>328</v>
      </c>
      <c r="C15" s="94">
        <v>10543</v>
      </c>
      <c r="D15" s="105">
        <v>28.7</v>
      </c>
      <c r="E15" s="94">
        <v>11158</v>
      </c>
      <c r="F15" s="105">
        <v>28.8</v>
      </c>
      <c r="G15" s="94">
        <v>11934</v>
      </c>
      <c r="H15" s="105">
        <v>29.6</v>
      </c>
      <c r="I15" s="94">
        <v>12548</v>
      </c>
      <c r="J15" s="105">
        <v>30.2</v>
      </c>
      <c r="K15" s="94">
        <v>12219</v>
      </c>
      <c r="L15" s="105">
        <v>31.2</v>
      </c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3" x14ac:dyDescent="0.3">
      <c r="A16" s="305"/>
      <c r="B16" s="95" t="s">
        <v>400</v>
      </c>
      <c r="C16" s="94">
        <v>2589</v>
      </c>
      <c r="D16" s="105">
        <v>7</v>
      </c>
      <c r="E16" s="94">
        <v>2955</v>
      </c>
      <c r="F16" s="105">
        <v>7.6000000000000005</v>
      </c>
      <c r="G16" s="94">
        <v>3221</v>
      </c>
      <c r="H16" s="105">
        <v>8</v>
      </c>
      <c r="I16" s="94">
        <v>3518</v>
      </c>
      <c r="J16" s="105">
        <v>8.5</v>
      </c>
      <c r="K16" s="94">
        <v>3590</v>
      </c>
      <c r="L16" s="105">
        <v>9.1999999999999993</v>
      </c>
      <c r="N16" s="90"/>
      <c r="O16" s="90"/>
      <c r="P16" s="90"/>
      <c r="Q16" s="90"/>
      <c r="R16" s="90"/>
      <c r="S16" s="90"/>
      <c r="T16" s="90"/>
      <c r="U16" s="90"/>
      <c r="V16" s="90"/>
      <c r="W16" s="90"/>
    </row>
    <row r="17" spans="1:23" x14ac:dyDescent="0.3">
      <c r="A17" s="306"/>
      <c r="B17" s="29" t="s">
        <v>110</v>
      </c>
      <c r="C17" s="98">
        <v>36777</v>
      </c>
      <c r="D17" s="83">
        <v>100</v>
      </c>
      <c r="E17" s="98">
        <v>38783</v>
      </c>
      <c r="F17" s="83">
        <v>100</v>
      </c>
      <c r="G17" s="98">
        <v>40337</v>
      </c>
      <c r="H17" s="83">
        <v>100</v>
      </c>
      <c r="I17" s="98">
        <v>41502</v>
      </c>
      <c r="J17" s="83">
        <v>100</v>
      </c>
      <c r="K17" s="31">
        <v>39191</v>
      </c>
      <c r="L17" s="83">
        <v>100</v>
      </c>
      <c r="N17" s="90"/>
      <c r="O17" s="90"/>
      <c r="P17" s="90"/>
      <c r="Q17" s="90"/>
      <c r="R17" s="90"/>
      <c r="S17" s="90"/>
      <c r="T17" s="90"/>
      <c r="U17" s="90"/>
      <c r="V17" s="90"/>
      <c r="W17" s="90"/>
    </row>
    <row r="18" spans="1:23" x14ac:dyDescent="0.3">
      <c r="A18" s="304" t="s">
        <v>324</v>
      </c>
      <c r="B18" s="13" t="s">
        <v>331</v>
      </c>
      <c r="C18" s="93">
        <v>674</v>
      </c>
      <c r="D18" s="105">
        <v>8.6</v>
      </c>
      <c r="E18" s="93">
        <v>728</v>
      </c>
      <c r="F18" s="105">
        <v>8.9</v>
      </c>
      <c r="G18" s="93">
        <v>787</v>
      </c>
      <c r="H18" s="105">
        <v>9.1</v>
      </c>
      <c r="I18" s="93">
        <v>745</v>
      </c>
      <c r="J18" s="105">
        <v>8</v>
      </c>
      <c r="K18" s="93">
        <v>658</v>
      </c>
      <c r="L18" s="105">
        <v>7.4</v>
      </c>
      <c r="N18" s="90"/>
      <c r="O18" s="90"/>
      <c r="P18" s="90"/>
      <c r="Q18" s="90"/>
      <c r="R18" s="90"/>
      <c r="S18" s="90"/>
      <c r="T18" s="90"/>
      <c r="U18" s="90"/>
      <c r="V18" s="90"/>
      <c r="W18" s="90"/>
    </row>
    <row r="19" spans="1:23" x14ac:dyDescent="0.3">
      <c r="A19" s="305"/>
      <c r="B19" s="13" t="s">
        <v>330</v>
      </c>
      <c r="C19" s="94">
        <v>2790</v>
      </c>
      <c r="D19" s="105">
        <v>35.799999999999997</v>
      </c>
      <c r="E19" s="94">
        <v>2776</v>
      </c>
      <c r="F19" s="105">
        <v>34</v>
      </c>
      <c r="G19" s="94">
        <v>2934</v>
      </c>
      <c r="H19" s="105">
        <v>33.799999999999997</v>
      </c>
      <c r="I19" s="94">
        <v>3146</v>
      </c>
      <c r="J19" s="105">
        <v>34</v>
      </c>
      <c r="K19" s="94">
        <v>2858</v>
      </c>
      <c r="L19" s="105">
        <v>32.299999999999997</v>
      </c>
      <c r="N19" s="90"/>
      <c r="O19" s="90"/>
      <c r="P19" s="90"/>
      <c r="Q19" s="90"/>
      <c r="R19" s="90"/>
      <c r="S19" s="90"/>
      <c r="T19" s="90"/>
      <c r="U19" s="90"/>
      <c r="V19" s="90"/>
      <c r="W19" s="90"/>
    </row>
    <row r="20" spans="1:23" x14ac:dyDescent="0.3">
      <c r="A20" s="305"/>
      <c r="B20" s="13" t="s">
        <v>329</v>
      </c>
      <c r="C20" s="94">
        <v>3014</v>
      </c>
      <c r="D20" s="105">
        <v>38.6</v>
      </c>
      <c r="E20" s="94">
        <v>3193</v>
      </c>
      <c r="F20" s="105">
        <v>39.200000000000003</v>
      </c>
      <c r="G20" s="94">
        <v>3352</v>
      </c>
      <c r="H20" s="105">
        <v>38.6</v>
      </c>
      <c r="I20" s="94">
        <v>3537</v>
      </c>
      <c r="J20" s="105">
        <v>38.200000000000003</v>
      </c>
      <c r="K20" s="94">
        <v>3421</v>
      </c>
      <c r="L20" s="105">
        <v>38.700000000000003</v>
      </c>
      <c r="N20" s="90"/>
      <c r="O20" s="90"/>
      <c r="P20" s="90"/>
      <c r="Q20" s="90"/>
      <c r="R20" s="90"/>
      <c r="S20" s="90"/>
      <c r="T20" s="90"/>
      <c r="U20" s="90"/>
      <c r="V20" s="90"/>
      <c r="W20" s="90"/>
    </row>
    <row r="21" spans="1:23" x14ac:dyDescent="0.3">
      <c r="A21" s="305"/>
      <c r="B21" s="13" t="s">
        <v>328</v>
      </c>
      <c r="C21" s="94">
        <v>1150</v>
      </c>
      <c r="D21" s="105">
        <v>14.7</v>
      </c>
      <c r="E21" s="94">
        <v>1272</v>
      </c>
      <c r="F21" s="105">
        <v>15.6</v>
      </c>
      <c r="G21" s="94">
        <v>1413</v>
      </c>
      <c r="H21" s="105">
        <v>16.3</v>
      </c>
      <c r="I21" s="94">
        <v>1601</v>
      </c>
      <c r="J21" s="105">
        <v>17.3</v>
      </c>
      <c r="K21" s="94">
        <v>1649</v>
      </c>
      <c r="L21" s="105">
        <v>18.600000000000001</v>
      </c>
      <c r="N21" s="90"/>
      <c r="O21" s="90"/>
      <c r="P21" s="90"/>
      <c r="Q21" s="90"/>
      <c r="R21" s="90"/>
      <c r="S21" s="90"/>
      <c r="T21" s="90"/>
      <c r="U21" s="90"/>
      <c r="V21" s="90"/>
      <c r="W21" s="90"/>
    </row>
    <row r="22" spans="1:23" x14ac:dyDescent="0.3">
      <c r="A22" s="305"/>
      <c r="B22" s="95" t="s">
        <v>400</v>
      </c>
      <c r="C22" s="93">
        <v>173</v>
      </c>
      <c r="D22" s="105">
        <v>2.2000000000000002</v>
      </c>
      <c r="E22" s="93">
        <v>185</v>
      </c>
      <c r="F22" s="105">
        <v>2.2999999999999998</v>
      </c>
      <c r="G22" s="93">
        <v>202</v>
      </c>
      <c r="H22" s="105">
        <v>2.2999999999999998</v>
      </c>
      <c r="I22" s="93">
        <v>235</v>
      </c>
      <c r="J22" s="105">
        <v>2.5</v>
      </c>
      <c r="K22" s="93">
        <v>263</v>
      </c>
      <c r="L22" s="105">
        <v>2.9</v>
      </c>
      <c r="N22" s="90"/>
      <c r="O22" s="90"/>
      <c r="P22" s="90"/>
      <c r="Q22" s="90"/>
      <c r="R22" s="90"/>
      <c r="S22" s="90"/>
      <c r="T22" s="90"/>
      <c r="U22" s="90"/>
      <c r="V22" s="90"/>
      <c r="W22" s="90"/>
    </row>
    <row r="23" spans="1:23" x14ac:dyDescent="0.3">
      <c r="A23" s="306"/>
      <c r="B23" s="29" t="s">
        <v>110</v>
      </c>
      <c r="C23" s="98">
        <v>7801</v>
      </c>
      <c r="D23" s="83">
        <v>100</v>
      </c>
      <c r="E23" s="98">
        <v>8154</v>
      </c>
      <c r="F23" s="83">
        <v>100</v>
      </c>
      <c r="G23" s="98">
        <v>8688</v>
      </c>
      <c r="H23" s="83">
        <v>100</v>
      </c>
      <c r="I23" s="98">
        <v>9264</v>
      </c>
      <c r="J23" s="83">
        <v>100</v>
      </c>
      <c r="K23" s="98">
        <v>8849</v>
      </c>
      <c r="L23" s="83">
        <v>100</v>
      </c>
      <c r="N23" s="90"/>
      <c r="O23" s="90"/>
      <c r="P23" s="90"/>
      <c r="Q23" s="90"/>
      <c r="R23" s="90"/>
      <c r="S23" s="90"/>
      <c r="T23" s="90"/>
      <c r="U23" s="90"/>
      <c r="V23" s="90"/>
      <c r="W23" s="90"/>
    </row>
    <row r="25" spans="1:23" x14ac:dyDescent="0.3">
      <c r="A25" t="s">
        <v>1340</v>
      </c>
    </row>
    <row r="26" spans="1:23" x14ac:dyDescent="0.3">
      <c r="A26" t="s">
        <v>390</v>
      </c>
    </row>
    <row r="28" spans="1:23" x14ac:dyDescent="0.3">
      <c r="C28" s="86"/>
      <c r="D28" s="106"/>
      <c r="E28" s="86"/>
      <c r="F28" s="86"/>
      <c r="G28" s="86"/>
      <c r="H28" s="86"/>
      <c r="I28" s="86"/>
      <c r="J28" s="86"/>
      <c r="K28" s="86"/>
      <c r="L28" s="86"/>
    </row>
    <row r="29" spans="1:23" x14ac:dyDescent="0.3">
      <c r="C29" s="86"/>
      <c r="D29" s="106"/>
      <c r="E29" s="86"/>
      <c r="F29" s="86"/>
      <c r="G29" s="86"/>
      <c r="H29" s="86"/>
      <c r="I29" s="86"/>
      <c r="J29" s="86"/>
      <c r="K29" s="86"/>
      <c r="L29" s="86"/>
    </row>
    <row r="30" spans="1:23" x14ac:dyDescent="0.3">
      <c r="C30" s="86"/>
      <c r="D30" s="106"/>
      <c r="E30" s="86"/>
      <c r="F30" s="86"/>
      <c r="G30" s="86"/>
      <c r="H30" s="86"/>
      <c r="I30" s="86"/>
      <c r="J30" s="86"/>
      <c r="K30" s="86"/>
      <c r="L30" s="86"/>
    </row>
    <row r="31" spans="1:23" x14ac:dyDescent="0.3">
      <c r="C31" s="86"/>
      <c r="D31" s="106"/>
      <c r="E31" s="86"/>
      <c r="F31" s="86"/>
      <c r="G31" s="86"/>
      <c r="H31" s="86"/>
      <c r="I31" s="86"/>
      <c r="J31" s="86"/>
      <c r="K31" s="86"/>
      <c r="L31" s="86"/>
    </row>
    <row r="32" spans="1:23" x14ac:dyDescent="0.3">
      <c r="C32" s="86"/>
      <c r="D32" s="106"/>
      <c r="E32" s="86"/>
      <c r="F32" s="86"/>
      <c r="G32" s="86"/>
      <c r="H32" s="86"/>
      <c r="I32" s="86"/>
      <c r="J32" s="86"/>
      <c r="K32" s="86"/>
      <c r="L32" s="86"/>
    </row>
    <row r="33" spans="3:12" x14ac:dyDescent="0.3">
      <c r="C33" s="86"/>
      <c r="D33" s="106"/>
      <c r="E33" s="106"/>
      <c r="F33" s="106"/>
      <c r="G33" s="106"/>
      <c r="H33" s="106"/>
      <c r="I33" s="106"/>
      <c r="J33" s="106"/>
      <c r="K33" s="106"/>
      <c r="L33" s="106"/>
    </row>
    <row r="34" spans="3:12" x14ac:dyDescent="0.3">
      <c r="C34" s="86"/>
      <c r="D34" s="86"/>
      <c r="E34" s="86"/>
      <c r="F34" s="86"/>
      <c r="G34" s="86"/>
      <c r="H34" s="86"/>
      <c r="I34" s="86"/>
      <c r="J34" s="86"/>
      <c r="K34" s="86"/>
      <c r="L34" s="86"/>
    </row>
    <row r="35" spans="3:12" x14ac:dyDescent="0.3">
      <c r="C35" s="86"/>
      <c r="D35" s="86"/>
      <c r="E35" s="86"/>
      <c r="F35" s="86"/>
      <c r="G35" s="86"/>
      <c r="H35" s="86"/>
      <c r="I35" s="86"/>
      <c r="J35" s="86"/>
      <c r="K35" s="86"/>
      <c r="L35" s="86"/>
    </row>
    <row r="36" spans="3:12" x14ac:dyDescent="0.3">
      <c r="C36" s="86"/>
      <c r="D36" s="86"/>
      <c r="E36" s="86"/>
      <c r="F36" s="86"/>
      <c r="G36" s="86"/>
      <c r="H36" s="86"/>
      <c r="I36" s="86"/>
      <c r="J36" s="86"/>
      <c r="K36" s="86"/>
      <c r="L36" s="86"/>
    </row>
    <row r="37" spans="3:12" x14ac:dyDescent="0.3">
      <c r="C37" s="86"/>
      <c r="D37" s="86"/>
      <c r="E37" s="86"/>
      <c r="F37" s="86"/>
      <c r="G37" s="86"/>
      <c r="H37" s="86"/>
      <c r="I37" s="86"/>
      <c r="J37" s="86"/>
      <c r="K37" s="86"/>
      <c r="L37" s="86"/>
    </row>
    <row r="38" spans="3:12" x14ac:dyDescent="0.3">
      <c r="C38" s="86"/>
      <c r="D38" s="86"/>
      <c r="E38" s="86"/>
      <c r="F38" s="86"/>
      <c r="G38" s="86"/>
      <c r="H38" s="86"/>
      <c r="I38" s="86"/>
      <c r="J38" s="86"/>
      <c r="K38" s="86"/>
      <c r="L38" s="86"/>
    </row>
    <row r="39" spans="3:12" x14ac:dyDescent="0.3">
      <c r="C39" s="86"/>
      <c r="D39" s="106"/>
      <c r="E39" s="106"/>
      <c r="F39" s="106"/>
      <c r="G39" s="106"/>
      <c r="H39" s="106"/>
      <c r="I39" s="106"/>
      <c r="J39" s="106"/>
      <c r="K39" s="106"/>
      <c r="L39" s="106"/>
    </row>
    <row r="40" spans="3:12" x14ac:dyDescent="0.3">
      <c r="C40" s="86"/>
      <c r="D40" s="86"/>
      <c r="E40" s="86"/>
      <c r="F40" s="86"/>
      <c r="G40" s="86"/>
      <c r="H40" s="86"/>
      <c r="I40" s="86"/>
      <c r="J40" s="86"/>
      <c r="K40" s="86"/>
      <c r="L40" s="86"/>
    </row>
    <row r="41" spans="3:12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</row>
    <row r="42" spans="3:12" x14ac:dyDescent="0.3">
      <c r="C42" s="86"/>
      <c r="D42" s="86"/>
      <c r="E42" s="86"/>
      <c r="F42" s="86"/>
      <c r="G42" s="86"/>
      <c r="H42" s="86"/>
      <c r="I42" s="86"/>
      <c r="J42" s="86"/>
      <c r="K42" s="86"/>
      <c r="L42" s="86"/>
    </row>
    <row r="43" spans="3:12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</row>
    <row r="44" spans="3:12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</row>
    <row r="45" spans="3:12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</row>
  </sheetData>
  <mergeCells count="9">
    <mergeCell ref="I4:J4"/>
    <mergeCell ref="K4:L4"/>
    <mergeCell ref="A6:A11"/>
    <mergeCell ref="A12:A17"/>
    <mergeCell ref="A18:A23"/>
    <mergeCell ref="A4:B5"/>
    <mergeCell ref="G4:H4"/>
    <mergeCell ref="E4:F4"/>
    <mergeCell ref="C4:D4"/>
  </mergeCells>
  <phoneticPr fontId="1" type="noConversion"/>
  <hyperlinks>
    <hyperlink ref="G1" location="목차!A1" display="목차" xr:uid="{00000000-0004-0000-3400-000000000000}"/>
  </hyperlinks>
  <pageMargins left="0.7" right="0.7" top="0.75" bottom="0.75" header="0.3" footer="0.3"/>
  <pageSetup paperSize="9" orientation="portrait" copies="16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 tint="-4.9989318521683403E-2"/>
  </sheetPr>
  <dimension ref="A1:L63"/>
  <sheetViews>
    <sheetView zoomScale="70" zoomScaleNormal="70" workbookViewId="0">
      <selection activeCell="A34" sqref="A34"/>
    </sheetView>
  </sheetViews>
  <sheetFormatPr defaultRowHeight="16.5" x14ac:dyDescent="0.3"/>
  <cols>
    <col min="2" max="2" width="16.375" customWidth="1"/>
  </cols>
  <sheetData>
    <row r="1" spans="1:12" ht="17.25" x14ac:dyDescent="0.3">
      <c r="A1" s="7" t="s">
        <v>428</v>
      </c>
      <c r="B1" s="6"/>
      <c r="C1" s="6"/>
      <c r="D1" s="6"/>
      <c r="E1" s="2"/>
      <c r="F1" s="2"/>
      <c r="G1" s="2"/>
      <c r="I1" s="72" t="s">
        <v>368</v>
      </c>
    </row>
    <row r="3" spans="1:12" x14ac:dyDescent="0.3">
      <c r="L3" s="5" t="s">
        <v>327</v>
      </c>
    </row>
    <row r="4" spans="1:12" ht="15.75" customHeight="1" thickBot="1" x14ac:dyDescent="0.35">
      <c r="A4" s="346" t="s">
        <v>0</v>
      </c>
      <c r="B4" s="342"/>
      <c r="C4" s="335" t="s">
        <v>8</v>
      </c>
      <c r="D4" s="345"/>
      <c r="E4" s="335" t="s">
        <v>9</v>
      </c>
      <c r="F4" s="345"/>
      <c r="G4" s="335" t="s">
        <v>10</v>
      </c>
      <c r="H4" s="345"/>
      <c r="I4" s="335" t="s">
        <v>369</v>
      </c>
      <c r="J4" s="336"/>
      <c r="K4" s="335" t="s">
        <v>402</v>
      </c>
      <c r="L4" s="336"/>
    </row>
    <row r="5" spans="1:12" ht="15.75" customHeight="1" thickTop="1" x14ac:dyDescent="0.3">
      <c r="A5" s="346"/>
      <c r="B5" s="342"/>
      <c r="C5" s="130" t="s">
        <v>332</v>
      </c>
      <c r="D5" s="130" t="s">
        <v>36</v>
      </c>
      <c r="E5" s="130" t="s">
        <v>332</v>
      </c>
      <c r="F5" s="130" t="s">
        <v>36</v>
      </c>
      <c r="G5" s="130" t="s">
        <v>332</v>
      </c>
      <c r="H5" s="130" t="s">
        <v>36</v>
      </c>
      <c r="I5" s="130" t="s">
        <v>332</v>
      </c>
      <c r="J5" s="129" t="s">
        <v>36</v>
      </c>
      <c r="K5" s="39" t="s">
        <v>332</v>
      </c>
      <c r="L5" s="40" t="s">
        <v>36</v>
      </c>
    </row>
    <row r="6" spans="1:12" ht="15.75" customHeight="1" x14ac:dyDescent="0.3">
      <c r="A6" s="305" t="s">
        <v>86</v>
      </c>
      <c r="B6" s="28" t="s">
        <v>78</v>
      </c>
      <c r="C6" s="127">
        <v>2217</v>
      </c>
      <c r="D6" s="126">
        <v>4.9000000000000004</v>
      </c>
      <c r="E6" s="127">
        <v>2233</v>
      </c>
      <c r="F6" s="126">
        <v>4.7</v>
      </c>
      <c r="G6" s="127">
        <v>2189</v>
      </c>
      <c r="H6" s="126">
        <v>4.4000000000000004</v>
      </c>
      <c r="I6" s="127">
        <v>2267</v>
      </c>
      <c r="J6" s="117">
        <v>4.4000000000000004</v>
      </c>
      <c r="K6" s="12">
        <v>1533</v>
      </c>
      <c r="L6" s="37">
        <v>3.1</v>
      </c>
    </row>
    <row r="7" spans="1:12" ht="15.75" customHeight="1" x14ac:dyDescent="0.3">
      <c r="A7" s="305"/>
      <c r="B7" s="13" t="s">
        <v>79</v>
      </c>
      <c r="C7" s="96">
        <v>4090</v>
      </c>
      <c r="D7" s="95">
        <v>9.1</v>
      </c>
      <c r="E7" s="96">
        <v>4316</v>
      </c>
      <c r="F7" s="95">
        <v>9.1</v>
      </c>
      <c r="G7" s="96">
        <v>4417</v>
      </c>
      <c r="H7" s="95">
        <v>8.9</v>
      </c>
      <c r="I7" s="94">
        <v>4465</v>
      </c>
      <c r="J7" s="123">
        <v>8.6999999999999993</v>
      </c>
      <c r="K7" s="94">
        <v>4354</v>
      </c>
      <c r="L7" s="35">
        <v>8.9</v>
      </c>
    </row>
    <row r="8" spans="1:12" ht="15.75" customHeight="1" x14ac:dyDescent="0.3">
      <c r="A8" s="305"/>
      <c r="B8" s="13" t="s">
        <v>80</v>
      </c>
      <c r="C8" s="96">
        <v>24067</v>
      </c>
      <c r="D8" s="95">
        <v>53.4</v>
      </c>
      <c r="E8" s="96">
        <v>24659</v>
      </c>
      <c r="F8" s="95">
        <v>51.9</v>
      </c>
      <c r="G8" s="96">
        <v>25588</v>
      </c>
      <c r="H8" s="95">
        <v>51.4</v>
      </c>
      <c r="I8" s="96">
        <v>25436</v>
      </c>
      <c r="J8" s="123">
        <v>49.3</v>
      </c>
      <c r="K8" s="14">
        <v>23859</v>
      </c>
      <c r="L8" s="35">
        <v>48.9</v>
      </c>
    </row>
    <row r="9" spans="1:12" ht="15.75" customHeight="1" x14ac:dyDescent="0.3">
      <c r="A9" s="305"/>
      <c r="B9" s="13" t="s">
        <v>81</v>
      </c>
      <c r="C9" s="95">
        <v>260</v>
      </c>
      <c r="D9" s="95">
        <v>0.6</v>
      </c>
      <c r="E9" s="95">
        <v>267</v>
      </c>
      <c r="F9" s="95">
        <v>0.6</v>
      </c>
      <c r="G9" s="95">
        <v>292</v>
      </c>
      <c r="H9" s="95">
        <v>0.6</v>
      </c>
      <c r="I9" s="95">
        <v>313</v>
      </c>
      <c r="J9" s="123">
        <v>0.6</v>
      </c>
      <c r="K9" s="13">
        <v>327</v>
      </c>
      <c r="L9" s="35">
        <v>0.7</v>
      </c>
    </row>
    <row r="10" spans="1:12" ht="15.75" customHeight="1" x14ac:dyDescent="0.3">
      <c r="A10" s="305"/>
      <c r="B10" s="13" t="s">
        <v>82</v>
      </c>
      <c r="C10" s="95">
        <v>593</v>
      </c>
      <c r="D10" s="95">
        <v>1.3</v>
      </c>
      <c r="E10" s="95">
        <v>709</v>
      </c>
      <c r="F10" s="95">
        <v>1.5</v>
      </c>
      <c r="G10" s="95">
        <v>815</v>
      </c>
      <c r="H10" s="95">
        <v>1.6</v>
      </c>
      <c r="I10" s="95">
        <v>890</v>
      </c>
      <c r="J10" s="123">
        <v>1.7</v>
      </c>
      <c r="K10" s="13">
        <v>869</v>
      </c>
      <c r="L10" s="35">
        <v>1.8</v>
      </c>
    </row>
    <row r="11" spans="1:12" ht="15.75" customHeight="1" x14ac:dyDescent="0.3">
      <c r="A11" s="305"/>
      <c r="B11" s="13" t="s">
        <v>83</v>
      </c>
      <c r="C11" s="96">
        <v>12154</v>
      </c>
      <c r="D11" s="95">
        <v>27</v>
      </c>
      <c r="E11" s="96">
        <v>13395</v>
      </c>
      <c r="F11" s="95">
        <v>28.2</v>
      </c>
      <c r="G11" s="96">
        <v>14140</v>
      </c>
      <c r="H11" s="95">
        <v>28.4</v>
      </c>
      <c r="I11" s="96">
        <v>15779</v>
      </c>
      <c r="J11" s="123">
        <v>30.6</v>
      </c>
      <c r="K11" s="14">
        <v>15841</v>
      </c>
      <c r="L11" s="35">
        <v>32.4</v>
      </c>
    </row>
    <row r="12" spans="1:12" ht="15.75" customHeight="1" x14ac:dyDescent="0.3">
      <c r="A12" s="305"/>
      <c r="B12" s="13" t="s">
        <v>84</v>
      </c>
      <c r="C12" s="95">
        <v>56</v>
      </c>
      <c r="D12" s="95">
        <v>0.1</v>
      </c>
      <c r="E12" s="95">
        <v>56</v>
      </c>
      <c r="F12" s="95">
        <v>0.1</v>
      </c>
      <c r="G12" s="95">
        <v>59</v>
      </c>
      <c r="H12" s="95">
        <v>0.1</v>
      </c>
      <c r="I12" s="95">
        <v>70</v>
      </c>
      <c r="J12" s="123">
        <v>0.1</v>
      </c>
      <c r="K12" s="13">
        <v>55</v>
      </c>
      <c r="L12" s="35">
        <v>0.1</v>
      </c>
    </row>
    <row r="13" spans="1:12" ht="15.75" customHeight="1" x14ac:dyDescent="0.3">
      <c r="A13" s="305"/>
      <c r="B13" s="13" t="s">
        <v>85</v>
      </c>
      <c r="C13" s="96">
        <v>1638</v>
      </c>
      <c r="D13" s="95">
        <v>3.6</v>
      </c>
      <c r="E13" s="96">
        <v>1870</v>
      </c>
      <c r="F13" s="95">
        <v>3.9</v>
      </c>
      <c r="G13" s="96">
        <v>2297</v>
      </c>
      <c r="H13" s="95">
        <v>4.5999999999999996</v>
      </c>
      <c r="I13" s="96">
        <v>2324</v>
      </c>
      <c r="J13" s="123">
        <v>4.5</v>
      </c>
      <c r="K13" s="14">
        <v>2000</v>
      </c>
      <c r="L13" s="35">
        <v>4.0999999999999996</v>
      </c>
    </row>
    <row r="14" spans="1:12" ht="15.75" customHeight="1" x14ac:dyDescent="0.3">
      <c r="A14" s="306"/>
      <c r="B14" s="29" t="s">
        <v>110</v>
      </c>
      <c r="C14" s="98">
        <v>45075</v>
      </c>
      <c r="D14" s="97">
        <v>100</v>
      </c>
      <c r="E14" s="98">
        <v>47505</v>
      </c>
      <c r="F14" s="97">
        <v>100</v>
      </c>
      <c r="G14" s="98">
        <v>49797</v>
      </c>
      <c r="H14" s="97">
        <v>100</v>
      </c>
      <c r="I14" s="98">
        <v>51544</v>
      </c>
      <c r="J14" s="125">
        <v>100</v>
      </c>
      <c r="K14" s="98">
        <v>48838</v>
      </c>
      <c r="L14" s="42">
        <v>100</v>
      </c>
    </row>
    <row r="15" spans="1:12" ht="15.75" customHeight="1" x14ac:dyDescent="0.3">
      <c r="A15" s="304" t="s">
        <v>325</v>
      </c>
      <c r="B15" s="13" t="s">
        <v>78</v>
      </c>
      <c r="C15" s="96">
        <v>1438</v>
      </c>
      <c r="D15" s="95">
        <v>3.9</v>
      </c>
      <c r="E15" s="96">
        <v>1440</v>
      </c>
      <c r="F15" s="95">
        <v>3.7</v>
      </c>
      <c r="G15" s="96">
        <v>1379</v>
      </c>
      <c r="H15" s="95">
        <v>3.4</v>
      </c>
      <c r="I15" s="96">
        <v>1375</v>
      </c>
      <c r="J15" s="123">
        <v>3.3</v>
      </c>
      <c r="K15" s="14">
        <v>943</v>
      </c>
      <c r="L15" s="35">
        <v>2.4</v>
      </c>
    </row>
    <row r="16" spans="1:12" ht="15.75" customHeight="1" x14ac:dyDescent="0.3">
      <c r="A16" s="305"/>
      <c r="B16" s="13" t="s">
        <v>79</v>
      </c>
      <c r="C16" s="96">
        <v>3544</v>
      </c>
      <c r="D16" s="95">
        <v>9.5</v>
      </c>
      <c r="E16" s="96">
        <v>3703</v>
      </c>
      <c r="F16" s="95">
        <v>9.4</v>
      </c>
      <c r="G16" s="96">
        <v>3753</v>
      </c>
      <c r="H16" s="95">
        <v>9.1</v>
      </c>
      <c r="I16" s="96">
        <v>3770</v>
      </c>
      <c r="J16" s="123">
        <v>8.9</v>
      </c>
      <c r="K16" s="14">
        <v>3667</v>
      </c>
      <c r="L16" s="35">
        <v>9.1999999999999993</v>
      </c>
    </row>
    <row r="17" spans="1:12" ht="15.75" customHeight="1" x14ac:dyDescent="0.3">
      <c r="A17" s="305"/>
      <c r="B17" s="13" t="s">
        <v>80</v>
      </c>
      <c r="C17" s="96">
        <v>18670</v>
      </c>
      <c r="D17" s="95">
        <v>50.2</v>
      </c>
      <c r="E17" s="96">
        <v>19082</v>
      </c>
      <c r="F17" s="95">
        <v>48.6</v>
      </c>
      <c r="G17" s="96">
        <v>19678</v>
      </c>
      <c r="H17" s="95">
        <v>48</v>
      </c>
      <c r="I17" s="96">
        <v>19361</v>
      </c>
      <c r="J17" s="123">
        <v>45.9</v>
      </c>
      <c r="K17" s="14">
        <v>18091</v>
      </c>
      <c r="L17" s="35">
        <v>45.3</v>
      </c>
    </row>
    <row r="18" spans="1:12" ht="15.75" customHeight="1" x14ac:dyDescent="0.3">
      <c r="A18" s="305"/>
      <c r="B18" s="13" t="s">
        <v>81</v>
      </c>
      <c r="C18" s="95">
        <v>246</v>
      </c>
      <c r="D18" s="95">
        <v>0.7</v>
      </c>
      <c r="E18" s="95">
        <v>256</v>
      </c>
      <c r="F18" s="95">
        <v>0.7</v>
      </c>
      <c r="G18" s="95">
        <v>266</v>
      </c>
      <c r="H18" s="95">
        <v>0.6</v>
      </c>
      <c r="I18" s="95">
        <v>291</v>
      </c>
      <c r="J18" s="123">
        <v>0.7</v>
      </c>
      <c r="K18" s="13">
        <v>306</v>
      </c>
      <c r="L18" s="35">
        <v>0.8</v>
      </c>
    </row>
    <row r="19" spans="1:12" ht="15.75" customHeight="1" x14ac:dyDescent="0.3">
      <c r="A19" s="305"/>
      <c r="B19" s="13" t="s">
        <v>82</v>
      </c>
      <c r="C19" s="95">
        <v>564</v>
      </c>
      <c r="D19" s="95">
        <v>1.5</v>
      </c>
      <c r="E19" s="95">
        <v>672</v>
      </c>
      <c r="F19" s="95">
        <v>1.7</v>
      </c>
      <c r="G19" s="95">
        <v>782</v>
      </c>
      <c r="H19" s="95">
        <v>1.9</v>
      </c>
      <c r="I19" s="95">
        <v>844</v>
      </c>
      <c r="J19" s="123">
        <v>2</v>
      </c>
      <c r="K19" s="13">
        <v>837</v>
      </c>
      <c r="L19" s="35">
        <v>2.1</v>
      </c>
    </row>
    <row r="20" spans="1:12" ht="15.75" customHeight="1" x14ac:dyDescent="0.3">
      <c r="A20" s="305"/>
      <c r="B20" s="13" t="s">
        <v>83</v>
      </c>
      <c r="C20" s="96">
        <v>11320</v>
      </c>
      <c r="D20" s="95">
        <v>30.4</v>
      </c>
      <c r="E20" s="96">
        <v>12494</v>
      </c>
      <c r="F20" s="95">
        <v>31.8</v>
      </c>
      <c r="G20" s="96">
        <v>13182</v>
      </c>
      <c r="H20" s="95">
        <v>32.1</v>
      </c>
      <c r="I20" s="96">
        <v>14583</v>
      </c>
      <c r="J20" s="123">
        <v>34.6</v>
      </c>
      <c r="K20" s="14">
        <v>14362</v>
      </c>
      <c r="L20" s="35">
        <v>36</v>
      </c>
    </row>
    <row r="21" spans="1:12" ht="15.75" customHeight="1" x14ac:dyDescent="0.3">
      <c r="A21" s="305"/>
      <c r="B21" s="13" t="s">
        <v>84</v>
      </c>
      <c r="C21" s="95">
        <v>38</v>
      </c>
      <c r="D21" s="95">
        <v>0.1</v>
      </c>
      <c r="E21" s="95">
        <v>41</v>
      </c>
      <c r="F21" s="95">
        <v>0.1</v>
      </c>
      <c r="G21" s="95">
        <v>42</v>
      </c>
      <c r="H21" s="95">
        <v>0.1</v>
      </c>
      <c r="I21" s="95">
        <v>48</v>
      </c>
      <c r="J21" s="123">
        <v>0.1</v>
      </c>
      <c r="K21" s="13">
        <v>38</v>
      </c>
      <c r="L21" s="35">
        <v>0.1</v>
      </c>
    </row>
    <row r="22" spans="1:12" ht="15.75" customHeight="1" x14ac:dyDescent="0.3">
      <c r="A22" s="305"/>
      <c r="B22" s="13" t="s">
        <v>85</v>
      </c>
      <c r="C22" s="96">
        <v>1397</v>
      </c>
      <c r="D22" s="95">
        <v>3.8</v>
      </c>
      <c r="E22" s="96">
        <v>1588</v>
      </c>
      <c r="F22" s="95">
        <v>4</v>
      </c>
      <c r="G22" s="96">
        <v>1937</v>
      </c>
      <c r="H22" s="95">
        <v>4.7</v>
      </c>
      <c r="I22" s="96">
        <v>1929</v>
      </c>
      <c r="J22" s="123">
        <v>4.5999999999999996</v>
      </c>
      <c r="K22" s="14">
        <v>1676</v>
      </c>
      <c r="L22" s="35">
        <v>4.2</v>
      </c>
    </row>
    <row r="23" spans="1:12" ht="15.75" customHeight="1" x14ac:dyDescent="0.3">
      <c r="A23" s="306"/>
      <c r="B23" s="29" t="s">
        <v>110</v>
      </c>
      <c r="C23" s="98">
        <v>37217</v>
      </c>
      <c r="D23" s="97">
        <v>100</v>
      </c>
      <c r="E23" s="98">
        <v>39276</v>
      </c>
      <c r="F23" s="97">
        <v>100</v>
      </c>
      <c r="G23" s="98">
        <v>41019</v>
      </c>
      <c r="H23" s="97">
        <v>100</v>
      </c>
      <c r="I23" s="98">
        <v>42201</v>
      </c>
      <c r="J23" s="125">
        <v>100</v>
      </c>
      <c r="K23" s="31">
        <v>39920</v>
      </c>
      <c r="L23" s="42">
        <v>100</v>
      </c>
    </row>
    <row r="24" spans="1:12" ht="15.75" customHeight="1" x14ac:dyDescent="0.3">
      <c r="A24" s="304" t="s">
        <v>324</v>
      </c>
      <c r="B24" s="13" t="s">
        <v>78</v>
      </c>
      <c r="C24" s="95">
        <v>779</v>
      </c>
      <c r="D24" s="95">
        <v>9.9</v>
      </c>
      <c r="E24" s="95">
        <v>793</v>
      </c>
      <c r="F24" s="95">
        <v>9.6</v>
      </c>
      <c r="G24" s="95">
        <v>810</v>
      </c>
      <c r="H24" s="95">
        <v>9.1999999999999993</v>
      </c>
      <c r="I24" s="95">
        <v>892</v>
      </c>
      <c r="J24" s="123">
        <v>9.5</v>
      </c>
      <c r="K24" s="13">
        <v>590</v>
      </c>
      <c r="L24" s="35">
        <v>6.6</v>
      </c>
    </row>
    <row r="25" spans="1:12" ht="15.75" customHeight="1" x14ac:dyDescent="0.3">
      <c r="A25" s="305"/>
      <c r="B25" s="13" t="s">
        <v>79</v>
      </c>
      <c r="C25" s="95">
        <v>546</v>
      </c>
      <c r="D25" s="95">
        <v>6.9</v>
      </c>
      <c r="E25" s="95">
        <v>613</v>
      </c>
      <c r="F25" s="95">
        <v>7.4</v>
      </c>
      <c r="G25" s="95">
        <v>664</v>
      </c>
      <c r="H25" s="95">
        <v>7.6</v>
      </c>
      <c r="I25" s="93">
        <v>695</v>
      </c>
      <c r="J25" s="123">
        <v>7.4</v>
      </c>
      <c r="K25" s="93">
        <v>687</v>
      </c>
      <c r="L25" s="35">
        <v>7.7</v>
      </c>
    </row>
    <row r="26" spans="1:12" ht="15.75" customHeight="1" x14ac:dyDescent="0.3">
      <c r="A26" s="305"/>
      <c r="B26" s="13" t="s">
        <v>80</v>
      </c>
      <c r="C26" s="96">
        <v>5397</v>
      </c>
      <c r="D26" s="95">
        <v>68.7</v>
      </c>
      <c r="E26" s="96">
        <v>5577</v>
      </c>
      <c r="F26" s="95">
        <v>67.8</v>
      </c>
      <c r="G26" s="96">
        <v>5910</v>
      </c>
      <c r="H26" s="95">
        <v>67.3</v>
      </c>
      <c r="I26" s="96">
        <v>6075</v>
      </c>
      <c r="J26" s="123">
        <v>65</v>
      </c>
      <c r="K26" s="14">
        <v>5768</v>
      </c>
      <c r="L26" s="35">
        <v>64.7</v>
      </c>
    </row>
    <row r="27" spans="1:12" ht="15.75" customHeight="1" x14ac:dyDescent="0.3">
      <c r="A27" s="305"/>
      <c r="B27" s="13" t="s">
        <v>81</v>
      </c>
      <c r="C27" s="95">
        <v>14</v>
      </c>
      <c r="D27" s="95">
        <v>0.2</v>
      </c>
      <c r="E27" s="95">
        <v>11</v>
      </c>
      <c r="F27" s="95">
        <v>0.1</v>
      </c>
      <c r="G27" s="95">
        <v>26</v>
      </c>
      <c r="H27" s="95">
        <v>0.3</v>
      </c>
      <c r="I27" s="95">
        <v>22</v>
      </c>
      <c r="J27" s="123">
        <v>0.2</v>
      </c>
      <c r="K27" s="13">
        <v>21</v>
      </c>
      <c r="L27" s="35">
        <v>0.2</v>
      </c>
    </row>
    <row r="28" spans="1:12" ht="15.75" customHeight="1" x14ac:dyDescent="0.3">
      <c r="A28" s="305"/>
      <c r="B28" s="13" t="s">
        <v>82</v>
      </c>
      <c r="C28" s="95">
        <v>29</v>
      </c>
      <c r="D28" s="95">
        <v>0.4</v>
      </c>
      <c r="E28" s="95">
        <v>37</v>
      </c>
      <c r="F28" s="95">
        <v>0.4</v>
      </c>
      <c r="G28" s="95">
        <v>33</v>
      </c>
      <c r="H28" s="95">
        <v>0.4</v>
      </c>
      <c r="I28" s="95">
        <v>46</v>
      </c>
      <c r="J28" s="123">
        <v>0.5</v>
      </c>
      <c r="K28" s="13">
        <v>32</v>
      </c>
      <c r="L28" s="35">
        <v>0.4</v>
      </c>
    </row>
    <row r="29" spans="1:12" ht="15.75" customHeight="1" x14ac:dyDescent="0.3">
      <c r="A29" s="305"/>
      <c r="B29" s="13" t="s">
        <v>83</v>
      </c>
      <c r="C29" s="96">
        <v>834</v>
      </c>
      <c r="D29" s="95">
        <v>10.6</v>
      </c>
      <c r="E29" s="95">
        <v>901</v>
      </c>
      <c r="F29" s="95">
        <v>10.9</v>
      </c>
      <c r="G29" s="95">
        <v>958</v>
      </c>
      <c r="H29" s="95">
        <v>10.9</v>
      </c>
      <c r="I29" s="95">
        <v>1196</v>
      </c>
      <c r="J29" s="123">
        <v>12.8</v>
      </c>
      <c r="K29" s="13">
        <v>1479</v>
      </c>
      <c r="L29" s="35">
        <v>16.600000000000001</v>
      </c>
    </row>
    <row r="30" spans="1:12" ht="15.75" customHeight="1" x14ac:dyDescent="0.3">
      <c r="A30" s="305"/>
      <c r="B30" s="13" t="s">
        <v>84</v>
      </c>
      <c r="C30" s="95">
        <v>18</v>
      </c>
      <c r="D30" s="95">
        <v>0.2</v>
      </c>
      <c r="E30" s="95">
        <v>15</v>
      </c>
      <c r="F30" s="95">
        <v>0.2</v>
      </c>
      <c r="G30" s="95">
        <v>17</v>
      </c>
      <c r="H30" s="95">
        <v>0.2</v>
      </c>
      <c r="I30" s="95">
        <v>22</v>
      </c>
      <c r="J30" s="123">
        <v>0.2</v>
      </c>
      <c r="K30" s="13">
        <v>17</v>
      </c>
      <c r="L30" s="35">
        <v>0.2</v>
      </c>
    </row>
    <row r="31" spans="1:12" ht="15.75" customHeight="1" x14ac:dyDescent="0.3">
      <c r="A31" s="305"/>
      <c r="B31" s="13" t="s">
        <v>85</v>
      </c>
      <c r="C31" s="95">
        <v>241</v>
      </c>
      <c r="D31" s="95">
        <v>3.1</v>
      </c>
      <c r="E31" s="95">
        <v>282</v>
      </c>
      <c r="F31" s="95">
        <v>3.4</v>
      </c>
      <c r="G31" s="95">
        <v>360</v>
      </c>
      <c r="H31" s="95">
        <v>4.0999999999999996</v>
      </c>
      <c r="I31" s="95">
        <v>395</v>
      </c>
      <c r="J31" s="123">
        <v>4.2</v>
      </c>
      <c r="K31" s="13">
        <v>324</v>
      </c>
      <c r="L31" s="35">
        <v>3.6</v>
      </c>
    </row>
    <row r="32" spans="1:12" ht="15.75" customHeight="1" x14ac:dyDescent="0.3">
      <c r="A32" s="306"/>
      <c r="B32" s="29" t="s">
        <v>110</v>
      </c>
      <c r="C32" s="98">
        <v>7858</v>
      </c>
      <c r="D32" s="97">
        <v>100</v>
      </c>
      <c r="E32" s="98">
        <v>8229</v>
      </c>
      <c r="F32" s="97">
        <v>100</v>
      </c>
      <c r="G32" s="98">
        <v>8778</v>
      </c>
      <c r="H32" s="97">
        <v>100</v>
      </c>
      <c r="I32" s="98">
        <v>9343</v>
      </c>
      <c r="J32" s="125">
        <v>100</v>
      </c>
      <c r="K32" s="98">
        <v>8918</v>
      </c>
      <c r="L32" s="42">
        <v>100</v>
      </c>
    </row>
    <row r="34" spans="1:12" x14ac:dyDescent="0.3">
      <c r="A34" t="s">
        <v>1340</v>
      </c>
    </row>
    <row r="35" spans="1:12" x14ac:dyDescent="0.3">
      <c r="A35" t="s">
        <v>333</v>
      </c>
    </row>
    <row r="37" spans="1:12" x14ac:dyDescent="0.3">
      <c r="C37" s="86"/>
      <c r="D37" s="86"/>
      <c r="E37" s="86"/>
      <c r="F37" s="86"/>
      <c r="G37" s="86"/>
      <c r="H37" s="86"/>
      <c r="I37" s="86"/>
      <c r="J37" s="86"/>
      <c r="K37" s="86"/>
      <c r="L37" s="86"/>
    </row>
    <row r="38" spans="1:12" x14ac:dyDescent="0.3">
      <c r="C38" s="86"/>
      <c r="D38" s="86"/>
      <c r="E38" s="86"/>
      <c r="F38" s="86"/>
      <c r="G38" s="86"/>
      <c r="H38" s="86"/>
      <c r="I38" s="86"/>
      <c r="J38" s="86"/>
      <c r="K38" s="86"/>
      <c r="L38" s="86"/>
    </row>
    <row r="39" spans="1:12" x14ac:dyDescent="0.3">
      <c r="C39" s="86"/>
      <c r="D39" s="86"/>
      <c r="E39" s="86"/>
      <c r="F39" s="86"/>
      <c r="G39" s="86"/>
      <c r="H39" s="86"/>
      <c r="I39" s="86"/>
      <c r="J39" s="86"/>
      <c r="K39" s="86"/>
      <c r="L39" s="86"/>
    </row>
    <row r="40" spans="1:12" x14ac:dyDescent="0.3">
      <c r="C40" s="86"/>
      <c r="D40" s="86"/>
      <c r="E40" s="86"/>
      <c r="F40" s="86"/>
      <c r="G40" s="86"/>
      <c r="H40" s="86"/>
      <c r="I40" s="86"/>
      <c r="J40" s="86"/>
      <c r="K40" s="86"/>
      <c r="L40" s="86"/>
    </row>
    <row r="41" spans="1:12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</row>
    <row r="42" spans="1:12" x14ac:dyDescent="0.3">
      <c r="C42" s="86"/>
      <c r="D42" s="86"/>
      <c r="E42" s="86"/>
      <c r="F42" s="86"/>
      <c r="G42" s="86"/>
      <c r="H42" s="86"/>
      <c r="I42" s="86"/>
      <c r="J42" s="86"/>
      <c r="K42" s="86"/>
      <c r="L42" s="86"/>
    </row>
    <row r="43" spans="1:12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</row>
    <row r="44" spans="1:12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</row>
    <row r="45" spans="1:12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</row>
    <row r="46" spans="1:12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</row>
    <row r="47" spans="1:12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</row>
    <row r="48" spans="1:12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3:12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</row>
    <row r="50" spans="3:12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</row>
    <row r="51" spans="3:12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</row>
    <row r="52" spans="3:12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</row>
    <row r="53" spans="3:12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</row>
    <row r="54" spans="3:12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</row>
    <row r="55" spans="3:12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</row>
    <row r="56" spans="3:12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</row>
    <row r="57" spans="3:12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</row>
    <row r="58" spans="3:12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</row>
    <row r="59" spans="3:12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</row>
    <row r="60" spans="3:12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</row>
    <row r="61" spans="3:12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</row>
    <row r="62" spans="3:12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</row>
    <row r="63" spans="3:12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</row>
  </sheetData>
  <mergeCells count="9">
    <mergeCell ref="I4:J4"/>
    <mergeCell ref="K4:L4"/>
    <mergeCell ref="A6:A14"/>
    <mergeCell ref="A15:A23"/>
    <mergeCell ref="A24:A32"/>
    <mergeCell ref="A4:B5"/>
    <mergeCell ref="G4:H4"/>
    <mergeCell ref="E4:F4"/>
    <mergeCell ref="C4:D4"/>
  </mergeCells>
  <phoneticPr fontId="1" type="noConversion"/>
  <conditionalFormatting sqref="C6:L32">
    <cfRule type="expression" dxfId="11" priority="3">
      <formula>NOT(C6=#REF!)</formula>
    </cfRule>
  </conditionalFormatting>
  <hyperlinks>
    <hyperlink ref="I1" location="목차!A1" display="목차" xr:uid="{00000000-0004-0000-3500-000000000000}"/>
  </hyperlinks>
  <pageMargins left="0.7" right="0.7" top="0.75" bottom="0.75" header="0.3" footer="0.3"/>
  <pageSetup paperSize="9" orientation="portrait" copies="16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 tint="-4.9989318521683403E-2"/>
  </sheetPr>
  <dimension ref="A1:Q16"/>
  <sheetViews>
    <sheetView zoomScale="70" zoomScaleNormal="70" workbookViewId="0">
      <selection activeCell="A12" sqref="A12"/>
    </sheetView>
  </sheetViews>
  <sheetFormatPr defaultRowHeight="16.5" x14ac:dyDescent="0.3"/>
  <sheetData>
    <row r="1" spans="1:17" ht="17.25" x14ac:dyDescent="0.3">
      <c r="A1" s="7" t="s">
        <v>429</v>
      </c>
      <c r="B1" s="6"/>
      <c r="C1" s="6"/>
      <c r="D1" s="6"/>
      <c r="E1" s="2"/>
      <c r="F1" s="2"/>
      <c r="G1" s="9"/>
      <c r="H1" s="72" t="s">
        <v>368</v>
      </c>
    </row>
    <row r="3" spans="1:17" x14ac:dyDescent="0.3">
      <c r="Q3" s="5" t="s">
        <v>339</v>
      </c>
    </row>
    <row r="4" spans="1:17" ht="33" x14ac:dyDescent="0.3">
      <c r="A4" s="342" t="s">
        <v>139</v>
      </c>
      <c r="B4" s="340" t="s">
        <v>8</v>
      </c>
      <c r="C4" s="359"/>
      <c r="D4" s="342"/>
      <c r="E4" s="340" t="s">
        <v>9</v>
      </c>
      <c r="F4" s="359"/>
      <c r="G4" s="342"/>
      <c r="H4" s="340" t="s">
        <v>10</v>
      </c>
      <c r="I4" s="359"/>
      <c r="J4" s="342"/>
      <c r="K4" s="340" t="s">
        <v>369</v>
      </c>
      <c r="L4" s="359"/>
      <c r="M4" s="342"/>
      <c r="N4" s="340" t="s">
        <v>402</v>
      </c>
      <c r="O4" s="359"/>
      <c r="P4" s="342"/>
      <c r="Q4" s="44" t="s">
        <v>338</v>
      </c>
    </row>
    <row r="5" spans="1:17" ht="33.75" thickBot="1" x14ac:dyDescent="0.35">
      <c r="A5" s="342"/>
      <c r="B5" s="335"/>
      <c r="C5" s="336"/>
      <c r="D5" s="345"/>
      <c r="E5" s="335"/>
      <c r="F5" s="336"/>
      <c r="G5" s="345"/>
      <c r="H5" s="335"/>
      <c r="I5" s="336"/>
      <c r="J5" s="345"/>
      <c r="K5" s="335"/>
      <c r="L5" s="336"/>
      <c r="M5" s="345"/>
      <c r="N5" s="335"/>
      <c r="O5" s="336"/>
      <c r="P5" s="345"/>
      <c r="Q5" s="44" t="s">
        <v>337</v>
      </c>
    </row>
    <row r="6" spans="1:17" ht="33.75" thickTop="1" x14ac:dyDescent="0.3">
      <c r="A6" s="342"/>
      <c r="B6" s="357" t="s">
        <v>332</v>
      </c>
      <c r="C6" s="357" t="s">
        <v>357</v>
      </c>
      <c r="D6" s="357" t="s">
        <v>338</v>
      </c>
      <c r="E6" s="357" t="s">
        <v>332</v>
      </c>
      <c r="F6" s="357" t="s">
        <v>357</v>
      </c>
      <c r="G6" s="357" t="s">
        <v>338</v>
      </c>
      <c r="H6" s="357" t="s">
        <v>332</v>
      </c>
      <c r="I6" s="357" t="s">
        <v>357</v>
      </c>
      <c r="J6" s="357" t="s">
        <v>338</v>
      </c>
      <c r="K6" s="357" t="s">
        <v>332</v>
      </c>
      <c r="L6" s="357" t="s">
        <v>357</v>
      </c>
      <c r="M6" s="357" t="s">
        <v>338</v>
      </c>
      <c r="N6" s="357" t="s">
        <v>332</v>
      </c>
      <c r="O6" s="357" t="s">
        <v>357</v>
      </c>
      <c r="P6" s="357" t="s">
        <v>338</v>
      </c>
      <c r="Q6" s="44" t="s">
        <v>401</v>
      </c>
    </row>
    <row r="7" spans="1:17" x14ac:dyDescent="0.3">
      <c r="A7" s="342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52"/>
    </row>
    <row r="8" spans="1:17" x14ac:dyDescent="0.3">
      <c r="A8" s="26" t="s">
        <v>335</v>
      </c>
      <c r="B8" s="127">
        <v>36777</v>
      </c>
      <c r="C8" s="127">
        <v>143717</v>
      </c>
      <c r="D8" s="126">
        <v>3.91</v>
      </c>
      <c r="E8" s="127">
        <v>38783</v>
      </c>
      <c r="F8" s="127">
        <v>168119</v>
      </c>
      <c r="G8" s="126">
        <v>4.33</v>
      </c>
      <c r="H8" s="127">
        <v>40337</v>
      </c>
      <c r="I8" s="127">
        <v>191888</v>
      </c>
      <c r="J8" s="126">
        <v>4.76</v>
      </c>
      <c r="K8" s="103">
        <v>41502</v>
      </c>
      <c r="L8" s="103">
        <v>208613</v>
      </c>
      <c r="M8" s="104">
        <v>5.03</v>
      </c>
      <c r="N8" s="103">
        <v>39191</v>
      </c>
      <c r="O8" s="103">
        <v>218704</v>
      </c>
      <c r="P8" s="104">
        <v>5.58</v>
      </c>
      <c r="Q8" s="144">
        <f>RATE(4,0,-D8,P8)</f>
        <v>9.2985399152734752E-2</v>
      </c>
    </row>
    <row r="9" spans="1:17" x14ac:dyDescent="0.3">
      <c r="A9" s="36" t="s">
        <v>334</v>
      </c>
      <c r="B9" s="96">
        <v>7801</v>
      </c>
      <c r="C9" s="96">
        <v>16729</v>
      </c>
      <c r="D9" s="95">
        <v>2.14</v>
      </c>
      <c r="E9" s="96">
        <v>8154</v>
      </c>
      <c r="F9" s="96">
        <v>18327</v>
      </c>
      <c r="G9" s="95">
        <v>2.25</v>
      </c>
      <c r="H9" s="96">
        <v>8688</v>
      </c>
      <c r="I9" s="96">
        <v>18856</v>
      </c>
      <c r="J9" s="95">
        <v>2.17</v>
      </c>
      <c r="K9" s="94">
        <v>9264</v>
      </c>
      <c r="L9" s="94">
        <v>20887</v>
      </c>
      <c r="M9" s="93">
        <v>2.25</v>
      </c>
      <c r="N9" s="94">
        <v>8849</v>
      </c>
      <c r="O9" s="94">
        <v>23330</v>
      </c>
      <c r="P9" s="93">
        <v>2.64</v>
      </c>
      <c r="Q9" s="144">
        <f>RATE(4,0,-D9,P9)</f>
        <v>5.3895471478745856E-2</v>
      </c>
    </row>
    <row r="10" spans="1:17" x14ac:dyDescent="0.3">
      <c r="A10" s="41" t="s">
        <v>212</v>
      </c>
      <c r="B10" s="98">
        <v>44578</v>
      </c>
      <c r="C10" s="98">
        <v>160446</v>
      </c>
      <c r="D10" s="97">
        <v>3.6</v>
      </c>
      <c r="E10" s="98">
        <v>46937</v>
      </c>
      <c r="F10" s="98">
        <v>186446</v>
      </c>
      <c r="G10" s="97">
        <v>3.97</v>
      </c>
      <c r="H10" s="98">
        <v>49025</v>
      </c>
      <c r="I10" s="98">
        <v>210744</v>
      </c>
      <c r="J10" s="97">
        <v>4.3</v>
      </c>
      <c r="K10" s="98">
        <v>50766</v>
      </c>
      <c r="L10" s="98">
        <v>229500</v>
      </c>
      <c r="M10" s="97">
        <v>4.5199999999999996</v>
      </c>
      <c r="N10" s="98">
        <v>48040</v>
      </c>
      <c r="O10" s="31">
        <v>242034</v>
      </c>
      <c r="P10" s="29">
        <v>5.04</v>
      </c>
      <c r="Q10" s="143">
        <f>RATE(4,0,-D10,P10)</f>
        <v>8.7757305937283606E-2</v>
      </c>
    </row>
    <row r="12" spans="1:17" x14ac:dyDescent="0.3">
      <c r="A12" t="s">
        <v>1340</v>
      </c>
    </row>
    <row r="14" spans="1:17" x14ac:dyDescent="0.3"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</row>
    <row r="15" spans="1:17" x14ac:dyDescent="0.3"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</row>
    <row r="16" spans="1:17" x14ac:dyDescent="0.3"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</row>
  </sheetData>
  <mergeCells count="21">
    <mergeCell ref="F6:F7"/>
    <mergeCell ref="G6:G7"/>
    <mergeCell ref="B6:B7"/>
    <mergeCell ref="C6:C7"/>
    <mergeCell ref="D6:D7"/>
    <mergeCell ref="N4:P5"/>
    <mergeCell ref="O6:O7"/>
    <mergeCell ref="P6:P7"/>
    <mergeCell ref="N6:N7"/>
    <mergeCell ref="A4:A7"/>
    <mergeCell ref="K4:M5"/>
    <mergeCell ref="L6:L7"/>
    <mergeCell ref="M6:M7"/>
    <mergeCell ref="K6:K7"/>
    <mergeCell ref="B4:D5"/>
    <mergeCell ref="H4:J5"/>
    <mergeCell ref="E4:G5"/>
    <mergeCell ref="H6:H7"/>
    <mergeCell ref="I6:I7"/>
    <mergeCell ref="J6:J7"/>
    <mergeCell ref="E6:E7"/>
  </mergeCells>
  <phoneticPr fontId="1" type="noConversion"/>
  <conditionalFormatting sqref="B8:Q10">
    <cfRule type="expression" dxfId="10" priority="2">
      <formula>NOT(B8=#REF!)</formula>
    </cfRule>
  </conditionalFormatting>
  <hyperlinks>
    <hyperlink ref="H1" location="목차!A1" display="목차" xr:uid="{00000000-0004-0000-3600-000000000000}"/>
  </hyperlinks>
  <pageMargins left="0.7" right="0.7" top="0.75" bottom="0.75" header="0.3" footer="0.3"/>
  <pageSetup paperSize="9" orientation="portrait" copies="16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 tint="-4.9989318521683403E-2"/>
  </sheetPr>
  <dimension ref="A1:Q21"/>
  <sheetViews>
    <sheetView zoomScale="70" zoomScaleNormal="70" workbookViewId="0">
      <selection activeCell="B8" sqref="B8:Q11"/>
    </sheetView>
  </sheetViews>
  <sheetFormatPr defaultRowHeight="16.5" x14ac:dyDescent="0.3"/>
  <cols>
    <col min="16" max="16" width="8.375" customWidth="1"/>
  </cols>
  <sheetData>
    <row r="1" spans="1:17" ht="17.25" x14ac:dyDescent="0.3">
      <c r="A1" s="7" t="s">
        <v>430</v>
      </c>
      <c r="B1" s="6"/>
      <c r="C1" s="6"/>
      <c r="D1" s="6"/>
      <c r="E1" s="2"/>
      <c r="F1" s="2"/>
      <c r="H1" s="72" t="s">
        <v>368</v>
      </c>
    </row>
    <row r="3" spans="1:17" x14ac:dyDescent="0.3">
      <c r="Q3" s="5" t="s">
        <v>339</v>
      </c>
    </row>
    <row r="4" spans="1:17" ht="33" x14ac:dyDescent="0.3">
      <c r="A4" s="342" t="s">
        <v>139</v>
      </c>
      <c r="B4" s="340" t="s">
        <v>8</v>
      </c>
      <c r="C4" s="359"/>
      <c r="D4" s="342"/>
      <c r="E4" s="340" t="s">
        <v>9</v>
      </c>
      <c r="F4" s="359"/>
      <c r="G4" s="342"/>
      <c r="H4" s="340" t="s">
        <v>10</v>
      </c>
      <c r="I4" s="359"/>
      <c r="J4" s="342"/>
      <c r="K4" s="340" t="s">
        <v>369</v>
      </c>
      <c r="L4" s="359"/>
      <c r="M4" s="342"/>
      <c r="N4" s="340" t="s">
        <v>402</v>
      </c>
      <c r="O4" s="359"/>
      <c r="P4" s="342"/>
      <c r="Q4" s="44" t="s">
        <v>338</v>
      </c>
    </row>
    <row r="5" spans="1:17" ht="33.75" thickBot="1" x14ac:dyDescent="0.35">
      <c r="A5" s="342"/>
      <c r="B5" s="335"/>
      <c r="C5" s="336"/>
      <c r="D5" s="345"/>
      <c r="E5" s="335"/>
      <c r="F5" s="336"/>
      <c r="G5" s="345"/>
      <c r="H5" s="335"/>
      <c r="I5" s="336"/>
      <c r="J5" s="345"/>
      <c r="K5" s="335"/>
      <c r="L5" s="336"/>
      <c r="M5" s="345"/>
      <c r="N5" s="335"/>
      <c r="O5" s="336"/>
      <c r="P5" s="345"/>
      <c r="Q5" s="44" t="s">
        <v>337</v>
      </c>
    </row>
    <row r="6" spans="1:17" ht="33.75" thickTop="1" x14ac:dyDescent="0.3">
      <c r="A6" s="342"/>
      <c r="B6" s="357" t="s">
        <v>332</v>
      </c>
      <c r="C6" s="357" t="s">
        <v>357</v>
      </c>
      <c r="D6" s="357" t="s">
        <v>338</v>
      </c>
      <c r="E6" s="357" t="s">
        <v>332</v>
      </c>
      <c r="F6" s="357" t="s">
        <v>357</v>
      </c>
      <c r="G6" s="357" t="s">
        <v>338</v>
      </c>
      <c r="H6" s="357" t="s">
        <v>332</v>
      </c>
      <c r="I6" s="357" t="s">
        <v>357</v>
      </c>
      <c r="J6" s="357" t="s">
        <v>338</v>
      </c>
      <c r="K6" s="357" t="s">
        <v>332</v>
      </c>
      <c r="L6" s="357" t="s">
        <v>357</v>
      </c>
      <c r="M6" s="357" t="s">
        <v>338</v>
      </c>
      <c r="N6" s="357" t="s">
        <v>332</v>
      </c>
      <c r="O6" s="357" t="s">
        <v>357</v>
      </c>
      <c r="P6" s="357" t="s">
        <v>338</v>
      </c>
      <c r="Q6" s="107" t="s">
        <v>401</v>
      </c>
    </row>
    <row r="7" spans="1:17" x14ac:dyDescent="0.3">
      <c r="A7" s="342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52"/>
    </row>
    <row r="8" spans="1:17" x14ac:dyDescent="0.3">
      <c r="A8" s="26" t="s">
        <v>335</v>
      </c>
      <c r="B8" s="127">
        <v>7115</v>
      </c>
      <c r="C8" s="127">
        <v>9905</v>
      </c>
      <c r="D8" s="126">
        <v>1.39</v>
      </c>
      <c r="E8" s="127">
        <v>7539</v>
      </c>
      <c r="F8" s="127">
        <v>13309</v>
      </c>
      <c r="G8" s="126">
        <v>1.77</v>
      </c>
      <c r="H8" s="127">
        <v>7956</v>
      </c>
      <c r="I8" s="127">
        <v>13355</v>
      </c>
      <c r="J8" s="126">
        <v>1.68</v>
      </c>
      <c r="K8" s="127">
        <v>8253</v>
      </c>
      <c r="L8" s="103">
        <v>16562</v>
      </c>
      <c r="M8" s="104">
        <v>2.0099999999999998</v>
      </c>
      <c r="N8" s="12">
        <v>7671</v>
      </c>
      <c r="O8" s="103">
        <v>16421</v>
      </c>
      <c r="P8" s="104">
        <v>2.14</v>
      </c>
      <c r="Q8" s="144">
        <f>RATE(4,0,-D8,P8)</f>
        <v>0.11390907788066174</v>
      </c>
    </row>
    <row r="9" spans="1:17" x14ac:dyDescent="0.3">
      <c r="A9" s="36" t="s">
        <v>334</v>
      </c>
      <c r="B9" s="96">
        <v>3042</v>
      </c>
      <c r="C9" s="96">
        <v>2367</v>
      </c>
      <c r="D9" s="95">
        <v>0.78</v>
      </c>
      <c r="E9" s="96">
        <v>3116</v>
      </c>
      <c r="F9" s="96">
        <v>2955</v>
      </c>
      <c r="G9" s="95">
        <v>0.95</v>
      </c>
      <c r="H9" s="96">
        <v>3308</v>
      </c>
      <c r="I9" s="96">
        <v>3333</v>
      </c>
      <c r="J9" s="95">
        <v>1.01</v>
      </c>
      <c r="K9" s="96">
        <v>3466</v>
      </c>
      <c r="L9" s="96">
        <v>4633</v>
      </c>
      <c r="M9" s="95">
        <v>1.34</v>
      </c>
      <c r="N9" s="14">
        <v>3126</v>
      </c>
      <c r="O9" s="14">
        <v>4713</v>
      </c>
      <c r="P9" s="13">
        <v>1.51</v>
      </c>
      <c r="Q9" s="144">
        <f>RATE(4,0,-D9,P9)</f>
        <v>0.1795614920818896</v>
      </c>
    </row>
    <row r="10" spans="1:17" x14ac:dyDescent="0.3">
      <c r="A10" s="41" t="s">
        <v>110</v>
      </c>
      <c r="B10" s="98">
        <v>10157</v>
      </c>
      <c r="C10" s="98">
        <v>12272</v>
      </c>
      <c r="D10" s="97">
        <v>1.21</v>
      </c>
      <c r="E10" s="98">
        <v>10655</v>
      </c>
      <c r="F10" s="98">
        <v>16263</v>
      </c>
      <c r="G10" s="97">
        <v>1.53</v>
      </c>
      <c r="H10" s="98">
        <v>11264</v>
      </c>
      <c r="I10" s="98">
        <v>16689</v>
      </c>
      <c r="J10" s="97">
        <v>1.48</v>
      </c>
      <c r="K10" s="98">
        <v>11719</v>
      </c>
      <c r="L10" s="98">
        <v>21195</v>
      </c>
      <c r="M10" s="97">
        <v>1.81</v>
      </c>
      <c r="N10" s="31">
        <v>10797</v>
      </c>
      <c r="O10" s="98">
        <v>21133</v>
      </c>
      <c r="P10" s="97">
        <v>1.96</v>
      </c>
      <c r="Q10" s="145">
        <f>RATE(4,0,-D10,P10)</f>
        <v>0.12815214963962226</v>
      </c>
    </row>
    <row r="11" spans="1:17" x14ac:dyDescent="0.3">
      <c r="A11" s="41" t="s">
        <v>340</v>
      </c>
      <c r="B11" s="98">
        <v>44578</v>
      </c>
      <c r="C11" s="98">
        <v>160446</v>
      </c>
      <c r="D11" s="97">
        <v>3.6</v>
      </c>
      <c r="E11" s="98">
        <v>46937</v>
      </c>
      <c r="F11" s="98">
        <v>186446</v>
      </c>
      <c r="G11" s="97">
        <v>3.97</v>
      </c>
      <c r="H11" s="98">
        <v>49025</v>
      </c>
      <c r="I11" s="98">
        <v>210744</v>
      </c>
      <c r="J11" s="97">
        <v>4.3</v>
      </c>
      <c r="K11" s="98">
        <v>50766</v>
      </c>
      <c r="L11" s="98">
        <v>229500</v>
      </c>
      <c r="M11" s="97">
        <v>4.5199999999999996</v>
      </c>
      <c r="N11" s="98">
        <v>48040</v>
      </c>
      <c r="O11" s="31">
        <v>242034</v>
      </c>
      <c r="P11" s="29">
        <v>5.04</v>
      </c>
      <c r="Q11" s="145">
        <f>RATE(4,0,-D11,P11)</f>
        <v>8.7757305937283606E-2</v>
      </c>
    </row>
    <row r="13" spans="1:17" x14ac:dyDescent="0.3">
      <c r="A13" t="s">
        <v>1340</v>
      </c>
    </row>
    <row r="14" spans="1:17" x14ac:dyDescent="0.3">
      <c r="A14" t="s">
        <v>392</v>
      </c>
    </row>
    <row r="15" spans="1:17" x14ac:dyDescent="0.3">
      <c r="A15" t="s">
        <v>391</v>
      </c>
    </row>
    <row r="18" spans="2:17" x14ac:dyDescent="0.3"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</row>
    <row r="19" spans="2:17" x14ac:dyDescent="0.3"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spans="2:17" x14ac:dyDescent="0.3"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</row>
    <row r="21" spans="2:17" x14ac:dyDescent="0.3"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</sheetData>
  <mergeCells count="21">
    <mergeCell ref="F6:F7"/>
    <mergeCell ref="G6:G7"/>
    <mergeCell ref="B6:B7"/>
    <mergeCell ref="C6:C7"/>
    <mergeCell ref="D6:D7"/>
    <mergeCell ref="N4:P5"/>
    <mergeCell ref="O6:O7"/>
    <mergeCell ref="P6:P7"/>
    <mergeCell ref="N6:N7"/>
    <mergeCell ref="A4:A7"/>
    <mergeCell ref="K4:M5"/>
    <mergeCell ref="L6:L7"/>
    <mergeCell ref="M6:M7"/>
    <mergeCell ref="K6:K7"/>
    <mergeCell ref="H4:J5"/>
    <mergeCell ref="E4:G5"/>
    <mergeCell ref="B4:D5"/>
    <mergeCell ref="H6:H7"/>
    <mergeCell ref="I6:I7"/>
    <mergeCell ref="J6:J7"/>
    <mergeCell ref="E6:E7"/>
  </mergeCells>
  <phoneticPr fontId="1" type="noConversion"/>
  <conditionalFormatting sqref="Q8:Q9">
    <cfRule type="expression" dxfId="9" priority="3">
      <formula>NOT(Q8=#REF!)</formula>
    </cfRule>
  </conditionalFormatting>
  <hyperlinks>
    <hyperlink ref="H1" location="목차!A1" display="목차" xr:uid="{00000000-0004-0000-3700-000000000000}"/>
  </hyperlinks>
  <pageMargins left="0.7" right="0.7" top="0.75" bottom="0.75" header="0.3" footer="0.3"/>
  <pageSetup paperSize="9" orientation="portrait" copies="16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 tint="-4.9989318521683403E-2"/>
  </sheetPr>
  <dimension ref="A1:P31"/>
  <sheetViews>
    <sheetView zoomScale="70" zoomScaleNormal="70" workbookViewId="0">
      <selection activeCell="A7" sqref="A7:P16"/>
    </sheetView>
  </sheetViews>
  <sheetFormatPr defaultRowHeight="16.5" x14ac:dyDescent="0.3"/>
  <cols>
    <col min="1" max="1" width="22.375" customWidth="1"/>
    <col min="13" max="13" width="13.5" bestFit="1" customWidth="1"/>
    <col min="16" max="16" width="13.5" bestFit="1" customWidth="1"/>
  </cols>
  <sheetData>
    <row r="1" spans="1:16" ht="17.25" x14ac:dyDescent="0.3">
      <c r="A1" s="7" t="s">
        <v>431</v>
      </c>
      <c r="B1" s="6"/>
      <c r="C1" s="6"/>
      <c r="D1" s="6"/>
      <c r="E1" s="2"/>
      <c r="F1" s="2"/>
      <c r="H1" s="72" t="s">
        <v>368</v>
      </c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5" t="s">
        <v>339</v>
      </c>
    </row>
    <row r="4" spans="1:16" ht="17.25" thickBot="1" x14ac:dyDescent="0.35">
      <c r="A4" s="342" t="s">
        <v>0</v>
      </c>
      <c r="B4" s="335" t="s">
        <v>8</v>
      </c>
      <c r="C4" s="336"/>
      <c r="D4" s="345"/>
      <c r="E4" s="335" t="s">
        <v>9</v>
      </c>
      <c r="F4" s="336"/>
      <c r="G4" s="345"/>
      <c r="H4" s="335" t="s">
        <v>10</v>
      </c>
      <c r="I4" s="336"/>
      <c r="J4" s="345"/>
      <c r="K4" s="335" t="s">
        <v>369</v>
      </c>
      <c r="L4" s="336"/>
      <c r="M4" s="336"/>
      <c r="N4" s="335" t="s">
        <v>402</v>
      </c>
      <c r="O4" s="336"/>
      <c r="P4" s="336"/>
    </row>
    <row r="5" spans="1:16" ht="17.25" thickTop="1" x14ac:dyDescent="0.3">
      <c r="A5" s="342"/>
      <c r="B5" s="357" t="s">
        <v>332</v>
      </c>
      <c r="C5" s="357" t="s">
        <v>77</v>
      </c>
      <c r="D5" s="283" t="s">
        <v>336</v>
      </c>
      <c r="E5" s="357" t="s">
        <v>332</v>
      </c>
      <c r="F5" s="357" t="s">
        <v>77</v>
      </c>
      <c r="G5" s="283" t="s">
        <v>336</v>
      </c>
      <c r="H5" s="357" t="s">
        <v>332</v>
      </c>
      <c r="I5" s="357" t="s">
        <v>77</v>
      </c>
      <c r="J5" s="283" t="s">
        <v>336</v>
      </c>
      <c r="K5" s="357" t="s">
        <v>332</v>
      </c>
      <c r="L5" s="357" t="s">
        <v>77</v>
      </c>
      <c r="M5" s="129" t="s">
        <v>336</v>
      </c>
      <c r="N5" s="357" t="s">
        <v>332</v>
      </c>
      <c r="O5" s="357" t="s">
        <v>77</v>
      </c>
      <c r="P5" s="40" t="s">
        <v>336</v>
      </c>
    </row>
    <row r="6" spans="1:16" x14ac:dyDescent="0.3">
      <c r="A6" s="342"/>
      <c r="B6" s="341"/>
      <c r="C6" s="341"/>
      <c r="D6" s="282" t="s">
        <v>88</v>
      </c>
      <c r="E6" s="341"/>
      <c r="F6" s="341"/>
      <c r="G6" s="282" t="s">
        <v>88</v>
      </c>
      <c r="H6" s="341"/>
      <c r="I6" s="341"/>
      <c r="J6" s="282" t="s">
        <v>88</v>
      </c>
      <c r="K6" s="341"/>
      <c r="L6" s="341"/>
      <c r="M6" s="128" t="s">
        <v>88</v>
      </c>
      <c r="N6" s="341"/>
      <c r="O6" s="341"/>
      <c r="P6" s="44" t="s">
        <v>88</v>
      </c>
    </row>
    <row r="7" spans="1:16" x14ac:dyDescent="0.3">
      <c r="A7" s="26" t="s">
        <v>80</v>
      </c>
      <c r="B7" s="229">
        <v>24067</v>
      </c>
      <c r="C7" s="229">
        <v>42479</v>
      </c>
      <c r="D7" s="244">
        <v>1.8</v>
      </c>
      <c r="E7" s="229">
        <v>24659</v>
      </c>
      <c r="F7" s="229">
        <v>49162</v>
      </c>
      <c r="G7" s="244">
        <v>2</v>
      </c>
      <c r="H7" s="229">
        <v>25588</v>
      </c>
      <c r="I7" s="229">
        <v>54858</v>
      </c>
      <c r="J7" s="244">
        <v>2.1</v>
      </c>
      <c r="K7" s="229">
        <v>25436</v>
      </c>
      <c r="L7" s="229">
        <v>60579</v>
      </c>
      <c r="M7" s="246">
        <v>2.4</v>
      </c>
      <c r="N7" s="229">
        <v>23859</v>
      </c>
      <c r="O7" s="229">
        <v>64224</v>
      </c>
      <c r="P7" s="246">
        <v>2.7</v>
      </c>
    </row>
    <row r="8" spans="1:16" x14ac:dyDescent="0.3">
      <c r="A8" s="36" t="s">
        <v>98</v>
      </c>
      <c r="B8" s="212">
        <v>2760</v>
      </c>
      <c r="C8" s="212">
        <v>39476</v>
      </c>
      <c r="D8" s="245">
        <v>14.3</v>
      </c>
      <c r="E8" s="212">
        <v>2909</v>
      </c>
      <c r="F8" s="212">
        <v>41979</v>
      </c>
      <c r="G8" s="245">
        <v>14.4</v>
      </c>
      <c r="H8" s="212">
        <v>3074</v>
      </c>
      <c r="I8" s="212">
        <v>44748</v>
      </c>
      <c r="J8" s="245">
        <v>14.6</v>
      </c>
      <c r="K8" s="241">
        <v>3017</v>
      </c>
      <c r="L8" s="212">
        <v>48513</v>
      </c>
      <c r="M8" s="246">
        <v>16.100000000000001</v>
      </c>
      <c r="N8" s="241">
        <v>2884</v>
      </c>
      <c r="O8" s="212">
        <v>50826</v>
      </c>
      <c r="P8" s="246">
        <v>17.600000000000001</v>
      </c>
    </row>
    <row r="9" spans="1:16" x14ac:dyDescent="0.3">
      <c r="A9" s="36" t="s">
        <v>99</v>
      </c>
      <c r="B9" s="212">
        <v>1263</v>
      </c>
      <c r="C9" s="212">
        <v>17477</v>
      </c>
      <c r="D9" s="245">
        <v>13.8</v>
      </c>
      <c r="E9" s="212">
        <v>1335</v>
      </c>
      <c r="F9" s="212">
        <v>18892</v>
      </c>
      <c r="G9" s="245">
        <v>14.2</v>
      </c>
      <c r="H9" s="212">
        <v>1256</v>
      </c>
      <c r="I9" s="212">
        <v>20263</v>
      </c>
      <c r="J9" s="245">
        <v>16.100000000000001</v>
      </c>
      <c r="K9" s="212">
        <v>1357</v>
      </c>
      <c r="L9" s="212">
        <v>21298</v>
      </c>
      <c r="M9" s="246">
        <v>15.7</v>
      </c>
      <c r="N9" s="212">
        <v>1389</v>
      </c>
      <c r="O9" s="212">
        <v>21972</v>
      </c>
      <c r="P9" s="246">
        <v>15.8</v>
      </c>
    </row>
    <row r="10" spans="1:16" x14ac:dyDescent="0.3">
      <c r="A10" s="36" t="s">
        <v>100</v>
      </c>
      <c r="B10" s="212">
        <v>67</v>
      </c>
      <c r="C10" s="212">
        <v>334</v>
      </c>
      <c r="D10" s="245">
        <v>5</v>
      </c>
      <c r="E10" s="212">
        <v>74</v>
      </c>
      <c r="F10" s="212">
        <v>411</v>
      </c>
      <c r="G10" s="245">
        <v>5.6</v>
      </c>
      <c r="H10" s="212">
        <v>87</v>
      </c>
      <c r="I10" s="212">
        <v>379</v>
      </c>
      <c r="J10" s="245">
        <v>4.4000000000000004</v>
      </c>
      <c r="K10" s="212">
        <v>91</v>
      </c>
      <c r="L10" s="212">
        <v>452</v>
      </c>
      <c r="M10" s="246">
        <v>5</v>
      </c>
      <c r="N10" s="212">
        <v>82</v>
      </c>
      <c r="O10" s="212">
        <v>502</v>
      </c>
      <c r="P10" s="246">
        <v>6.1</v>
      </c>
    </row>
    <row r="11" spans="1:16" x14ac:dyDescent="0.3">
      <c r="A11" s="36" t="s">
        <v>81</v>
      </c>
      <c r="B11" s="212">
        <v>260</v>
      </c>
      <c r="C11" s="212">
        <v>2323</v>
      </c>
      <c r="D11" s="246">
        <v>8.9</v>
      </c>
      <c r="E11" s="212">
        <v>267</v>
      </c>
      <c r="F11" s="212">
        <v>3143</v>
      </c>
      <c r="G11" s="246">
        <v>11.8</v>
      </c>
      <c r="H11" s="212">
        <v>292</v>
      </c>
      <c r="I11" s="212">
        <v>3450</v>
      </c>
      <c r="J11" s="246">
        <v>11.8</v>
      </c>
      <c r="K11" s="212">
        <v>313</v>
      </c>
      <c r="L11" s="212">
        <v>4004</v>
      </c>
      <c r="M11" s="246">
        <v>12.8</v>
      </c>
      <c r="N11" s="212">
        <v>327</v>
      </c>
      <c r="O11" s="212">
        <v>4574</v>
      </c>
      <c r="P11" s="246">
        <v>14</v>
      </c>
    </row>
    <row r="12" spans="1:16" x14ac:dyDescent="0.3">
      <c r="A12" s="36" t="s">
        <v>82</v>
      </c>
      <c r="B12" s="242">
        <v>593</v>
      </c>
      <c r="C12" s="242">
        <v>5062</v>
      </c>
      <c r="D12" s="247">
        <v>8.5</v>
      </c>
      <c r="E12" s="242">
        <v>709</v>
      </c>
      <c r="F12" s="242">
        <v>6804</v>
      </c>
      <c r="G12" s="247">
        <v>9.6</v>
      </c>
      <c r="H12" s="242">
        <v>815</v>
      </c>
      <c r="I12" s="242">
        <v>6868</v>
      </c>
      <c r="J12" s="247">
        <v>8.4</v>
      </c>
      <c r="K12" s="242">
        <v>890</v>
      </c>
      <c r="L12" s="242">
        <v>8402</v>
      </c>
      <c r="M12" s="247">
        <v>9.4</v>
      </c>
      <c r="N12" s="242">
        <v>869</v>
      </c>
      <c r="O12" s="242">
        <v>9275</v>
      </c>
      <c r="P12" s="247">
        <v>10.7</v>
      </c>
    </row>
    <row r="13" spans="1:16" x14ac:dyDescent="0.3">
      <c r="A13" s="238" t="s">
        <v>83</v>
      </c>
      <c r="B13" s="242">
        <v>12154</v>
      </c>
      <c r="C13" s="242">
        <v>30315</v>
      </c>
      <c r="D13" s="247">
        <v>2.5</v>
      </c>
      <c r="E13" s="242">
        <v>13395</v>
      </c>
      <c r="F13" s="242">
        <v>38687</v>
      </c>
      <c r="G13" s="247">
        <v>2.9</v>
      </c>
      <c r="H13" s="242">
        <v>14140</v>
      </c>
      <c r="I13" s="242">
        <v>47055</v>
      </c>
      <c r="J13" s="247">
        <v>3.3</v>
      </c>
      <c r="K13" s="242">
        <v>15779</v>
      </c>
      <c r="L13" s="242">
        <v>52776</v>
      </c>
      <c r="M13" s="247">
        <v>3.3</v>
      </c>
      <c r="N13" s="242">
        <v>15841</v>
      </c>
      <c r="O13" s="242">
        <v>55171</v>
      </c>
      <c r="P13" s="247">
        <v>3.5</v>
      </c>
    </row>
    <row r="14" spans="1:16" x14ac:dyDescent="0.3">
      <c r="A14" s="238" t="s">
        <v>84</v>
      </c>
      <c r="B14" s="242">
        <v>56</v>
      </c>
      <c r="C14" s="242">
        <v>532</v>
      </c>
      <c r="D14" s="247">
        <v>9.5</v>
      </c>
      <c r="E14" s="242">
        <v>56</v>
      </c>
      <c r="F14" s="242">
        <v>293</v>
      </c>
      <c r="G14" s="247">
        <v>5.2</v>
      </c>
      <c r="H14" s="242">
        <v>59</v>
      </c>
      <c r="I14" s="242">
        <v>495</v>
      </c>
      <c r="J14" s="247">
        <v>8.4</v>
      </c>
      <c r="K14" s="242">
        <v>70</v>
      </c>
      <c r="L14" s="242">
        <v>624</v>
      </c>
      <c r="M14" s="247">
        <v>8.9</v>
      </c>
      <c r="N14" s="242">
        <v>55</v>
      </c>
      <c r="O14" s="242">
        <v>740</v>
      </c>
      <c r="P14" s="247">
        <v>13.5</v>
      </c>
    </row>
    <row r="15" spans="1:16" x14ac:dyDescent="0.3">
      <c r="A15" s="238" t="s">
        <v>78</v>
      </c>
      <c r="B15" s="242">
        <v>2217</v>
      </c>
      <c r="C15" s="242">
        <v>10527</v>
      </c>
      <c r="D15" s="247">
        <v>4.7</v>
      </c>
      <c r="E15" s="242">
        <v>2233</v>
      </c>
      <c r="F15" s="242">
        <v>11323</v>
      </c>
      <c r="G15" s="247">
        <v>5.0999999999999996</v>
      </c>
      <c r="H15" s="242">
        <v>2189</v>
      </c>
      <c r="I15" s="242">
        <v>12271</v>
      </c>
      <c r="J15" s="247">
        <v>5.6</v>
      </c>
      <c r="K15" s="242">
        <v>2267</v>
      </c>
      <c r="L15" s="242">
        <v>12998</v>
      </c>
      <c r="M15" s="247">
        <v>5.7</v>
      </c>
      <c r="N15" s="242">
        <v>1533</v>
      </c>
      <c r="O15" s="242">
        <v>14391</v>
      </c>
      <c r="P15" s="247">
        <v>9.4</v>
      </c>
    </row>
    <row r="16" spans="1:16" x14ac:dyDescent="0.3">
      <c r="A16" s="232" t="s">
        <v>85</v>
      </c>
      <c r="B16" s="243">
        <v>1638</v>
      </c>
      <c r="C16" s="243">
        <v>11919</v>
      </c>
      <c r="D16" s="248">
        <v>7.3</v>
      </c>
      <c r="E16" s="243">
        <v>1870</v>
      </c>
      <c r="F16" s="243">
        <v>15752</v>
      </c>
      <c r="G16" s="248">
        <v>8.4</v>
      </c>
      <c r="H16" s="243">
        <v>2297</v>
      </c>
      <c r="I16" s="243">
        <v>20357</v>
      </c>
      <c r="J16" s="248">
        <v>8.9</v>
      </c>
      <c r="K16" s="243">
        <v>2324</v>
      </c>
      <c r="L16" s="243">
        <v>19853</v>
      </c>
      <c r="M16" s="248">
        <v>8.5</v>
      </c>
      <c r="N16" s="243">
        <v>2000</v>
      </c>
      <c r="O16" s="243">
        <v>20360</v>
      </c>
      <c r="P16" s="248">
        <v>10.199999999999999</v>
      </c>
    </row>
    <row r="18" spans="1:16" x14ac:dyDescent="0.3">
      <c r="A18" t="s">
        <v>1340</v>
      </c>
    </row>
    <row r="19" spans="1:16" x14ac:dyDescent="0.3">
      <c r="A19" t="s">
        <v>1281</v>
      </c>
    </row>
    <row r="20" spans="1:16" x14ac:dyDescent="0.3">
      <c r="A20" s="74" t="s">
        <v>103</v>
      </c>
    </row>
    <row r="21" spans="1:16" x14ac:dyDescent="0.3">
      <c r="A21" s="75" t="s">
        <v>104</v>
      </c>
    </row>
    <row r="22" spans="1:16" x14ac:dyDescent="0.3">
      <c r="A22" t="s">
        <v>1282</v>
      </c>
    </row>
    <row r="23" spans="1:16" x14ac:dyDescent="0.3">
      <c r="A23" t="s">
        <v>1283</v>
      </c>
    </row>
    <row r="24" spans="1:16" x14ac:dyDescent="0.3">
      <c r="H24" s="86"/>
      <c r="I24" s="86"/>
      <c r="J24" s="86"/>
      <c r="K24" s="86"/>
      <c r="L24" s="86"/>
      <c r="M24" s="86"/>
      <c r="N24" s="86"/>
      <c r="O24" s="86"/>
      <c r="P24" s="86"/>
    </row>
    <row r="25" spans="1:16" x14ac:dyDescent="0.3">
      <c r="H25" s="86"/>
      <c r="I25" s="86"/>
      <c r="J25" s="86"/>
      <c r="K25" s="86"/>
      <c r="L25" s="86"/>
      <c r="M25" s="86"/>
      <c r="N25" s="86"/>
      <c r="O25" s="86"/>
      <c r="P25" s="86"/>
    </row>
    <row r="26" spans="1:16" x14ac:dyDescent="0.3">
      <c r="H26" s="86"/>
      <c r="I26" s="86"/>
      <c r="J26" s="86"/>
      <c r="K26" s="86"/>
      <c r="L26" s="86"/>
      <c r="M26" s="86"/>
      <c r="N26" s="86"/>
      <c r="O26" s="86"/>
      <c r="P26" s="86"/>
    </row>
    <row r="27" spans="1:16" x14ac:dyDescent="0.3">
      <c r="H27" s="86"/>
      <c r="I27" s="86"/>
      <c r="J27" s="86"/>
      <c r="K27" s="86"/>
      <c r="L27" s="86"/>
      <c r="M27" s="86"/>
      <c r="N27" s="86"/>
      <c r="O27" s="86"/>
      <c r="P27" s="86"/>
    </row>
    <row r="28" spans="1:16" x14ac:dyDescent="0.3">
      <c r="H28" s="86"/>
      <c r="I28" s="86"/>
      <c r="J28" s="86"/>
      <c r="K28" s="86"/>
      <c r="L28" s="86"/>
      <c r="M28" s="86"/>
      <c r="N28" s="86"/>
      <c r="O28" s="86"/>
      <c r="P28" s="86"/>
    </row>
    <row r="29" spans="1:16" x14ac:dyDescent="0.3">
      <c r="H29" s="86"/>
      <c r="I29" s="86"/>
      <c r="J29" s="86"/>
      <c r="K29" s="86"/>
      <c r="L29" s="86"/>
      <c r="M29" s="86"/>
      <c r="N29" s="86"/>
      <c r="O29" s="86"/>
      <c r="P29" s="86"/>
    </row>
    <row r="30" spans="1:16" x14ac:dyDescent="0.3">
      <c r="H30" s="86"/>
      <c r="I30" s="86"/>
      <c r="J30" s="86"/>
      <c r="K30" s="86"/>
      <c r="L30" s="86"/>
      <c r="M30" s="86"/>
      <c r="N30" s="86"/>
      <c r="O30" s="86"/>
      <c r="P30" s="86"/>
    </row>
    <row r="31" spans="1:16" x14ac:dyDescent="0.3">
      <c r="H31" s="86"/>
      <c r="I31" s="86"/>
      <c r="J31" s="86"/>
      <c r="K31" s="86"/>
      <c r="L31" s="86"/>
      <c r="M31" s="86"/>
      <c r="N31" s="86"/>
      <c r="O31" s="86"/>
      <c r="P31" s="86"/>
    </row>
  </sheetData>
  <mergeCells count="16">
    <mergeCell ref="N5:N6"/>
    <mergeCell ref="O5:O6"/>
    <mergeCell ref="A4:A6"/>
    <mergeCell ref="K4:M4"/>
    <mergeCell ref="N4:P4"/>
    <mergeCell ref="K5:K6"/>
    <mergeCell ref="L5:L6"/>
    <mergeCell ref="H5:H6"/>
    <mergeCell ref="I5:I6"/>
    <mergeCell ref="E5:E6"/>
    <mergeCell ref="F5:F6"/>
    <mergeCell ref="B5:B6"/>
    <mergeCell ref="C5:C6"/>
    <mergeCell ref="H4:J4"/>
    <mergeCell ref="E4:G4"/>
    <mergeCell ref="B4:D4"/>
  </mergeCells>
  <phoneticPr fontId="1" type="noConversion"/>
  <conditionalFormatting sqref="E7:P14">
    <cfRule type="expression" dxfId="8" priority="8">
      <formula>NOT(E7=#REF!)</formula>
    </cfRule>
  </conditionalFormatting>
  <conditionalFormatting sqref="D11">
    <cfRule type="expression" dxfId="7" priority="2">
      <formula>NOT(D11=#REF!)</formula>
    </cfRule>
  </conditionalFormatting>
  <conditionalFormatting sqref="D13:D14">
    <cfRule type="expression" dxfId="6" priority="1">
      <formula>NOT(D13=#REF!)</formula>
    </cfRule>
  </conditionalFormatting>
  <hyperlinks>
    <hyperlink ref="H1" location="목차!A1" display="목차" xr:uid="{00000000-0004-0000-3800-000000000000}"/>
  </hyperlinks>
  <pageMargins left="0.7" right="0.7" top="0.75" bottom="0.75" header="0.3" footer="0.3"/>
  <pageSetup paperSize="9" orientation="portrait" copies="16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 tint="-4.9989318521683403E-2"/>
  </sheetPr>
  <dimension ref="A1:K22"/>
  <sheetViews>
    <sheetView topLeftCell="A4" zoomScale="70" zoomScaleNormal="70" workbookViewId="0">
      <selection activeCell="Q8" sqref="Q8"/>
    </sheetView>
  </sheetViews>
  <sheetFormatPr defaultRowHeight="16.5" x14ac:dyDescent="0.3"/>
  <cols>
    <col min="1" max="1" width="32.25" customWidth="1"/>
    <col min="11" max="11" width="9.125" customWidth="1"/>
  </cols>
  <sheetData>
    <row r="1" spans="1:11" ht="17.25" x14ac:dyDescent="0.3">
      <c r="A1" s="7" t="s">
        <v>432</v>
      </c>
      <c r="B1" s="6"/>
      <c r="C1" s="6"/>
      <c r="D1" s="6"/>
      <c r="E1" s="2"/>
      <c r="F1" s="9"/>
      <c r="G1" s="72" t="s">
        <v>368</v>
      </c>
    </row>
    <row r="3" spans="1:11" x14ac:dyDescent="0.3">
      <c r="K3" s="5" t="s">
        <v>327</v>
      </c>
    </row>
    <row r="4" spans="1:11" ht="17.25" thickBot="1" x14ac:dyDescent="0.35">
      <c r="A4" s="342" t="s">
        <v>139</v>
      </c>
      <c r="B4" s="335" t="s">
        <v>8</v>
      </c>
      <c r="C4" s="345"/>
      <c r="D4" s="335" t="s">
        <v>9</v>
      </c>
      <c r="E4" s="345"/>
      <c r="F4" s="335" t="s">
        <v>10</v>
      </c>
      <c r="G4" s="345"/>
      <c r="H4" s="335" t="s">
        <v>369</v>
      </c>
      <c r="I4" s="336"/>
      <c r="J4" s="335" t="s">
        <v>402</v>
      </c>
      <c r="K4" s="336"/>
    </row>
    <row r="5" spans="1:11" ht="17.25" thickTop="1" x14ac:dyDescent="0.3">
      <c r="A5" s="342"/>
      <c r="B5" s="130" t="s">
        <v>332</v>
      </c>
      <c r="C5" s="130" t="s">
        <v>36</v>
      </c>
      <c r="D5" s="130" t="s">
        <v>332</v>
      </c>
      <c r="E5" s="130" t="s">
        <v>36</v>
      </c>
      <c r="F5" s="130" t="s">
        <v>332</v>
      </c>
      <c r="G5" s="130" t="s">
        <v>36</v>
      </c>
      <c r="H5" s="130" t="s">
        <v>332</v>
      </c>
      <c r="I5" s="129" t="s">
        <v>36</v>
      </c>
      <c r="J5" s="39" t="s">
        <v>332</v>
      </c>
      <c r="K5" s="40" t="s">
        <v>36</v>
      </c>
    </row>
    <row r="6" spans="1:11" x14ac:dyDescent="0.3">
      <c r="A6" s="26" t="s">
        <v>230</v>
      </c>
      <c r="B6" s="127">
        <v>5052</v>
      </c>
      <c r="C6" s="126">
        <v>11.3</v>
      </c>
      <c r="D6" s="127">
        <v>4618</v>
      </c>
      <c r="E6" s="126">
        <v>9.8000000000000007</v>
      </c>
      <c r="F6" s="127">
        <v>3837</v>
      </c>
      <c r="G6" s="126">
        <v>7.8</v>
      </c>
      <c r="H6" s="103">
        <v>3699</v>
      </c>
      <c r="I6" s="117">
        <v>7.3</v>
      </c>
      <c r="J6" s="103">
        <v>4081</v>
      </c>
      <c r="K6" s="299">
        <v>8.5</v>
      </c>
    </row>
    <row r="7" spans="1:11" x14ac:dyDescent="0.3">
      <c r="A7" s="36" t="s">
        <v>344</v>
      </c>
      <c r="B7" s="96">
        <v>6631</v>
      </c>
      <c r="C7" s="95">
        <v>14.9</v>
      </c>
      <c r="D7" s="96">
        <v>6060</v>
      </c>
      <c r="E7" s="95">
        <v>12.9</v>
      </c>
      <c r="F7" s="96">
        <v>4661</v>
      </c>
      <c r="G7" s="95">
        <v>9.5</v>
      </c>
      <c r="H7" s="94">
        <v>4981</v>
      </c>
      <c r="I7" s="123">
        <v>9.8000000000000007</v>
      </c>
      <c r="J7" s="94">
        <v>3520</v>
      </c>
      <c r="K7" s="299">
        <v>7.3</v>
      </c>
    </row>
    <row r="8" spans="1:11" x14ac:dyDescent="0.3">
      <c r="A8" s="36" t="s">
        <v>343</v>
      </c>
      <c r="B8" s="96">
        <v>10974</v>
      </c>
      <c r="C8" s="95">
        <v>24.6</v>
      </c>
      <c r="D8" s="96">
        <v>10644</v>
      </c>
      <c r="E8" s="95">
        <v>22.7</v>
      </c>
      <c r="F8" s="96">
        <v>12261</v>
      </c>
      <c r="G8" s="95">
        <v>25</v>
      </c>
      <c r="H8" s="94">
        <v>11893</v>
      </c>
      <c r="I8" s="123">
        <v>23.4</v>
      </c>
      <c r="J8" s="94">
        <v>11213</v>
      </c>
      <c r="K8" s="299">
        <v>23.3</v>
      </c>
    </row>
    <row r="9" spans="1:11" x14ac:dyDescent="0.3">
      <c r="A9" s="36" t="s">
        <v>342</v>
      </c>
      <c r="B9" s="96">
        <v>8499</v>
      </c>
      <c r="C9" s="95">
        <v>19.100000000000001</v>
      </c>
      <c r="D9" s="96">
        <v>9773</v>
      </c>
      <c r="E9" s="95">
        <v>20.8</v>
      </c>
      <c r="F9" s="96">
        <v>9880</v>
      </c>
      <c r="G9" s="95">
        <v>20.2</v>
      </c>
      <c r="H9" s="94">
        <v>11303</v>
      </c>
      <c r="I9" s="123">
        <v>22.3</v>
      </c>
      <c r="J9" s="94">
        <v>9708</v>
      </c>
      <c r="K9" s="299">
        <v>20.2</v>
      </c>
    </row>
    <row r="10" spans="1:11" x14ac:dyDescent="0.3">
      <c r="A10" s="36" t="s">
        <v>341</v>
      </c>
      <c r="B10" s="96">
        <v>7223</v>
      </c>
      <c r="C10" s="95">
        <v>16.2</v>
      </c>
      <c r="D10" s="96">
        <v>8632</v>
      </c>
      <c r="E10" s="95">
        <v>18.399999999999999</v>
      </c>
      <c r="F10" s="96">
        <v>9773</v>
      </c>
      <c r="G10" s="95">
        <v>19.899999999999999</v>
      </c>
      <c r="H10" s="94">
        <v>9440</v>
      </c>
      <c r="I10" s="123">
        <v>18.600000000000001</v>
      </c>
      <c r="J10" s="94">
        <v>9499</v>
      </c>
      <c r="K10" s="299">
        <v>19.8</v>
      </c>
    </row>
    <row r="11" spans="1:11" x14ac:dyDescent="0.3">
      <c r="A11" s="36" t="s">
        <v>1369</v>
      </c>
      <c r="B11" s="96">
        <v>3225</v>
      </c>
      <c r="C11" s="95">
        <v>7.2</v>
      </c>
      <c r="D11" s="96">
        <v>3711</v>
      </c>
      <c r="E11" s="95">
        <v>7.9</v>
      </c>
      <c r="F11" s="96">
        <v>4325</v>
      </c>
      <c r="G11" s="95">
        <v>8.8000000000000007</v>
      </c>
      <c r="H11" s="94">
        <v>4611</v>
      </c>
      <c r="I11" s="123">
        <v>9.1</v>
      </c>
      <c r="J11" s="94">
        <v>4757</v>
      </c>
      <c r="K11" s="299">
        <v>9.9</v>
      </c>
    </row>
    <row r="12" spans="1:11" x14ac:dyDescent="0.3">
      <c r="A12" s="297" t="s">
        <v>231</v>
      </c>
      <c r="B12" s="297">
        <v>2974</v>
      </c>
      <c r="C12" s="297">
        <v>6.7</v>
      </c>
      <c r="D12" s="297">
        <v>3499</v>
      </c>
      <c r="E12" s="297">
        <v>7.5</v>
      </c>
      <c r="F12" s="297">
        <v>4288</v>
      </c>
      <c r="G12" s="297">
        <v>8.6999999999999993</v>
      </c>
      <c r="H12" s="297">
        <v>4839</v>
      </c>
      <c r="I12" s="297">
        <v>9.5</v>
      </c>
      <c r="J12" s="297">
        <v>5262</v>
      </c>
      <c r="K12" s="300">
        <v>11</v>
      </c>
    </row>
    <row r="13" spans="1:11" x14ac:dyDescent="0.3">
      <c r="A13" s="295" t="s">
        <v>86</v>
      </c>
      <c r="B13" s="98">
        <v>44578</v>
      </c>
      <c r="C13" s="97">
        <v>100</v>
      </c>
      <c r="D13" s="98">
        <v>46937</v>
      </c>
      <c r="E13" s="97">
        <v>100</v>
      </c>
      <c r="F13" s="98">
        <v>49025</v>
      </c>
      <c r="G13" s="97">
        <v>100</v>
      </c>
      <c r="H13" s="98">
        <v>50766</v>
      </c>
      <c r="I13" s="296">
        <v>100</v>
      </c>
      <c r="J13" s="98">
        <v>48040</v>
      </c>
      <c r="K13" s="298">
        <v>100</v>
      </c>
    </row>
    <row r="15" spans="1:11" x14ac:dyDescent="0.3">
      <c r="A15" t="s">
        <v>786</v>
      </c>
    </row>
    <row r="16" spans="1:11" x14ac:dyDescent="0.3">
      <c r="A16" t="s">
        <v>1340</v>
      </c>
    </row>
    <row r="17" spans="2:11" x14ac:dyDescent="0.3"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2:11" x14ac:dyDescent="0.3"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2:11" x14ac:dyDescent="0.3">
      <c r="B19" s="86"/>
      <c r="C19" s="86"/>
      <c r="D19" s="86"/>
      <c r="E19" s="86"/>
      <c r="F19" s="106"/>
      <c r="G19" s="86"/>
      <c r="H19" s="106"/>
      <c r="I19" s="86"/>
      <c r="J19" s="86"/>
      <c r="K19" s="86"/>
    </row>
    <row r="20" spans="2:11" x14ac:dyDescent="0.3">
      <c r="B20" s="86"/>
      <c r="C20" s="86"/>
      <c r="D20" s="86"/>
      <c r="E20" s="86"/>
      <c r="F20" s="86"/>
      <c r="G20" s="86"/>
      <c r="H20" s="106"/>
      <c r="I20" s="86"/>
      <c r="J20" s="106"/>
      <c r="K20" s="86"/>
    </row>
    <row r="21" spans="2:11" x14ac:dyDescent="0.3">
      <c r="B21" s="86"/>
      <c r="C21" s="86"/>
      <c r="D21" s="86"/>
      <c r="E21" s="86"/>
      <c r="F21" s="86"/>
      <c r="G21" s="86"/>
      <c r="H21" s="86"/>
      <c r="I21" s="86"/>
      <c r="J21" s="86"/>
      <c r="K21" s="86"/>
    </row>
    <row r="22" spans="2:11" x14ac:dyDescent="0.3">
      <c r="B22" s="86"/>
      <c r="C22" s="86"/>
      <c r="D22" s="86"/>
      <c r="E22" s="86"/>
      <c r="F22" s="86"/>
      <c r="G22" s="86"/>
      <c r="H22" s="86"/>
      <c r="I22" s="86"/>
      <c r="J22" s="86"/>
      <c r="K22" s="86"/>
    </row>
  </sheetData>
  <mergeCells count="6">
    <mergeCell ref="J4:K4"/>
    <mergeCell ref="A4:A5"/>
    <mergeCell ref="H4:I4"/>
    <mergeCell ref="F4:G4"/>
    <mergeCell ref="D4:E4"/>
    <mergeCell ref="B4:C4"/>
  </mergeCells>
  <phoneticPr fontId="1" type="noConversion"/>
  <conditionalFormatting sqref="B6:K11">
    <cfRule type="expression" dxfId="5" priority="8">
      <formula>NOT($B$6=#REF!)</formula>
    </cfRule>
  </conditionalFormatting>
  <conditionalFormatting sqref="B13:K13">
    <cfRule type="expression" dxfId="4" priority="1">
      <formula>NOT($B$6=#REF!)</formula>
    </cfRule>
  </conditionalFormatting>
  <hyperlinks>
    <hyperlink ref="G1" location="목차!A1" display="목차" xr:uid="{00000000-0004-0000-3900-000000000000}"/>
  </hyperlinks>
  <pageMargins left="0.7" right="0.7" top="0.75" bottom="0.75" header="0.3" footer="0.3"/>
  <pageSetup paperSize="9" orientation="portrait" copies="16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6C00-9421-41D2-8BF9-5AAD9E5899B5}">
  <sheetPr>
    <tabColor theme="0" tint="-4.9989318521683403E-2"/>
  </sheetPr>
  <dimension ref="A1:H80"/>
  <sheetViews>
    <sheetView zoomScale="70" zoomScaleNormal="70" workbookViewId="0">
      <selection activeCell="A42" sqref="A42"/>
    </sheetView>
  </sheetViews>
  <sheetFormatPr defaultRowHeight="16.5" x14ac:dyDescent="0.3"/>
  <cols>
    <col min="2" max="2" width="17.125" customWidth="1"/>
  </cols>
  <sheetData>
    <row r="1" spans="1:8" ht="17.25" x14ac:dyDescent="0.3">
      <c r="A1" s="7" t="s">
        <v>1285</v>
      </c>
      <c r="B1" s="6"/>
      <c r="C1" s="6"/>
      <c r="D1" s="6"/>
      <c r="E1" s="2"/>
      <c r="F1" s="2"/>
      <c r="H1" s="72" t="s">
        <v>367</v>
      </c>
    </row>
    <row r="3" spans="1:8" x14ac:dyDescent="0.3">
      <c r="A3" s="191"/>
      <c r="B3" s="191"/>
      <c r="C3" s="191"/>
      <c r="D3" s="191"/>
      <c r="E3" s="191"/>
      <c r="F3" s="191"/>
      <c r="G3" s="191"/>
      <c r="H3" s="33" t="s">
        <v>327</v>
      </c>
    </row>
    <row r="4" spans="1:8" ht="17.25" thickBot="1" x14ac:dyDescent="0.35">
      <c r="A4" s="342" t="s">
        <v>245</v>
      </c>
      <c r="B4" s="341" t="s">
        <v>139</v>
      </c>
      <c r="C4" s="335" t="s">
        <v>86</v>
      </c>
      <c r="D4" s="345"/>
      <c r="E4" s="335" t="s">
        <v>325</v>
      </c>
      <c r="F4" s="345"/>
      <c r="G4" s="335" t="s">
        <v>324</v>
      </c>
      <c r="H4" s="336"/>
    </row>
    <row r="5" spans="1:8" ht="17.25" thickTop="1" x14ac:dyDescent="0.3">
      <c r="A5" s="342"/>
      <c r="B5" s="341"/>
      <c r="C5" s="240" t="s">
        <v>332</v>
      </c>
      <c r="D5" s="240" t="s">
        <v>36</v>
      </c>
      <c r="E5" s="240" t="s">
        <v>332</v>
      </c>
      <c r="F5" s="240" t="s">
        <v>36</v>
      </c>
      <c r="G5" s="240" t="s">
        <v>332</v>
      </c>
      <c r="H5" s="239" t="s">
        <v>36</v>
      </c>
    </row>
    <row r="6" spans="1:8" x14ac:dyDescent="0.3">
      <c r="A6" s="304" t="s">
        <v>8</v>
      </c>
      <c r="B6" s="95" t="s">
        <v>350</v>
      </c>
      <c r="C6" s="96">
        <v>11463</v>
      </c>
      <c r="D6" s="95">
        <v>25.7</v>
      </c>
      <c r="E6" s="96">
        <v>8831</v>
      </c>
      <c r="F6" s="95">
        <v>24</v>
      </c>
      <c r="G6" s="96">
        <v>2632</v>
      </c>
      <c r="H6" s="237">
        <v>33.700000000000003</v>
      </c>
    </row>
    <row r="7" spans="1:8" x14ac:dyDescent="0.3">
      <c r="A7" s="305"/>
      <c r="B7" s="95" t="s">
        <v>349</v>
      </c>
      <c r="C7" s="96">
        <v>18774</v>
      </c>
      <c r="D7" s="95">
        <v>42.1</v>
      </c>
      <c r="E7" s="96">
        <v>17588</v>
      </c>
      <c r="F7" s="95">
        <v>47.8</v>
      </c>
      <c r="G7" s="96">
        <v>1186</v>
      </c>
      <c r="H7" s="237">
        <v>15.2</v>
      </c>
    </row>
    <row r="8" spans="1:8" x14ac:dyDescent="0.3">
      <c r="A8" s="305"/>
      <c r="B8" s="95" t="s">
        <v>348</v>
      </c>
      <c r="C8" s="96">
        <v>2836</v>
      </c>
      <c r="D8" s="95">
        <v>6.4</v>
      </c>
      <c r="E8" s="96">
        <v>2183</v>
      </c>
      <c r="F8" s="95">
        <v>5.9</v>
      </c>
      <c r="G8" s="95">
        <v>653</v>
      </c>
      <c r="H8" s="237">
        <v>8.4</v>
      </c>
    </row>
    <row r="9" spans="1:8" x14ac:dyDescent="0.3">
      <c r="A9" s="305"/>
      <c r="B9" s="95" t="s">
        <v>347</v>
      </c>
      <c r="C9" s="96">
        <v>6548</v>
      </c>
      <c r="D9" s="95">
        <v>14.7</v>
      </c>
      <c r="E9" s="96">
        <v>4088</v>
      </c>
      <c r="F9" s="95">
        <v>11.1</v>
      </c>
      <c r="G9" s="96">
        <v>2460</v>
      </c>
      <c r="H9" s="237">
        <v>31.5</v>
      </c>
    </row>
    <row r="10" spans="1:8" x14ac:dyDescent="0.3">
      <c r="A10" s="305"/>
      <c r="B10" s="95" t="s">
        <v>346</v>
      </c>
      <c r="C10" s="96">
        <v>2463</v>
      </c>
      <c r="D10" s="95">
        <v>5.5</v>
      </c>
      <c r="E10" s="96">
        <v>1905</v>
      </c>
      <c r="F10" s="95">
        <v>5.2</v>
      </c>
      <c r="G10" s="95">
        <v>558</v>
      </c>
      <c r="H10" s="237">
        <v>7.2</v>
      </c>
    </row>
    <row r="11" spans="1:8" x14ac:dyDescent="0.3">
      <c r="A11" s="305"/>
      <c r="B11" s="95" t="s">
        <v>85</v>
      </c>
      <c r="C11" s="96">
        <v>2494</v>
      </c>
      <c r="D11" s="95">
        <v>5.6</v>
      </c>
      <c r="E11" s="96">
        <v>2182</v>
      </c>
      <c r="F11" s="95">
        <v>5.9</v>
      </c>
      <c r="G11" s="95">
        <v>312</v>
      </c>
      <c r="H11" s="237">
        <v>4</v>
      </c>
    </row>
    <row r="12" spans="1:8" x14ac:dyDescent="0.3">
      <c r="A12" s="306"/>
      <c r="B12" s="97" t="s">
        <v>86</v>
      </c>
      <c r="C12" s="98">
        <v>44578</v>
      </c>
      <c r="D12" s="97">
        <v>100</v>
      </c>
      <c r="E12" s="98">
        <v>36777</v>
      </c>
      <c r="F12" s="97">
        <v>100</v>
      </c>
      <c r="G12" s="98">
        <v>7801</v>
      </c>
      <c r="H12" s="234">
        <v>100</v>
      </c>
    </row>
    <row r="13" spans="1:8" x14ac:dyDescent="0.3">
      <c r="A13" s="304" t="s">
        <v>9</v>
      </c>
      <c r="B13" s="95" t="s">
        <v>350</v>
      </c>
      <c r="C13" s="96">
        <v>11530</v>
      </c>
      <c r="D13" s="95">
        <v>24.6</v>
      </c>
      <c r="E13" s="96">
        <v>8696</v>
      </c>
      <c r="F13" s="95">
        <v>22.4</v>
      </c>
      <c r="G13" s="96">
        <v>2834</v>
      </c>
      <c r="H13" s="237">
        <v>34.799999999999997</v>
      </c>
    </row>
    <row r="14" spans="1:8" x14ac:dyDescent="0.3">
      <c r="A14" s="305"/>
      <c r="B14" s="95" t="s">
        <v>349</v>
      </c>
      <c r="C14" s="96">
        <v>20259</v>
      </c>
      <c r="D14" s="95">
        <v>43.2</v>
      </c>
      <c r="E14" s="96">
        <v>18931</v>
      </c>
      <c r="F14" s="95">
        <v>48.8</v>
      </c>
      <c r="G14" s="96">
        <v>1328</v>
      </c>
      <c r="H14" s="237">
        <v>16.3</v>
      </c>
    </row>
    <row r="15" spans="1:8" x14ac:dyDescent="0.3">
      <c r="A15" s="305"/>
      <c r="B15" s="95" t="s">
        <v>348</v>
      </c>
      <c r="C15" s="96">
        <v>2844</v>
      </c>
      <c r="D15" s="95">
        <v>6.1</v>
      </c>
      <c r="E15" s="96">
        <v>2195</v>
      </c>
      <c r="F15" s="95">
        <v>5.7</v>
      </c>
      <c r="G15" s="95">
        <v>649</v>
      </c>
      <c r="H15" s="237">
        <v>8</v>
      </c>
    </row>
    <row r="16" spans="1:8" x14ac:dyDescent="0.3">
      <c r="A16" s="305"/>
      <c r="B16" s="95" t="s">
        <v>347</v>
      </c>
      <c r="C16" s="96">
        <v>6699</v>
      </c>
      <c r="D16" s="95">
        <v>14.3</v>
      </c>
      <c r="E16" s="96">
        <v>4244</v>
      </c>
      <c r="F16" s="95">
        <v>10.9</v>
      </c>
      <c r="G16" s="96">
        <v>2455</v>
      </c>
      <c r="H16" s="237">
        <v>30.1</v>
      </c>
    </row>
    <row r="17" spans="1:8" x14ac:dyDescent="0.3">
      <c r="A17" s="305"/>
      <c r="B17" s="95" t="s">
        <v>346</v>
      </c>
      <c r="C17" s="96">
        <v>2574</v>
      </c>
      <c r="D17" s="95">
        <v>5.5</v>
      </c>
      <c r="E17" s="96">
        <v>2041</v>
      </c>
      <c r="F17" s="95">
        <v>5.3</v>
      </c>
      <c r="G17" s="95">
        <v>533</v>
      </c>
      <c r="H17" s="237">
        <v>6.5</v>
      </c>
    </row>
    <row r="18" spans="1:8" x14ac:dyDescent="0.3">
      <c r="A18" s="305"/>
      <c r="B18" s="95" t="s">
        <v>85</v>
      </c>
      <c r="C18" s="96">
        <v>3031</v>
      </c>
      <c r="D18" s="95">
        <v>6.5</v>
      </c>
      <c r="E18" s="96">
        <v>2676</v>
      </c>
      <c r="F18" s="95">
        <v>6.9</v>
      </c>
      <c r="G18" s="95">
        <v>355</v>
      </c>
      <c r="H18" s="237">
        <v>4.4000000000000004</v>
      </c>
    </row>
    <row r="19" spans="1:8" x14ac:dyDescent="0.3">
      <c r="A19" s="306"/>
      <c r="B19" s="97" t="s">
        <v>86</v>
      </c>
      <c r="C19" s="98">
        <v>46937</v>
      </c>
      <c r="D19" s="97">
        <v>100</v>
      </c>
      <c r="E19" s="98">
        <v>38783</v>
      </c>
      <c r="F19" s="97">
        <v>100</v>
      </c>
      <c r="G19" s="98">
        <v>8154</v>
      </c>
      <c r="H19" s="234">
        <v>100</v>
      </c>
    </row>
    <row r="20" spans="1:8" x14ac:dyDescent="0.3">
      <c r="A20" s="304" t="s">
        <v>10</v>
      </c>
      <c r="B20" s="95" t="s">
        <v>350</v>
      </c>
      <c r="C20" s="96">
        <v>11844</v>
      </c>
      <c r="D20" s="95">
        <v>24.2</v>
      </c>
      <c r="E20" s="96">
        <v>8777</v>
      </c>
      <c r="F20" s="95">
        <v>21.8</v>
      </c>
      <c r="G20" s="96">
        <v>3067</v>
      </c>
      <c r="H20" s="237">
        <v>35.299999999999997</v>
      </c>
    </row>
    <row r="21" spans="1:8" x14ac:dyDescent="0.3">
      <c r="A21" s="305"/>
      <c r="B21" s="95" t="s">
        <v>349</v>
      </c>
      <c r="C21" s="96">
        <v>21803</v>
      </c>
      <c r="D21" s="95">
        <v>44.5</v>
      </c>
      <c r="E21" s="96">
        <v>20295</v>
      </c>
      <c r="F21" s="95">
        <v>50.3</v>
      </c>
      <c r="G21" s="96">
        <v>1508</v>
      </c>
      <c r="H21" s="237">
        <v>17.399999999999999</v>
      </c>
    </row>
    <row r="22" spans="1:8" x14ac:dyDescent="0.3">
      <c r="A22" s="305"/>
      <c r="B22" s="95" t="s">
        <v>348</v>
      </c>
      <c r="C22" s="96">
        <v>2811</v>
      </c>
      <c r="D22" s="95">
        <v>5.7</v>
      </c>
      <c r="E22" s="96">
        <v>2132</v>
      </c>
      <c r="F22" s="95">
        <v>5.3</v>
      </c>
      <c r="G22" s="95">
        <v>679</v>
      </c>
      <c r="H22" s="237">
        <v>7.8</v>
      </c>
    </row>
    <row r="23" spans="1:8" x14ac:dyDescent="0.3">
      <c r="A23" s="305"/>
      <c r="B23" s="95" t="s">
        <v>347</v>
      </c>
      <c r="C23" s="96">
        <v>6871</v>
      </c>
      <c r="D23" s="95">
        <v>14</v>
      </c>
      <c r="E23" s="96">
        <v>4274</v>
      </c>
      <c r="F23" s="95">
        <v>10.6</v>
      </c>
      <c r="G23" s="96">
        <v>2597</v>
      </c>
      <c r="H23" s="237">
        <v>29.9</v>
      </c>
    </row>
    <row r="24" spans="1:8" x14ac:dyDescent="0.3">
      <c r="A24" s="305"/>
      <c r="B24" s="95" t="s">
        <v>346</v>
      </c>
      <c r="C24" s="96">
        <v>2393</v>
      </c>
      <c r="D24" s="95">
        <v>4.9000000000000004</v>
      </c>
      <c r="E24" s="96">
        <v>1948</v>
      </c>
      <c r="F24" s="95">
        <v>4.8</v>
      </c>
      <c r="G24" s="95">
        <v>445</v>
      </c>
      <c r="H24" s="237">
        <v>5.0999999999999996</v>
      </c>
    </row>
    <row r="25" spans="1:8" x14ac:dyDescent="0.3">
      <c r="A25" s="305"/>
      <c r="B25" s="95" t="s">
        <v>85</v>
      </c>
      <c r="C25" s="96">
        <v>3303</v>
      </c>
      <c r="D25" s="95">
        <v>6.7</v>
      </c>
      <c r="E25" s="96">
        <v>2911</v>
      </c>
      <c r="F25" s="95">
        <v>7.2</v>
      </c>
      <c r="G25" s="95">
        <v>392</v>
      </c>
      <c r="H25" s="237">
        <v>4.5</v>
      </c>
    </row>
    <row r="26" spans="1:8" x14ac:dyDescent="0.3">
      <c r="A26" s="306"/>
      <c r="B26" s="97" t="s">
        <v>86</v>
      </c>
      <c r="C26" s="98">
        <v>49025</v>
      </c>
      <c r="D26" s="97">
        <v>100</v>
      </c>
      <c r="E26" s="98">
        <v>40337</v>
      </c>
      <c r="F26" s="97">
        <v>100</v>
      </c>
      <c r="G26" s="98">
        <v>8688</v>
      </c>
      <c r="H26" s="234">
        <v>100</v>
      </c>
    </row>
    <row r="27" spans="1:8" x14ac:dyDescent="0.3">
      <c r="A27" s="304" t="s">
        <v>369</v>
      </c>
      <c r="B27" s="95" t="s">
        <v>350</v>
      </c>
      <c r="C27" s="94">
        <v>12101</v>
      </c>
      <c r="D27" s="93">
        <v>23.8</v>
      </c>
      <c r="E27" s="94">
        <v>8870</v>
      </c>
      <c r="F27" s="93">
        <v>21.4</v>
      </c>
      <c r="G27" s="94">
        <v>3231</v>
      </c>
      <c r="H27" s="102">
        <v>34.9</v>
      </c>
    </row>
    <row r="28" spans="1:8" x14ac:dyDescent="0.3">
      <c r="A28" s="305"/>
      <c r="B28" s="95" t="s">
        <v>349</v>
      </c>
      <c r="C28" s="94">
        <v>23066</v>
      </c>
      <c r="D28" s="93">
        <v>45.4</v>
      </c>
      <c r="E28" s="94">
        <v>21319</v>
      </c>
      <c r="F28" s="93">
        <v>51.4</v>
      </c>
      <c r="G28" s="94">
        <v>1747</v>
      </c>
      <c r="H28" s="102">
        <v>18.899999999999999</v>
      </c>
    </row>
    <row r="29" spans="1:8" x14ac:dyDescent="0.3">
      <c r="A29" s="305"/>
      <c r="B29" s="95" t="s">
        <v>348</v>
      </c>
      <c r="C29" s="94">
        <v>2786</v>
      </c>
      <c r="D29" s="93">
        <v>5.5</v>
      </c>
      <c r="E29" s="94">
        <v>2073</v>
      </c>
      <c r="F29" s="93">
        <v>5</v>
      </c>
      <c r="G29" s="93">
        <v>713</v>
      </c>
      <c r="H29" s="102">
        <v>7.7</v>
      </c>
    </row>
    <row r="30" spans="1:8" x14ac:dyDescent="0.3">
      <c r="A30" s="305"/>
      <c r="B30" s="95" t="s">
        <v>347</v>
      </c>
      <c r="C30" s="94">
        <v>6755</v>
      </c>
      <c r="D30" s="93">
        <v>13.3</v>
      </c>
      <c r="E30" s="94">
        <v>4130</v>
      </c>
      <c r="F30" s="93">
        <v>10</v>
      </c>
      <c r="G30" s="94">
        <v>2625</v>
      </c>
      <c r="H30" s="102">
        <v>28.3</v>
      </c>
    </row>
    <row r="31" spans="1:8" x14ac:dyDescent="0.3">
      <c r="A31" s="305"/>
      <c r="B31" s="95" t="s">
        <v>346</v>
      </c>
      <c r="C31" s="94">
        <v>2601</v>
      </c>
      <c r="D31" s="93">
        <v>5.0999999999999996</v>
      </c>
      <c r="E31" s="94">
        <v>2122</v>
      </c>
      <c r="F31" s="93">
        <v>5.0999999999999996</v>
      </c>
      <c r="G31" s="93">
        <v>479</v>
      </c>
      <c r="H31" s="102">
        <v>5.2</v>
      </c>
    </row>
    <row r="32" spans="1:8" x14ac:dyDescent="0.3">
      <c r="A32" s="305"/>
      <c r="B32" s="95" t="s">
        <v>85</v>
      </c>
      <c r="C32" s="94">
        <v>3457</v>
      </c>
      <c r="D32" s="93">
        <v>6.8</v>
      </c>
      <c r="E32" s="94">
        <v>2988</v>
      </c>
      <c r="F32" s="93">
        <v>7.2</v>
      </c>
      <c r="G32" s="93">
        <v>469</v>
      </c>
      <c r="H32" s="102">
        <v>5.0999999999999996</v>
      </c>
    </row>
    <row r="33" spans="1:8" x14ac:dyDescent="0.3">
      <c r="A33" s="306"/>
      <c r="B33" s="97" t="s">
        <v>86</v>
      </c>
      <c r="C33" s="98">
        <v>50766</v>
      </c>
      <c r="D33" s="97">
        <v>100</v>
      </c>
      <c r="E33" s="98">
        <v>41502</v>
      </c>
      <c r="F33" s="97">
        <v>100</v>
      </c>
      <c r="G33" s="98">
        <v>9264</v>
      </c>
      <c r="H33" s="234">
        <v>100</v>
      </c>
    </row>
    <row r="34" spans="1:8" x14ac:dyDescent="0.3">
      <c r="A34" s="304" t="s">
        <v>402</v>
      </c>
      <c r="B34" s="95" t="s">
        <v>350</v>
      </c>
      <c r="C34" s="94">
        <v>11818</v>
      </c>
      <c r="D34" s="93">
        <v>24.6</v>
      </c>
      <c r="E34" s="94">
        <v>8610</v>
      </c>
      <c r="F34" s="93">
        <v>22</v>
      </c>
      <c r="G34" s="94">
        <v>3208</v>
      </c>
      <c r="H34" s="102">
        <v>36.299999999999997</v>
      </c>
    </row>
    <row r="35" spans="1:8" x14ac:dyDescent="0.3">
      <c r="A35" s="305"/>
      <c r="B35" s="95" t="s">
        <v>349</v>
      </c>
      <c r="C35" s="94">
        <v>20391</v>
      </c>
      <c r="D35" s="93">
        <v>42.4</v>
      </c>
      <c r="E35" s="94">
        <v>18925</v>
      </c>
      <c r="F35" s="93">
        <v>48.3</v>
      </c>
      <c r="G35" s="94">
        <v>1466</v>
      </c>
      <c r="H35" s="102">
        <v>16.600000000000001</v>
      </c>
    </row>
    <row r="36" spans="1:8" x14ac:dyDescent="0.3">
      <c r="A36" s="305"/>
      <c r="B36" s="95" t="s">
        <v>348</v>
      </c>
      <c r="C36" s="94">
        <v>1706</v>
      </c>
      <c r="D36" s="93">
        <v>3.6</v>
      </c>
      <c r="E36" s="94">
        <v>1305</v>
      </c>
      <c r="F36" s="93">
        <v>3.3</v>
      </c>
      <c r="G36" s="93">
        <v>401</v>
      </c>
      <c r="H36" s="102">
        <v>4.5</v>
      </c>
    </row>
    <row r="37" spans="1:8" x14ac:dyDescent="0.3">
      <c r="A37" s="305"/>
      <c r="B37" s="95" t="s">
        <v>347</v>
      </c>
      <c r="C37" s="94">
        <v>5936</v>
      </c>
      <c r="D37" s="93">
        <v>12.4</v>
      </c>
      <c r="E37" s="94">
        <v>3686</v>
      </c>
      <c r="F37" s="93">
        <v>9.4</v>
      </c>
      <c r="G37" s="94">
        <v>2250</v>
      </c>
      <c r="H37" s="102">
        <v>25.4</v>
      </c>
    </row>
    <row r="38" spans="1:8" x14ac:dyDescent="0.3">
      <c r="A38" s="305"/>
      <c r="B38" s="95" t="s">
        <v>346</v>
      </c>
      <c r="C38" s="94">
        <v>2568</v>
      </c>
      <c r="D38" s="93">
        <v>5.3</v>
      </c>
      <c r="E38" s="94">
        <v>2048</v>
      </c>
      <c r="F38" s="93">
        <v>5.2</v>
      </c>
      <c r="G38" s="93">
        <v>520</v>
      </c>
      <c r="H38" s="102">
        <v>5.9</v>
      </c>
    </row>
    <row r="39" spans="1:8" x14ac:dyDescent="0.3">
      <c r="A39" s="305"/>
      <c r="B39" s="95" t="s">
        <v>85</v>
      </c>
      <c r="C39" s="94">
        <v>5621</v>
      </c>
      <c r="D39" s="93">
        <v>11.7</v>
      </c>
      <c r="E39" s="94">
        <v>4617</v>
      </c>
      <c r="F39" s="93">
        <v>11.8</v>
      </c>
      <c r="G39" s="93">
        <v>1004</v>
      </c>
      <c r="H39" s="102">
        <v>11.3</v>
      </c>
    </row>
    <row r="40" spans="1:8" x14ac:dyDescent="0.3">
      <c r="A40" s="306"/>
      <c r="B40" s="97" t="s">
        <v>86</v>
      </c>
      <c r="C40" s="98">
        <v>48040</v>
      </c>
      <c r="D40" s="97">
        <v>100</v>
      </c>
      <c r="E40" s="98">
        <v>39191</v>
      </c>
      <c r="F40" s="97">
        <v>100</v>
      </c>
      <c r="G40" s="98">
        <v>8849</v>
      </c>
      <c r="H40" s="234">
        <v>100</v>
      </c>
    </row>
    <row r="42" spans="1:8" x14ac:dyDescent="0.3">
      <c r="A42" t="s">
        <v>1340</v>
      </c>
    </row>
    <row r="43" spans="1:8" x14ac:dyDescent="0.3">
      <c r="A43" t="s">
        <v>345</v>
      </c>
    </row>
    <row r="46" spans="1:8" x14ac:dyDescent="0.3">
      <c r="C46" s="86"/>
      <c r="D46" s="86"/>
      <c r="E46" s="86"/>
      <c r="F46" s="86"/>
      <c r="G46" s="86"/>
      <c r="H46" s="86"/>
    </row>
    <row r="47" spans="1:8" x14ac:dyDescent="0.3">
      <c r="C47" s="86"/>
      <c r="D47" s="86"/>
      <c r="E47" s="86"/>
      <c r="F47" s="86"/>
      <c r="G47" s="86"/>
      <c r="H47" s="86"/>
    </row>
    <row r="48" spans="1:8" x14ac:dyDescent="0.3">
      <c r="C48" s="86"/>
      <c r="D48" s="86"/>
      <c r="E48" s="86"/>
      <c r="F48" s="86"/>
      <c r="G48" s="86"/>
      <c r="H48" s="86"/>
    </row>
    <row r="49" spans="3:8" x14ac:dyDescent="0.3">
      <c r="C49" s="86"/>
      <c r="D49" s="86"/>
      <c r="E49" s="86"/>
      <c r="F49" s="86"/>
      <c r="G49" s="86"/>
      <c r="H49" s="86"/>
    </row>
    <row r="50" spans="3:8" x14ac:dyDescent="0.3">
      <c r="C50" s="86"/>
      <c r="D50" s="86"/>
      <c r="E50" s="86"/>
      <c r="F50" s="86"/>
      <c r="G50" s="86"/>
      <c r="H50" s="86"/>
    </row>
    <row r="51" spans="3:8" x14ac:dyDescent="0.3">
      <c r="C51" s="86"/>
      <c r="D51" s="86"/>
      <c r="E51" s="86"/>
      <c r="F51" s="86"/>
      <c r="G51" s="86"/>
      <c r="H51" s="86"/>
    </row>
    <row r="52" spans="3:8" x14ac:dyDescent="0.3">
      <c r="C52" s="86"/>
      <c r="D52" s="86"/>
      <c r="E52" s="86"/>
      <c r="F52" s="86"/>
      <c r="G52" s="86"/>
      <c r="H52" s="86"/>
    </row>
    <row r="53" spans="3:8" x14ac:dyDescent="0.3">
      <c r="C53" s="86"/>
      <c r="D53" s="86"/>
      <c r="E53" s="86"/>
      <c r="F53" s="86"/>
      <c r="G53" s="86"/>
      <c r="H53" s="86"/>
    </row>
    <row r="54" spans="3:8" x14ac:dyDescent="0.3">
      <c r="C54" s="86"/>
      <c r="D54" s="86"/>
      <c r="E54" s="86"/>
      <c r="F54" s="86"/>
      <c r="G54" s="86"/>
      <c r="H54" s="86"/>
    </row>
    <row r="55" spans="3:8" x14ac:dyDescent="0.3">
      <c r="C55" s="86"/>
      <c r="D55" s="86"/>
      <c r="E55" s="86"/>
      <c r="F55" s="86"/>
      <c r="G55" s="86"/>
      <c r="H55" s="86"/>
    </row>
    <row r="56" spans="3:8" x14ac:dyDescent="0.3">
      <c r="C56" s="86"/>
      <c r="D56" s="86"/>
      <c r="E56" s="86"/>
      <c r="F56" s="86"/>
      <c r="G56" s="86"/>
      <c r="H56" s="86"/>
    </row>
    <row r="57" spans="3:8" x14ac:dyDescent="0.3">
      <c r="C57" s="86"/>
      <c r="D57" s="86"/>
      <c r="E57" s="86"/>
      <c r="F57" s="86"/>
      <c r="G57" s="86"/>
      <c r="H57" s="86"/>
    </row>
    <row r="58" spans="3:8" x14ac:dyDescent="0.3">
      <c r="C58" s="86"/>
      <c r="D58" s="86"/>
      <c r="E58" s="86"/>
      <c r="F58" s="86"/>
      <c r="G58" s="86"/>
      <c r="H58" s="86"/>
    </row>
    <row r="59" spans="3:8" x14ac:dyDescent="0.3">
      <c r="C59" s="86"/>
      <c r="D59" s="86"/>
      <c r="E59" s="86"/>
      <c r="F59" s="86"/>
      <c r="G59" s="86"/>
      <c r="H59" s="86"/>
    </row>
    <row r="60" spans="3:8" x14ac:dyDescent="0.3">
      <c r="C60" s="86"/>
      <c r="D60" s="86"/>
      <c r="E60" s="86"/>
      <c r="F60" s="86"/>
      <c r="G60" s="86"/>
      <c r="H60" s="86"/>
    </row>
    <row r="61" spans="3:8" x14ac:dyDescent="0.3">
      <c r="C61" s="86"/>
      <c r="D61" s="86"/>
      <c r="E61" s="86"/>
      <c r="F61" s="86"/>
      <c r="G61" s="86"/>
      <c r="H61" s="86"/>
    </row>
    <row r="62" spans="3:8" x14ac:dyDescent="0.3">
      <c r="C62" s="86"/>
      <c r="D62" s="86"/>
      <c r="E62" s="86"/>
      <c r="F62" s="86"/>
      <c r="G62" s="86"/>
      <c r="H62" s="86"/>
    </row>
    <row r="63" spans="3:8" x14ac:dyDescent="0.3">
      <c r="C63" s="86"/>
      <c r="D63" s="86"/>
      <c r="E63" s="86"/>
      <c r="F63" s="86"/>
      <c r="G63" s="86"/>
      <c r="H63" s="86"/>
    </row>
    <row r="64" spans="3:8" x14ac:dyDescent="0.3">
      <c r="C64" s="86"/>
      <c r="D64" s="86"/>
      <c r="E64" s="86"/>
      <c r="F64" s="86"/>
      <c r="G64" s="86"/>
      <c r="H64" s="86"/>
    </row>
    <row r="65" spans="3:8" x14ac:dyDescent="0.3">
      <c r="C65" s="86"/>
      <c r="D65" s="86"/>
      <c r="E65" s="86"/>
      <c r="F65" s="86"/>
      <c r="G65" s="86"/>
      <c r="H65" s="86"/>
    </row>
    <row r="66" spans="3:8" x14ac:dyDescent="0.3">
      <c r="C66" s="86"/>
      <c r="D66" s="86"/>
      <c r="E66" s="86"/>
      <c r="F66" s="86"/>
      <c r="G66" s="86"/>
      <c r="H66" s="86"/>
    </row>
    <row r="67" spans="3:8" x14ac:dyDescent="0.3">
      <c r="C67" s="86"/>
      <c r="D67" s="86"/>
      <c r="E67" s="86"/>
      <c r="F67" s="86"/>
      <c r="G67" s="86"/>
      <c r="H67" s="86"/>
    </row>
    <row r="68" spans="3:8" x14ac:dyDescent="0.3">
      <c r="C68" s="86"/>
      <c r="D68" s="86"/>
      <c r="E68" s="86"/>
      <c r="F68" s="86"/>
      <c r="G68" s="86"/>
      <c r="H68" s="86"/>
    </row>
    <row r="69" spans="3:8" x14ac:dyDescent="0.3">
      <c r="C69" s="86"/>
      <c r="D69" s="86"/>
      <c r="E69" s="86"/>
      <c r="F69" s="86"/>
      <c r="G69" s="86"/>
      <c r="H69" s="86"/>
    </row>
    <row r="70" spans="3:8" x14ac:dyDescent="0.3">
      <c r="C70" s="86"/>
      <c r="D70" s="86"/>
      <c r="E70" s="86"/>
      <c r="F70" s="86"/>
      <c r="G70" s="86"/>
      <c r="H70" s="86"/>
    </row>
    <row r="71" spans="3:8" x14ac:dyDescent="0.3">
      <c r="C71" s="86"/>
      <c r="D71" s="86"/>
      <c r="E71" s="86"/>
      <c r="F71" s="86"/>
      <c r="G71" s="86"/>
      <c r="H71" s="86"/>
    </row>
    <row r="72" spans="3:8" x14ac:dyDescent="0.3">
      <c r="C72" s="86"/>
      <c r="D72" s="86"/>
      <c r="E72" s="86"/>
      <c r="F72" s="86"/>
      <c r="G72" s="86"/>
      <c r="H72" s="86"/>
    </row>
    <row r="73" spans="3:8" x14ac:dyDescent="0.3">
      <c r="C73" s="86"/>
      <c r="D73" s="86"/>
      <c r="E73" s="86"/>
      <c r="F73" s="86"/>
      <c r="G73" s="86"/>
      <c r="H73" s="86"/>
    </row>
    <row r="74" spans="3:8" x14ac:dyDescent="0.3">
      <c r="C74" s="86"/>
      <c r="D74" s="86"/>
      <c r="E74" s="86"/>
      <c r="F74" s="86"/>
      <c r="G74" s="86"/>
      <c r="H74" s="86"/>
    </row>
    <row r="75" spans="3:8" x14ac:dyDescent="0.3">
      <c r="C75" s="86"/>
      <c r="D75" s="86"/>
      <c r="E75" s="86"/>
      <c r="F75" s="86"/>
      <c r="G75" s="86"/>
      <c r="H75" s="86"/>
    </row>
    <row r="76" spans="3:8" x14ac:dyDescent="0.3">
      <c r="C76" s="86"/>
      <c r="D76" s="86"/>
      <c r="E76" s="86"/>
      <c r="F76" s="86"/>
      <c r="G76" s="86"/>
      <c r="H76" s="86"/>
    </row>
    <row r="77" spans="3:8" x14ac:dyDescent="0.3">
      <c r="C77" s="86"/>
      <c r="D77" s="86"/>
      <c r="E77" s="86"/>
      <c r="F77" s="86"/>
      <c r="G77" s="86"/>
      <c r="H77" s="86"/>
    </row>
    <row r="78" spans="3:8" x14ac:dyDescent="0.3">
      <c r="C78" s="86"/>
      <c r="D78" s="86"/>
      <c r="E78" s="86"/>
      <c r="F78" s="86"/>
      <c r="G78" s="86"/>
      <c r="H78" s="86"/>
    </row>
    <row r="79" spans="3:8" x14ac:dyDescent="0.3">
      <c r="C79" s="86"/>
      <c r="D79" s="86"/>
      <c r="E79" s="86"/>
      <c r="F79" s="86"/>
      <c r="G79" s="86"/>
      <c r="H79" s="86"/>
    </row>
    <row r="80" spans="3:8" x14ac:dyDescent="0.3">
      <c r="C80" s="86"/>
      <c r="D80" s="86"/>
      <c r="E80" s="86"/>
      <c r="F80" s="86"/>
      <c r="G80" s="86"/>
      <c r="H80" s="86"/>
    </row>
  </sheetData>
  <mergeCells count="10">
    <mergeCell ref="A13:A19"/>
    <mergeCell ref="A20:A26"/>
    <mergeCell ref="A27:A33"/>
    <mergeCell ref="A34:A40"/>
    <mergeCell ref="A4:A5"/>
    <mergeCell ref="B4:B5"/>
    <mergeCell ref="C4:D4"/>
    <mergeCell ref="E4:F4"/>
    <mergeCell ref="G4:H4"/>
    <mergeCell ref="A6:A12"/>
  </mergeCells>
  <phoneticPr fontId="1" type="noConversion"/>
  <conditionalFormatting sqref="C34">
    <cfRule type="expression" dxfId="3" priority="2">
      <formula>C34=#REF!</formula>
    </cfRule>
  </conditionalFormatting>
  <conditionalFormatting sqref="C27">
    <cfRule type="expression" dxfId="2" priority="1">
      <formula>C27=#REF!</formula>
    </cfRule>
  </conditionalFormatting>
  <hyperlinks>
    <hyperlink ref="H1" location="목차!A1" display="목차" xr:uid="{84F570D7-C6A7-42B7-83BE-12EF07AA48A5}"/>
  </hyperlinks>
  <pageMargins left="0.7" right="0.7" top="0.75" bottom="0.75" header="0.3" footer="0.3"/>
  <pageSetup paperSize="9" orientation="portrait" copies="16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 tint="-4.9989318521683403E-2"/>
  </sheetPr>
  <dimension ref="A1:R47"/>
  <sheetViews>
    <sheetView zoomScale="70" zoomScaleNormal="70" workbookViewId="0">
      <selection activeCell="A27" sqref="A27"/>
    </sheetView>
  </sheetViews>
  <sheetFormatPr defaultRowHeight="16.5" x14ac:dyDescent="0.3"/>
  <cols>
    <col min="1" max="1" width="10.75" customWidth="1"/>
  </cols>
  <sheetData>
    <row r="1" spans="1:18" ht="17.25" x14ac:dyDescent="0.3">
      <c r="A1" s="7" t="s">
        <v>433</v>
      </c>
      <c r="B1" s="6"/>
      <c r="C1" s="6"/>
      <c r="D1" s="6"/>
      <c r="E1" s="2"/>
      <c r="F1" s="2"/>
      <c r="H1" s="72" t="s">
        <v>368</v>
      </c>
    </row>
    <row r="3" spans="1:18" x14ac:dyDescent="0.3">
      <c r="Q3" s="5" t="s">
        <v>339</v>
      </c>
    </row>
    <row r="4" spans="1:18" ht="17.25" thickBot="1" x14ac:dyDescent="0.35">
      <c r="A4" s="346" t="s">
        <v>0</v>
      </c>
      <c r="B4" s="342"/>
      <c r="C4" s="335" t="s">
        <v>8</v>
      </c>
      <c r="D4" s="336"/>
      <c r="E4" s="345"/>
      <c r="F4" s="335" t="s">
        <v>9</v>
      </c>
      <c r="G4" s="336"/>
      <c r="H4" s="345"/>
      <c r="I4" s="335" t="s">
        <v>10</v>
      </c>
      <c r="J4" s="336"/>
      <c r="K4" s="345"/>
      <c r="L4" s="335" t="s">
        <v>369</v>
      </c>
      <c r="M4" s="336"/>
      <c r="N4" s="336"/>
      <c r="O4" s="335" t="s">
        <v>402</v>
      </c>
      <c r="P4" s="336"/>
      <c r="Q4" s="336"/>
    </row>
    <row r="5" spans="1:18" ht="17.25" thickTop="1" x14ac:dyDescent="0.3">
      <c r="A5" s="346"/>
      <c r="B5" s="342"/>
      <c r="C5" s="357" t="s">
        <v>326</v>
      </c>
      <c r="D5" s="357" t="s">
        <v>77</v>
      </c>
      <c r="E5" s="283" t="s">
        <v>336</v>
      </c>
      <c r="F5" s="357" t="s">
        <v>326</v>
      </c>
      <c r="G5" s="357" t="s">
        <v>77</v>
      </c>
      <c r="H5" s="283" t="s">
        <v>336</v>
      </c>
      <c r="I5" s="357" t="s">
        <v>326</v>
      </c>
      <c r="J5" s="357" t="s">
        <v>77</v>
      </c>
      <c r="K5" s="283" t="s">
        <v>336</v>
      </c>
      <c r="L5" s="357" t="s">
        <v>326</v>
      </c>
      <c r="M5" s="357" t="s">
        <v>77</v>
      </c>
      <c r="N5" s="129" t="s">
        <v>336</v>
      </c>
      <c r="O5" s="357" t="s">
        <v>326</v>
      </c>
      <c r="P5" s="357" t="s">
        <v>77</v>
      </c>
      <c r="Q5" s="40" t="s">
        <v>336</v>
      </c>
    </row>
    <row r="6" spans="1:18" x14ac:dyDescent="0.3">
      <c r="A6" s="346"/>
      <c r="B6" s="342"/>
      <c r="C6" s="341"/>
      <c r="D6" s="341"/>
      <c r="E6" s="282" t="s">
        <v>88</v>
      </c>
      <c r="F6" s="341"/>
      <c r="G6" s="341"/>
      <c r="H6" s="282" t="s">
        <v>88</v>
      </c>
      <c r="I6" s="341"/>
      <c r="J6" s="341"/>
      <c r="K6" s="282" t="s">
        <v>88</v>
      </c>
      <c r="L6" s="341"/>
      <c r="M6" s="341"/>
      <c r="N6" s="128" t="s">
        <v>88</v>
      </c>
      <c r="O6" s="341"/>
      <c r="P6" s="341"/>
      <c r="Q6" s="44" t="s">
        <v>88</v>
      </c>
    </row>
    <row r="7" spans="1:18" x14ac:dyDescent="0.3">
      <c r="A7" s="305" t="s">
        <v>350</v>
      </c>
      <c r="B7" s="28" t="s">
        <v>335</v>
      </c>
      <c r="C7" s="127">
        <v>8831</v>
      </c>
      <c r="D7" s="127">
        <v>38513</v>
      </c>
      <c r="E7" s="126">
        <v>4.4000000000000004</v>
      </c>
      <c r="F7" s="127">
        <v>8696</v>
      </c>
      <c r="G7" s="127">
        <v>42418</v>
      </c>
      <c r="H7" s="126">
        <v>4.9000000000000004</v>
      </c>
      <c r="I7" s="127">
        <v>8777</v>
      </c>
      <c r="J7" s="127">
        <v>40495</v>
      </c>
      <c r="K7" s="126">
        <v>4.5999999999999996</v>
      </c>
      <c r="L7" s="103">
        <v>8870</v>
      </c>
      <c r="M7" s="103">
        <v>43416</v>
      </c>
      <c r="N7" s="117">
        <v>4.9000000000000004</v>
      </c>
      <c r="O7" s="103">
        <v>8610</v>
      </c>
      <c r="P7" s="103">
        <v>45254</v>
      </c>
      <c r="Q7" s="37">
        <v>5.3</v>
      </c>
      <c r="R7" s="146"/>
    </row>
    <row r="8" spans="1:18" x14ac:dyDescent="0.3">
      <c r="A8" s="305"/>
      <c r="B8" s="13" t="s">
        <v>334</v>
      </c>
      <c r="C8" s="96">
        <v>2632</v>
      </c>
      <c r="D8" s="96">
        <v>5095</v>
      </c>
      <c r="E8" s="95">
        <v>1.9</v>
      </c>
      <c r="F8" s="96">
        <v>2834</v>
      </c>
      <c r="G8" s="96">
        <v>6645</v>
      </c>
      <c r="H8" s="95">
        <v>2.2999999999999998</v>
      </c>
      <c r="I8" s="96">
        <v>3067</v>
      </c>
      <c r="J8" s="96">
        <v>6482</v>
      </c>
      <c r="K8" s="95">
        <v>2.1</v>
      </c>
      <c r="L8" s="94">
        <v>3231</v>
      </c>
      <c r="M8" s="94">
        <v>7582</v>
      </c>
      <c r="N8" s="123">
        <v>2.2999999999999998</v>
      </c>
      <c r="O8" s="94">
        <v>3208</v>
      </c>
      <c r="P8" s="94">
        <v>9106</v>
      </c>
      <c r="Q8" s="35">
        <v>2.8</v>
      </c>
      <c r="R8" s="146"/>
    </row>
    <row r="9" spans="1:18" x14ac:dyDescent="0.3">
      <c r="A9" s="306"/>
      <c r="B9" s="29" t="s">
        <v>110</v>
      </c>
      <c r="C9" s="98">
        <v>11463</v>
      </c>
      <c r="D9" s="98">
        <v>43608</v>
      </c>
      <c r="E9" s="97">
        <v>3.8</v>
      </c>
      <c r="F9" s="98">
        <v>11530</v>
      </c>
      <c r="G9" s="98">
        <v>49063</v>
      </c>
      <c r="H9" s="97">
        <v>4.3</v>
      </c>
      <c r="I9" s="98">
        <v>11844</v>
      </c>
      <c r="J9" s="98">
        <v>46977</v>
      </c>
      <c r="K9" s="97">
        <v>4</v>
      </c>
      <c r="L9" s="98">
        <v>12101</v>
      </c>
      <c r="M9" s="98">
        <v>50997</v>
      </c>
      <c r="N9" s="125">
        <v>4.2</v>
      </c>
      <c r="O9" s="98">
        <v>11818</v>
      </c>
      <c r="P9" s="98">
        <v>54360</v>
      </c>
      <c r="Q9" s="42">
        <v>4.5999999999999996</v>
      </c>
      <c r="R9" s="106"/>
    </row>
    <row r="10" spans="1:18" x14ac:dyDescent="0.3">
      <c r="A10" s="304" t="s">
        <v>349</v>
      </c>
      <c r="B10" s="13" t="s">
        <v>335</v>
      </c>
      <c r="C10" s="96">
        <v>17588</v>
      </c>
      <c r="D10" s="96">
        <v>70104</v>
      </c>
      <c r="E10" s="95">
        <v>4</v>
      </c>
      <c r="F10" s="96">
        <v>18931</v>
      </c>
      <c r="G10" s="96">
        <v>80914</v>
      </c>
      <c r="H10" s="95">
        <v>4.3</v>
      </c>
      <c r="I10" s="96">
        <v>20295</v>
      </c>
      <c r="J10" s="96">
        <v>99506</v>
      </c>
      <c r="K10" s="95">
        <v>4.9000000000000004</v>
      </c>
      <c r="L10" s="94">
        <v>21319</v>
      </c>
      <c r="M10" s="94">
        <v>106858</v>
      </c>
      <c r="N10" s="102">
        <v>5</v>
      </c>
      <c r="O10" s="94">
        <v>18925</v>
      </c>
      <c r="P10" s="94">
        <v>111218</v>
      </c>
      <c r="Q10" s="102">
        <v>5.9</v>
      </c>
      <c r="R10" s="146"/>
    </row>
    <row r="11" spans="1:18" x14ac:dyDescent="0.3">
      <c r="A11" s="305"/>
      <c r="B11" s="13" t="s">
        <v>334</v>
      </c>
      <c r="C11" s="96">
        <v>1186</v>
      </c>
      <c r="D11" s="96">
        <v>3658</v>
      </c>
      <c r="E11" s="95">
        <v>3.1</v>
      </c>
      <c r="F11" s="96">
        <v>1328</v>
      </c>
      <c r="G11" s="96">
        <v>3877</v>
      </c>
      <c r="H11" s="95">
        <v>2.9</v>
      </c>
      <c r="I11" s="96">
        <v>1508</v>
      </c>
      <c r="J11" s="96">
        <v>3744</v>
      </c>
      <c r="K11" s="95">
        <v>2.5</v>
      </c>
      <c r="L11" s="94">
        <v>1747</v>
      </c>
      <c r="M11" s="94">
        <v>5332</v>
      </c>
      <c r="N11" s="102">
        <v>3.1</v>
      </c>
      <c r="O11" s="94">
        <v>1466</v>
      </c>
      <c r="P11" s="94">
        <v>4965</v>
      </c>
      <c r="Q11" s="102">
        <v>3.4</v>
      </c>
      <c r="R11" s="146"/>
    </row>
    <row r="12" spans="1:18" x14ac:dyDescent="0.3">
      <c r="A12" s="306"/>
      <c r="B12" s="29" t="s">
        <v>110</v>
      </c>
      <c r="C12" s="98">
        <v>18774</v>
      </c>
      <c r="D12" s="98">
        <v>73762</v>
      </c>
      <c r="E12" s="97">
        <v>3.9</v>
      </c>
      <c r="F12" s="98">
        <v>20259</v>
      </c>
      <c r="G12" s="98">
        <v>84792</v>
      </c>
      <c r="H12" s="97">
        <v>4.2</v>
      </c>
      <c r="I12" s="98">
        <v>21803</v>
      </c>
      <c r="J12" s="98">
        <v>103251</v>
      </c>
      <c r="K12" s="97">
        <v>4.7</v>
      </c>
      <c r="L12" s="98">
        <v>23066</v>
      </c>
      <c r="M12" s="98">
        <v>112190</v>
      </c>
      <c r="N12" s="125">
        <v>4.9000000000000004</v>
      </c>
      <c r="O12" s="98">
        <v>20391</v>
      </c>
      <c r="P12" s="98">
        <v>116183</v>
      </c>
      <c r="Q12" s="42">
        <v>5.7</v>
      </c>
      <c r="R12" s="106"/>
    </row>
    <row r="13" spans="1:18" x14ac:dyDescent="0.3">
      <c r="A13" s="304" t="s">
        <v>348</v>
      </c>
      <c r="B13" s="13" t="s">
        <v>335</v>
      </c>
      <c r="C13" s="96">
        <v>2183</v>
      </c>
      <c r="D13" s="96">
        <v>6216</v>
      </c>
      <c r="E13" s="95">
        <v>2.8</v>
      </c>
      <c r="F13" s="96">
        <v>2195</v>
      </c>
      <c r="G13" s="96">
        <v>7435</v>
      </c>
      <c r="H13" s="95">
        <v>3.4</v>
      </c>
      <c r="I13" s="96">
        <v>2132</v>
      </c>
      <c r="J13" s="96">
        <v>8856</v>
      </c>
      <c r="K13" s="95">
        <v>4.2</v>
      </c>
      <c r="L13" s="96">
        <v>2073</v>
      </c>
      <c r="M13" s="96">
        <v>8953</v>
      </c>
      <c r="N13" s="123">
        <v>4.3</v>
      </c>
      <c r="O13" s="14">
        <v>1305</v>
      </c>
      <c r="P13" s="14">
        <v>8651</v>
      </c>
      <c r="Q13" s="35">
        <v>6.6</v>
      </c>
      <c r="R13" s="146"/>
    </row>
    <row r="14" spans="1:18" x14ac:dyDescent="0.3">
      <c r="A14" s="305"/>
      <c r="B14" s="13" t="s">
        <v>334</v>
      </c>
      <c r="C14" s="95">
        <v>653</v>
      </c>
      <c r="D14" s="96">
        <v>1735</v>
      </c>
      <c r="E14" s="95">
        <v>2.7</v>
      </c>
      <c r="F14" s="95">
        <v>649</v>
      </c>
      <c r="G14" s="96">
        <v>961</v>
      </c>
      <c r="H14" s="95">
        <v>1.5</v>
      </c>
      <c r="I14" s="95">
        <v>679</v>
      </c>
      <c r="J14" s="95">
        <v>1217</v>
      </c>
      <c r="K14" s="95">
        <v>1.8</v>
      </c>
      <c r="L14" s="95">
        <v>713</v>
      </c>
      <c r="M14" s="96">
        <v>1425</v>
      </c>
      <c r="N14" s="123">
        <v>2</v>
      </c>
      <c r="O14" s="13">
        <v>401</v>
      </c>
      <c r="P14" s="14">
        <v>1555</v>
      </c>
      <c r="Q14" s="35">
        <v>3.9</v>
      </c>
      <c r="R14" s="146"/>
    </row>
    <row r="15" spans="1:18" x14ac:dyDescent="0.3">
      <c r="A15" s="306"/>
      <c r="B15" s="29" t="s">
        <v>110</v>
      </c>
      <c r="C15" s="98">
        <v>2836</v>
      </c>
      <c r="D15" s="98">
        <v>7951</v>
      </c>
      <c r="E15" s="97">
        <v>2.8</v>
      </c>
      <c r="F15" s="98">
        <v>2844</v>
      </c>
      <c r="G15" s="98">
        <v>8396</v>
      </c>
      <c r="H15" s="97">
        <v>3</v>
      </c>
      <c r="I15" s="98">
        <v>2811</v>
      </c>
      <c r="J15" s="98">
        <v>10073</v>
      </c>
      <c r="K15" s="97">
        <v>3.6</v>
      </c>
      <c r="L15" s="98">
        <v>2786</v>
      </c>
      <c r="M15" s="98">
        <v>10378</v>
      </c>
      <c r="N15" s="125">
        <v>3.7</v>
      </c>
      <c r="O15" s="31">
        <v>1706</v>
      </c>
      <c r="P15" s="31">
        <v>10206</v>
      </c>
      <c r="Q15" s="42">
        <v>6</v>
      </c>
      <c r="R15" s="106"/>
    </row>
    <row r="16" spans="1:18" x14ac:dyDescent="0.3">
      <c r="A16" s="304" t="s">
        <v>347</v>
      </c>
      <c r="B16" s="13" t="s">
        <v>335</v>
      </c>
      <c r="C16" s="96">
        <v>4088</v>
      </c>
      <c r="D16" s="96">
        <v>6426</v>
      </c>
      <c r="E16" s="95">
        <v>1.6</v>
      </c>
      <c r="F16" s="96">
        <v>4244</v>
      </c>
      <c r="G16" s="96">
        <v>7540</v>
      </c>
      <c r="H16" s="95">
        <v>1.8</v>
      </c>
      <c r="I16" s="96">
        <v>4274</v>
      </c>
      <c r="J16" s="96">
        <v>9456</v>
      </c>
      <c r="K16" s="95">
        <v>2.2000000000000002</v>
      </c>
      <c r="L16" s="94">
        <v>4130</v>
      </c>
      <c r="M16" s="94">
        <v>10719</v>
      </c>
      <c r="N16" s="102">
        <v>2.6</v>
      </c>
      <c r="O16" s="94">
        <v>3686</v>
      </c>
      <c r="P16" s="94">
        <v>10727</v>
      </c>
      <c r="Q16" s="102">
        <v>2.9</v>
      </c>
      <c r="R16" s="146"/>
    </row>
    <row r="17" spans="1:18" x14ac:dyDescent="0.3">
      <c r="A17" s="305"/>
      <c r="B17" s="13" t="s">
        <v>334</v>
      </c>
      <c r="C17" s="96">
        <v>2460</v>
      </c>
      <c r="D17" s="96">
        <v>3112</v>
      </c>
      <c r="E17" s="95">
        <v>1.3</v>
      </c>
      <c r="F17" s="96">
        <v>2455</v>
      </c>
      <c r="G17" s="96">
        <v>3300</v>
      </c>
      <c r="H17" s="95">
        <v>1.3</v>
      </c>
      <c r="I17" s="96">
        <v>2597</v>
      </c>
      <c r="J17" s="96">
        <v>3946</v>
      </c>
      <c r="K17" s="95">
        <v>1.5</v>
      </c>
      <c r="L17" s="96">
        <v>2625</v>
      </c>
      <c r="M17" s="96">
        <v>3370</v>
      </c>
      <c r="N17" s="123">
        <v>1.3</v>
      </c>
      <c r="O17" s="14">
        <v>2250</v>
      </c>
      <c r="P17" s="14">
        <v>4029</v>
      </c>
      <c r="Q17" s="35">
        <v>1.8</v>
      </c>
      <c r="R17" s="146"/>
    </row>
    <row r="18" spans="1:18" x14ac:dyDescent="0.3">
      <c r="A18" s="306"/>
      <c r="B18" s="29" t="s">
        <v>110</v>
      </c>
      <c r="C18" s="98">
        <v>6548</v>
      </c>
      <c r="D18" s="98">
        <v>9538</v>
      </c>
      <c r="E18" s="97">
        <v>1.5</v>
      </c>
      <c r="F18" s="98">
        <v>6699</v>
      </c>
      <c r="G18" s="98">
        <v>10840</v>
      </c>
      <c r="H18" s="97">
        <v>1.6</v>
      </c>
      <c r="I18" s="98">
        <v>6871</v>
      </c>
      <c r="J18" s="98">
        <v>13402</v>
      </c>
      <c r="K18" s="97">
        <v>2</v>
      </c>
      <c r="L18" s="98">
        <v>6755</v>
      </c>
      <c r="M18" s="98">
        <v>14090</v>
      </c>
      <c r="N18" s="125">
        <v>2.1</v>
      </c>
      <c r="O18" s="98">
        <v>5936</v>
      </c>
      <c r="P18" s="98">
        <v>14757</v>
      </c>
      <c r="Q18" s="42">
        <v>2.5</v>
      </c>
      <c r="R18" s="106"/>
    </row>
    <row r="19" spans="1:18" x14ac:dyDescent="0.3">
      <c r="A19" s="304" t="s">
        <v>346</v>
      </c>
      <c r="B19" s="13" t="s">
        <v>335</v>
      </c>
      <c r="C19" s="96">
        <v>1905</v>
      </c>
      <c r="D19" s="96">
        <v>8332</v>
      </c>
      <c r="E19" s="95">
        <v>4.4000000000000004</v>
      </c>
      <c r="F19" s="96">
        <v>2041</v>
      </c>
      <c r="G19" s="96">
        <v>9474</v>
      </c>
      <c r="H19" s="95">
        <v>4.5999999999999996</v>
      </c>
      <c r="I19" s="96">
        <v>1948</v>
      </c>
      <c r="J19" s="96">
        <v>10375</v>
      </c>
      <c r="K19" s="95">
        <v>5.3</v>
      </c>
      <c r="L19" s="96">
        <v>2122</v>
      </c>
      <c r="M19" s="96">
        <v>11903</v>
      </c>
      <c r="N19" s="123">
        <v>5.6</v>
      </c>
      <c r="O19" s="14">
        <v>2048</v>
      </c>
      <c r="P19" s="14">
        <v>12154</v>
      </c>
      <c r="Q19" s="35">
        <v>5.9</v>
      </c>
      <c r="R19" s="146"/>
    </row>
    <row r="20" spans="1:18" x14ac:dyDescent="0.3">
      <c r="A20" s="305"/>
      <c r="B20" s="13" t="s">
        <v>334</v>
      </c>
      <c r="C20" s="95">
        <v>558</v>
      </c>
      <c r="D20" s="96">
        <v>1169</v>
      </c>
      <c r="E20" s="95">
        <v>2.1</v>
      </c>
      <c r="F20" s="95">
        <v>533</v>
      </c>
      <c r="G20" s="96">
        <v>2218</v>
      </c>
      <c r="H20" s="95">
        <v>4.2</v>
      </c>
      <c r="I20" s="95">
        <v>445</v>
      </c>
      <c r="J20" s="96">
        <v>1784</v>
      </c>
      <c r="K20" s="95">
        <v>4</v>
      </c>
      <c r="L20" s="95">
        <v>479</v>
      </c>
      <c r="M20" s="96">
        <v>1416</v>
      </c>
      <c r="N20" s="123">
        <v>3</v>
      </c>
      <c r="O20" s="13">
        <v>520</v>
      </c>
      <c r="P20" s="14">
        <v>1461</v>
      </c>
      <c r="Q20" s="35">
        <v>2.8</v>
      </c>
      <c r="R20" s="146"/>
    </row>
    <row r="21" spans="1:18" x14ac:dyDescent="0.3">
      <c r="A21" s="306"/>
      <c r="B21" s="29" t="s">
        <v>110</v>
      </c>
      <c r="C21" s="98">
        <v>2463</v>
      </c>
      <c r="D21" s="98">
        <v>9501</v>
      </c>
      <c r="E21" s="97">
        <v>3.9</v>
      </c>
      <c r="F21" s="98">
        <v>2574</v>
      </c>
      <c r="G21" s="98">
        <v>11692</v>
      </c>
      <c r="H21" s="97">
        <v>4.5</v>
      </c>
      <c r="I21" s="98">
        <v>2393</v>
      </c>
      <c r="J21" s="98">
        <v>12159</v>
      </c>
      <c r="K21" s="97">
        <v>5.0999999999999996</v>
      </c>
      <c r="L21" s="98">
        <v>2601</v>
      </c>
      <c r="M21" s="98">
        <v>13319</v>
      </c>
      <c r="N21" s="125">
        <v>5.0999999999999996</v>
      </c>
      <c r="O21" s="31">
        <v>2568</v>
      </c>
      <c r="P21" s="31">
        <v>13616</v>
      </c>
      <c r="Q21" s="42">
        <v>5.3</v>
      </c>
      <c r="R21" s="106"/>
    </row>
    <row r="22" spans="1:18" x14ac:dyDescent="0.3">
      <c r="A22" s="304" t="s">
        <v>85</v>
      </c>
      <c r="B22" s="13" t="s">
        <v>335</v>
      </c>
      <c r="C22" s="96">
        <v>2182</v>
      </c>
      <c r="D22" s="96">
        <v>14125</v>
      </c>
      <c r="E22" s="95">
        <v>6.5</v>
      </c>
      <c r="F22" s="96">
        <v>2676</v>
      </c>
      <c r="G22" s="96">
        <v>20337</v>
      </c>
      <c r="H22" s="95">
        <v>7.6</v>
      </c>
      <c r="I22" s="96">
        <v>2911</v>
      </c>
      <c r="J22" s="96">
        <v>23198</v>
      </c>
      <c r="K22" s="95">
        <v>8</v>
      </c>
      <c r="L22" s="94">
        <v>2988</v>
      </c>
      <c r="M22" s="94">
        <v>26764</v>
      </c>
      <c r="N22" s="123">
        <v>9</v>
      </c>
      <c r="O22" s="94">
        <v>4617</v>
      </c>
      <c r="P22" s="94">
        <v>30699</v>
      </c>
      <c r="Q22" s="35">
        <v>6.6</v>
      </c>
      <c r="R22" s="146"/>
    </row>
    <row r="23" spans="1:18" x14ac:dyDescent="0.3">
      <c r="A23" s="305"/>
      <c r="B23" s="13" t="s">
        <v>334</v>
      </c>
      <c r="C23" s="95">
        <v>312</v>
      </c>
      <c r="D23" s="96">
        <v>1960</v>
      </c>
      <c r="E23" s="95">
        <v>6.3</v>
      </c>
      <c r="F23" s="95">
        <v>355</v>
      </c>
      <c r="G23" s="96">
        <v>1326</v>
      </c>
      <c r="H23" s="95">
        <v>3.7</v>
      </c>
      <c r="I23" s="95">
        <v>392</v>
      </c>
      <c r="J23" s="96">
        <v>1683</v>
      </c>
      <c r="K23" s="95">
        <v>4.3</v>
      </c>
      <c r="L23" s="93">
        <v>469</v>
      </c>
      <c r="M23" s="94">
        <v>1762</v>
      </c>
      <c r="N23" s="123">
        <v>3.8</v>
      </c>
      <c r="O23" s="93">
        <v>1004</v>
      </c>
      <c r="P23" s="94">
        <v>2214</v>
      </c>
      <c r="Q23" s="35">
        <v>2.2000000000000002</v>
      </c>
      <c r="R23" s="146"/>
    </row>
    <row r="24" spans="1:18" x14ac:dyDescent="0.3">
      <c r="A24" s="306"/>
      <c r="B24" s="29" t="s">
        <v>110</v>
      </c>
      <c r="C24" s="98">
        <v>2494</v>
      </c>
      <c r="D24" s="98">
        <v>16085</v>
      </c>
      <c r="E24" s="97">
        <v>6.4</v>
      </c>
      <c r="F24" s="98">
        <v>3031</v>
      </c>
      <c r="G24" s="98">
        <v>21663</v>
      </c>
      <c r="H24" s="97">
        <v>7.1</v>
      </c>
      <c r="I24" s="98">
        <v>3303</v>
      </c>
      <c r="J24" s="98">
        <v>24882</v>
      </c>
      <c r="K24" s="97">
        <v>7.5</v>
      </c>
      <c r="L24" s="98">
        <v>3457</v>
      </c>
      <c r="M24" s="98">
        <v>28526</v>
      </c>
      <c r="N24" s="125">
        <v>8.3000000000000007</v>
      </c>
      <c r="O24" s="31">
        <v>5621</v>
      </c>
      <c r="P24" s="98">
        <v>32913</v>
      </c>
      <c r="Q24" s="42">
        <v>5.9</v>
      </c>
      <c r="R24" s="106"/>
    </row>
    <row r="25" spans="1:18" x14ac:dyDescent="0.3">
      <c r="A25" s="321" t="s">
        <v>212</v>
      </c>
      <c r="B25" s="322"/>
      <c r="C25" s="98">
        <v>44578</v>
      </c>
      <c r="D25" s="98">
        <v>160446</v>
      </c>
      <c r="E25" s="97">
        <v>3.6</v>
      </c>
      <c r="F25" s="98">
        <v>46937</v>
      </c>
      <c r="G25" s="98">
        <v>186446</v>
      </c>
      <c r="H25" s="97">
        <v>4</v>
      </c>
      <c r="I25" s="98">
        <v>49025</v>
      </c>
      <c r="J25" s="98">
        <v>210744</v>
      </c>
      <c r="K25" s="97">
        <v>4.3</v>
      </c>
      <c r="L25" s="98">
        <v>50766</v>
      </c>
      <c r="M25" s="98">
        <v>229500</v>
      </c>
      <c r="N25" s="125">
        <v>4.5</v>
      </c>
      <c r="O25" s="98">
        <v>48040</v>
      </c>
      <c r="P25" s="31">
        <v>242034</v>
      </c>
      <c r="Q25" s="42">
        <v>5</v>
      </c>
      <c r="R25" s="146"/>
    </row>
    <row r="27" spans="1:18" x14ac:dyDescent="0.3">
      <c r="A27" t="s">
        <v>1340</v>
      </c>
    </row>
    <row r="28" spans="1:18" x14ac:dyDescent="0.3">
      <c r="A28" t="s">
        <v>345</v>
      </c>
    </row>
    <row r="30" spans="1:18" x14ac:dyDescent="0.3"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</row>
    <row r="31" spans="1:18" x14ac:dyDescent="0.3"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</row>
    <row r="32" spans="1:18" x14ac:dyDescent="0.3"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</row>
    <row r="33" spans="3:17" x14ac:dyDescent="0.3"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</row>
    <row r="34" spans="3:17" x14ac:dyDescent="0.3"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</row>
    <row r="35" spans="3:17" x14ac:dyDescent="0.3">
      <c r="C35" s="106"/>
      <c r="D35" s="86"/>
      <c r="E35" s="86"/>
      <c r="F35" s="106"/>
      <c r="G35" s="86"/>
      <c r="H35" s="86"/>
      <c r="I35" s="106"/>
      <c r="J35" s="86"/>
      <c r="K35" s="86"/>
      <c r="L35" s="106"/>
      <c r="M35" s="86"/>
      <c r="N35" s="86"/>
      <c r="O35" s="106"/>
      <c r="P35" s="86"/>
      <c r="Q35" s="86"/>
    </row>
    <row r="36" spans="3:17" x14ac:dyDescent="0.3">
      <c r="C36" s="106"/>
      <c r="D36" s="86"/>
      <c r="E36" s="86"/>
      <c r="F36" s="106"/>
      <c r="G36" s="86"/>
      <c r="H36" s="86"/>
      <c r="I36" s="106"/>
      <c r="J36" s="86"/>
      <c r="K36" s="86"/>
      <c r="L36" s="106"/>
      <c r="M36" s="86"/>
      <c r="N36" s="86"/>
      <c r="O36" s="106"/>
      <c r="P36" s="86"/>
      <c r="Q36" s="86"/>
    </row>
    <row r="37" spans="3:17" x14ac:dyDescent="0.3"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</row>
    <row r="38" spans="3:17" x14ac:dyDescent="0.3"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</row>
    <row r="39" spans="3:17" x14ac:dyDescent="0.3"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</row>
    <row r="40" spans="3:17" x14ac:dyDescent="0.3"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</row>
    <row r="41" spans="3:17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</row>
    <row r="42" spans="3:17" x14ac:dyDescent="0.3"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3:17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</row>
    <row r="44" spans="3:17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</row>
    <row r="45" spans="3:17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</row>
    <row r="46" spans="3:17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</row>
    <row r="47" spans="3:17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</row>
  </sheetData>
  <mergeCells count="23">
    <mergeCell ref="O5:O6"/>
    <mergeCell ref="P5:P6"/>
    <mergeCell ref="A4:B6"/>
    <mergeCell ref="L4:N4"/>
    <mergeCell ref="O4:Q4"/>
    <mergeCell ref="L5:L6"/>
    <mergeCell ref="M5:M6"/>
    <mergeCell ref="I4:K4"/>
    <mergeCell ref="F4:H4"/>
    <mergeCell ref="C4:E4"/>
    <mergeCell ref="C5:C6"/>
    <mergeCell ref="D5:D6"/>
    <mergeCell ref="F5:F6"/>
    <mergeCell ref="G5:G6"/>
    <mergeCell ref="I5:I6"/>
    <mergeCell ref="J5:J6"/>
    <mergeCell ref="A25:B25"/>
    <mergeCell ref="A7:A9"/>
    <mergeCell ref="A10:A12"/>
    <mergeCell ref="A13:A15"/>
    <mergeCell ref="A16:A18"/>
    <mergeCell ref="A19:A21"/>
    <mergeCell ref="A22:A24"/>
  </mergeCells>
  <phoneticPr fontId="1" type="noConversion"/>
  <conditionalFormatting sqref="C7:Q25">
    <cfRule type="expression" dxfId="1" priority="10">
      <formula>NOT(C7=#REF!)</formula>
    </cfRule>
  </conditionalFormatting>
  <hyperlinks>
    <hyperlink ref="H1" location="목차!A1" display="목차" xr:uid="{00000000-0004-0000-3B00-000000000000}"/>
  </hyperlinks>
  <pageMargins left="0.7" right="0.7" top="0.75" bottom="0.75" header="0.3" footer="0.3"/>
  <pageSetup paperSize="9" orientation="portrait" copies="16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 tint="-4.9989318521683403E-2"/>
  </sheetPr>
  <dimension ref="A1:I48"/>
  <sheetViews>
    <sheetView zoomScale="70" zoomScaleNormal="70" workbookViewId="0">
      <selection activeCell="P10" sqref="P10"/>
    </sheetView>
  </sheetViews>
  <sheetFormatPr defaultRowHeight="16.5" x14ac:dyDescent="0.3"/>
  <cols>
    <col min="2" max="2" width="16.625" customWidth="1"/>
  </cols>
  <sheetData>
    <row r="1" spans="1:9" ht="17.25" x14ac:dyDescent="0.3">
      <c r="A1" s="7" t="s">
        <v>434</v>
      </c>
      <c r="B1" s="6"/>
      <c r="C1" s="6"/>
      <c r="D1" s="6"/>
      <c r="E1" s="2"/>
      <c r="F1" s="2"/>
      <c r="H1" s="72" t="s">
        <v>368</v>
      </c>
    </row>
    <row r="3" spans="1:9" x14ac:dyDescent="0.3">
      <c r="H3" s="5" t="s">
        <v>327</v>
      </c>
    </row>
    <row r="4" spans="1:9" ht="17.25" thickBot="1" x14ac:dyDescent="0.35">
      <c r="A4" s="342" t="s">
        <v>245</v>
      </c>
      <c r="B4" s="341" t="s">
        <v>139</v>
      </c>
      <c r="C4" s="335" t="s">
        <v>86</v>
      </c>
      <c r="D4" s="345"/>
      <c r="E4" s="335" t="s">
        <v>325</v>
      </c>
      <c r="F4" s="345"/>
      <c r="G4" s="335" t="s">
        <v>324</v>
      </c>
      <c r="H4" s="336"/>
    </row>
    <row r="5" spans="1:9" ht="17.25" thickTop="1" x14ac:dyDescent="0.3">
      <c r="A5" s="342"/>
      <c r="B5" s="341"/>
      <c r="C5" s="39" t="s">
        <v>332</v>
      </c>
      <c r="D5" s="39" t="s">
        <v>36</v>
      </c>
      <c r="E5" s="39" t="s">
        <v>332</v>
      </c>
      <c r="F5" s="39" t="s">
        <v>36</v>
      </c>
      <c r="G5" s="39" t="s">
        <v>332</v>
      </c>
      <c r="H5" s="40" t="s">
        <v>36</v>
      </c>
    </row>
    <row r="6" spans="1:9" x14ac:dyDescent="0.3">
      <c r="A6" s="304" t="s">
        <v>8</v>
      </c>
      <c r="B6" s="95" t="s">
        <v>353</v>
      </c>
      <c r="C6" s="96">
        <v>32879</v>
      </c>
      <c r="D6" s="95">
        <v>73.8</v>
      </c>
      <c r="E6" s="96">
        <v>26293</v>
      </c>
      <c r="F6" s="95">
        <v>71.5</v>
      </c>
      <c r="G6" s="96">
        <v>6586</v>
      </c>
      <c r="H6" s="123">
        <v>84.4</v>
      </c>
      <c r="I6" s="106"/>
    </row>
    <row r="7" spans="1:9" x14ac:dyDescent="0.3">
      <c r="A7" s="305"/>
      <c r="B7" s="95" t="s">
        <v>352</v>
      </c>
      <c r="C7" s="96">
        <v>4933</v>
      </c>
      <c r="D7" s="95">
        <v>11.1</v>
      </c>
      <c r="E7" s="96">
        <v>4325</v>
      </c>
      <c r="F7" s="95">
        <v>11.8</v>
      </c>
      <c r="G7" s="95">
        <v>608</v>
      </c>
      <c r="H7" s="123">
        <v>7.8</v>
      </c>
      <c r="I7" s="106"/>
    </row>
    <row r="8" spans="1:9" x14ac:dyDescent="0.3">
      <c r="A8" s="305"/>
      <c r="B8" s="95" t="s">
        <v>351</v>
      </c>
      <c r="C8" s="96">
        <v>6766</v>
      </c>
      <c r="D8" s="95">
        <v>15.2</v>
      </c>
      <c r="E8" s="96">
        <v>6159</v>
      </c>
      <c r="F8" s="95">
        <v>16.7</v>
      </c>
      <c r="G8" s="95">
        <v>607</v>
      </c>
      <c r="H8" s="123">
        <v>7.8</v>
      </c>
      <c r="I8" s="106"/>
    </row>
    <row r="9" spans="1:9" x14ac:dyDescent="0.3">
      <c r="A9" s="306"/>
      <c r="B9" s="97" t="s">
        <v>86</v>
      </c>
      <c r="C9" s="98">
        <v>44578</v>
      </c>
      <c r="D9" s="97">
        <v>100</v>
      </c>
      <c r="E9" s="98">
        <v>36777</v>
      </c>
      <c r="F9" s="97">
        <v>100</v>
      </c>
      <c r="G9" s="98">
        <v>7801</v>
      </c>
      <c r="H9" s="125">
        <v>100</v>
      </c>
      <c r="I9" s="108"/>
    </row>
    <row r="10" spans="1:9" x14ac:dyDescent="0.3">
      <c r="A10" s="304" t="s">
        <v>9</v>
      </c>
      <c r="B10" s="95" t="s">
        <v>353</v>
      </c>
      <c r="C10" s="96">
        <v>34030</v>
      </c>
      <c r="D10" s="95">
        <v>72.5</v>
      </c>
      <c r="E10" s="96">
        <v>27212</v>
      </c>
      <c r="F10" s="95">
        <v>70.2</v>
      </c>
      <c r="G10" s="96">
        <v>6818</v>
      </c>
      <c r="H10" s="123">
        <v>83.6</v>
      </c>
      <c r="I10" s="106"/>
    </row>
    <row r="11" spans="1:9" x14ac:dyDescent="0.3">
      <c r="A11" s="305"/>
      <c r="B11" s="95" t="s">
        <v>352</v>
      </c>
      <c r="C11" s="96">
        <v>5463</v>
      </c>
      <c r="D11" s="95">
        <v>11.6</v>
      </c>
      <c r="E11" s="96">
        <v>4765</v>
      </c>
      <c r="F11" s="95">
        <v>12.3</v>
      </c>
      <c r="G11" s="95">
        <v>698</v>
      </c>
      <c r="H11" s="123">
        <v>8.6</v>
      </c>
      <c r="I11" s="106"/>
    </row>
    <row r="12" spans="1:9" x14ac:dyDescent="0.3">
      <c r="A12" s="305"/>
      <c r="B12" s="95" t="s">
        <v>351</v>
      </c>
      <c r="C12" s="96">
        <v>7444</v>
      </c>
      <c r="D12" s="95">
        <v>15.9</v>
      </c>
      <c r="E12" s="96">
        <v>6806</v>
      </c>
      <c r="F12" s="95">
        <v>17.5</v>
      </c>
      <c r="G12" s="95">
        <v>638</v>
      </c>
      <c r="H12" s="123">
        <v>7.8</v>
      </c>
      <c r="I12" s="106"/>
    </row>
    <row r="13" spans="1:9" x14ac:dyDescent="0.3">
      <c r="A13" s="306"/>
      <c r="B13" s="97" t="s">
        <v>86</v>
      </c>
      <c r="C13" s="98">
        <v>46937</v>
      </c>
      <c r="D13" s="97">
        <v>100</v>
      </c>
      <c r="E13" s="98">
        <v>38783</v>
      </c>
      <c r="F13" s="97">
        <v>100</v>
      </c>
      <c r="G13" s="98">
        <v>8154</v>
      </c>
      <c r="H13" s="125">
        <v>100</v>
      </c>
      <c r="I13" s="108"/>
    </row>
    <row r="14" spans="1:9" x14ac:dyDescent="0.3">
      <c r="A14" s="304" t="s">
        <v>10</v>
      </c>
      <c r="B14" s="95" t="s">
        <v>353</v>
      </c>
      <c r="C14" s="96">
        <v>35828</v>
      </c>
      <c r="D14" s="95">
        <v>73.099999999999994</v>
      </c>
      <c r="E14" s="96">
        <v>28517</v>
      </c>
      <c r="F14" s="95">
        <v>70.7</v>
      </c>
      <c r="G14" s="96">
        <v>7311</v>
      </c>
      <c r="H14" s="123">
        <v>84.2</v>
      </c>
      <c r="I14" s="106"/>
    </row>
    <row r="15" spans="1:9" x14ac:dyDescent="0.3">
      <c r="A15" s="305"/>
      <c r="B15" s="95" t="s">
        <v>352</v>
      </c>
      <c r="C15" s="96">
        <v>5708</v>
      </c>
      <c r="D15" s="95">
        <v>11.6</v>
      </c>
      <c r="E15" s="96">
        <v>4976</v>
      </c>
      <c r="F15" s="95">
        <v>12.3</v>
      </c>
      <c r="G15" s="95">
        <v>732</v>
      </c>
      <c r="H15" s="123">
        <v>8.4</v>
      </c>
      <c r="I15" s="106"/>
    </row>
    <row r="16" spans="1:9" x14ac:dyDescent="0.3">
      <c r="A16" s="305"/>
      <c r="B16" s="95" t="s">
        <v>351</v>
      </c>
      <c r="C16" s="96">
        <v>7489</v>
      </c>
      <c r="D16" s="95">
        <v>15.3</v>
      </c>
      <c r="E16" s="96">
        <v>6844</v>
      </c>
      <c r="F16" s="95">
        <v>17</v>
      </c>
      <c r="G16" s="95">
        <v>645</v>
      </c>
      <c r="H16" s="123">
        <v>7.4</v>
      </c>
      <c r="I16" s="106"/>
    </row>
    <row r="17" spans="1:9" x14ac:dyDescent="0.3">
      <c r="A17" s="306"/>
      <c r="B17" s="97" t="s">
        <v>86</v>
      </c>
      <c r="C17" s="98">
        <v>49025</v>
      </c>
      <c r="D17" s="97">
        <v>100</v>
      </c>
      <c r="E17" s="98">
        <v>40337</v>
      </c>
      <c r="F17" s="97">
        <v>100</v>
      </c>
      <c r="G17" s="98">
        <v>8688</v>
      </c>
      <c r="H17" s="125">
        <v>100</v>
      </c>
      <c r="I17" s="108"/>
    </row>
    <row r="18" spans="1:9" x14ac:dyDescent="0.3">
      <c r="A18" s="304" t="s">
        <v>369</v>
      </c>
      <c r="B18" s="95" t="s">
        <v>353</v>
      </c>
      <c r="C18" s="94">
        <v>37232</v>
      </c>
      <c r="D18" s="95">
        <v>73.3</v>
      </c>
      <c r="E18" s="96">
        <v>29515</v>
      </c>
      <c r="F18" s="95">
        <v>71.099999999999994</v>
      </c>
      <c r="G18" s="94">
        <v>7717</v>
      </c>
      <c r="H18" s="123">
        <v>83.3</v>
      </c>
      <c r="I18" s="106"/>
    </row>
    <row r="19" spans="1:9" x14ac:dyDescent="0.3">
      <c r="A19" s="305"/>
      <c r="B19" s="95" t="s">
        <v>352</v>
      </c>
      <c r="C19" s="96">
        <v>6104</v>
      </c>
      <c r="D19" s="95">
        <v>12</v>
      </c>
      <c r="E19" s="96">
        <v>5236</v>
      </c>
      <c r="F19" s="95">
        <v>12.6</v>
      </c>
      <c r="G19" s="95">
        <v>868</v>
      </c>
      <c r="H19" s="123">
        <v>9.4</v>
      </c>
      <c r="I19" s="106"/>
    </row>
    <row r="20" spans="1:9" x14ac:dyDescent="0.3">
      <c r="A20" s="305"/>
      <c r="B20" s="95" t="s">
        <v>351</v>
      </c>
      <c r="C20" s="96">
        <v>7430</v>
      </c>
      <c r="D20" s="95">
        <v>14.6</v>
      </c>
      <c r="E20" s="96">
        <v>6751</v>
      </c>
      <c r="F20" s="95">
        <v>16.3</v>
      </c>
      <c r="G20" s="95">
        <v>679</v>
      </c>
      <c r="H20" s="123">
        <v>7.3</v>
      </c>
      <c r="I20" s="106"/>
    </row>
    <row r="21" spans="1:9" x14ac:dyDescent="0.3">
      <c r="A21" s="306"/>
      <c r="B21" s="97" t="s">
        <v>86</v>
      </c>
      <c r="C21" s="98">
        <v>50766</v>
      </c>
      <c r="D21" s="97">
        <v>100</v>
      </c>
      <c r="E21" s="98">
        <v>41502</v>
      </c>
      <c r="F21" s="97">
        <v>100</v>
      </c>
      <c r="G21" s="98">
        <v>9264</v>
      </c>
      <c r="H21" s="125">
        <v>100</v>
      </c>
      <c r="I21" s="108"/>
    </row>
    <row r="22" spans="1:9" x14ac:dyDescent="0.3">
      <c r="A22" s="304" t="s">
        <v>402</v>
      </c>
      <c r="B22" s="13" t="s">
        <v>353</v>
      </c>
      <c r="C22" s="94">
        <v>33578</v>
      </c>
      <c r="D22" s="13">
        <v>69.900000000000006</v>
      </c>
      <c r="E22" s="14">
        <v>26565</v>
      </c>
      <c r="F22" s="13">
        <v>67.8</v>
      </c>
      <c r="G22" s="94">
        <v>7013</v>
      </c>
      <c r="H22" s="35">
        <v>79.3</v>
      </c>
      <c r="I22" s="106"/>
    </row>
    <row r="23" spans="1:9" x14ac:dyDescent="0.3">
      <c r="A23" s="305"/>
      <c r="B23" s="13" t="s">
        <v>352</v>
      </c>
      <c r="C23" s="14">
        <v>6273</v>
      </c>
      <c r="D23" s="13">
        <v>13.1</v>
      </c>
      <c r="E23" s="14">
        <v>5339</v>
      </c>
      <c r="F23" s="13">
        <v>13.6</v>
      </c>
      <c r="G23" s="13">
        <v>934</v>
      </c>
      <c r="H23" s="35">
        <v>10.6</v>
      </c>
      <c r="I23" s="106"/>
    </row>
    <row r="24" spans="1:9" x14ac:dyDescent="0.3">
      <c r="A24" s="305"/>
      <c r="B24" s="13" t="s">
        <v>351</v>
      </c>
      <c r="C24" s="14">
        <v>8189</v>
      </c>
      <c r="D24" s="13">
        <v>17</v>
      </c>
      <c r="E24" s="14">
        <v>7287</v>
      </c>
      <c r="F24" s="13">
        <v>18.600000000000001</v>
      </c>
      <c r="G24" s="13">
        <v>902</v>
      </c>
      <c r="H24" s="35">
        <v>10.199999999999999</v>
      </c>
      <c r="I24" s="106"/>
    </row>
    <row r="25" spans="1:9" x14ac:dyDescent="0.3">
      <c r="A25" s="306"/>
      <c r="B25" s="29" t="s">
        <v>86</v>
      </c>
      <c r="C25" s="98">
        <v>48040</v>
      </c>
      <c r="D25" s="29">
        <v>100</v>
      </c>
      <c r="E25" s="31">
        <v>39191</v>
      </c>
      <c r="F25" s="29">
        <v>100</v>
      </c>
      <c r="G25" s="98">
        <v>8849</v>
      </c>
      <c r="H25" s="42">
        <v>100</v>
      </c>
    </row>
    <row r="27" spans="1:9" x14ac:dyDescent="0.3">
      <c r="A27" t="s">
        <v>1340</v>
      </c>
    </row>
    <row r="29" spans="1:9" x14ac:dyDescent="0.3">
      <c r="C29" s="86"/>
      <c r="D29" s="86"/>
      <c r="E29" s="86"/>
      <c r="F29" s="86"/>
      <c r="G29" s="86"/>
      <c r="H29" s="86"/>
    </row>
    <row r="30" spans="1:9" x14ac:dyDescent="0.3">
      <c r="C30" s="86"/>
      <c r="D30" s="86"/>
      <c r="E30" s="86"/>
      <c r="F30" s="86"/>
      <c r="G30" s="86"/>
      <c r="H30" s="86"/>
    </row>
    <row r="31" spans="1:9" x14ac:dyDescent="0.3">
      <c r="C31" s="86"/>
      <c r="D31" s="86"/>
      <c r="E31" s="86"/>
      <c r="F31" s="86"/>
      <c r="G31" s="86"/>
      <c r="H31" s="86"/>
    </row>
    <row r="32" spans="1:9" x14ac:dyDescent="0.3">
      <c r="C32" s="86"/>
      <c r="D32" s="86"/>
      <c r="E32" s="86"/>
      <c r="F32" s="86"/>
      <c r="G32" s="86"/>
      <c r="H32" s="86"/>
    </row>
    <row r="33" spans="3:8" x14ac:dyDescent="0.3">
      <c r="C33" s="86"/>
      <c r="D33" s="86"/>
      <c r="E33" s="86"/>
      <c r="F33" s="86"/>
      <c r="G33" s="86"/>
      <c r="H33" s="86"/>
    </row>
    <row r="34" spans="3:8" x14ac:dyDescent="0.3">
      <c r="C34" s="86"/>
      <c r="D34" s="86"/>
      <c r="E34" s="86"/>
      <c r="F34" s="86"/>
      <c r="G34" s="86"/>
      <c r="H34" s="86"/>
    </row>
    <row r="35" spans="3:8" x14ac:dyDescent="0.3">
      <c r="C35" s="86"/>
      <c r="D35" s="86"/>
      <c r="E35" s="86"/>
      <c r="F35" s="86"/>
      <c r="G35" s="86"/>
      <c r="H35" s="86"/>
    </row>
    <row r="36" spans="3:8" x14ac:dyDescent="0.3">
      <c r="C36" s="86"/>
      <c r="D36" s="86"/>
      <c r="E36" s="86"/>
      <c r="F36" s="86"/>
      <c r="G36" s="86"/>
      <c r="H36" s="86"/>
    </row>
    <row r="37" spans="3:8" x14ac:dyDescent="0.3">
      <c r="C37" s="86"/>
      <c r="D37" s="86"/>
      <c r="E37" s="86"/>
      <c r="F37" s="86"/>
      <c r="G37" s="86"/>
      <c r="H37" s="86"/>
    </row>
    <row r="38" spans="3:8" x14ac:dyDescent="0.3">
      <c r="C38" s="86"/>
      <c r="D38" s="86"/>
      <c r="E38" s="86"/>
      <c r="F38" s="86"/>
      <c r="G38" s="86"/>
      <c r="H38" s="86"/>
    </row>
    <row r="39" spans="3:8" x14ac:dyDescent="0.3">
      <c r="C39" s="86"/>
      <c r="D39" s="86"/>
      <c r="E39" s="86"/>
      <c r="F39" s="86"/>
      <c r="G39" s="86"/>
      <c r="H39" s="86"/>
    </row>
    <row r="40" spans="3:8" x14ac:dyDescent="0.3">
      <c r="C40" s="86"/>
      <c r="D40" s="86"/>
      <c r="E40" s="86"/>
      <c r="F40" s="86"/>
      <c r="G40" s="86"/>
      <c r="H40" s="86"/>
    </row>
    <row r="41" spans="3:8" x14ac:dyDescent="0.3">
      <c r="C41" s="86"/>
      <c r="D41" s="86"/>
      <c r="E41" s="86"/>
      <c r="F41" s="86"/>
      <c r="G41" s="86"/>
      <c r="H41" s="86"/>
    </row>
    <row r="42" spans="3:8" x14ac:dyDescent="0.3">
      <c r="C42" s="86"/>
      <c r="D42" s="86"/>
      <c r="E42" s="86"/>
      <c r="F42" s="86"/>
      <c r="G42" s="86"/>
      <c r="H42" s="86"/>
    </row>
    <row r="43" spans="3:8" x14ac:dyDescent="0.3">
      <c r="C43" s="86"/>
      <c r="D43" s="86"/>
      <c r="E43" s="86"/>
      <c r="F43" s="86"/>
      <c r="G43" s="86"/>
      <c r="H43" s="86"/>
    </row>
    <row r="44" spans="3:8" x14ac:dyDescent="0.3">
      <c r="C44" s="86"/>
      <c r="D44" s="86"/>
      <c r="E44" s="86"/>
      <c r="F44" s="86"/>
      <c r="G44" s="86"/>
      <c r="H44" s="86"/>
    </row>
    <row r="45" spans="3:8" x14ac:dyDescent="0.3">
      <c r="C45" s="86"/>
      <c r="D45" s="86"/>
      <c r="E45" s="86"/>
      <c r="F45" s="86"/>
      <c r="G45" s="86"/>
      <c r="H45" s="86"/>
    </row>
    <row r="46" spans="3:8" x14ac:dyDescent="0.3">
      <c r="C46" s="86"/>
      <c r="D46" s="86"/>
      <c r="E46" s="86"/>
      <c r="F46" s="86"/>
      <c r="G46" s="86"/>
      <c r="H46" s="86"/>
    </row>
    <row r="47" spans="3:8" x14ac:dyDescent="0.3">
      <c r="C47" s="86"/>
      <c r="D47" s="86"/>
      <c r="E47" s="86"/>
      <c r="F47" s="86"/>
      <c r="G47" s="86"/>
      <c r="H47" s="86"/>
    </row>
    <row r="48" spans="3:8" x14ac:dyDescent="0.3">
      <c r="C48" s="86"/>
      <c r="D48" s="86"/>
      <c r="E48" s="86"/>
      <c r="F48" s="86"/>
      <c r="G48" s="86"/>
      <c r="H48" s="86"/>
    </row>
  </sheetData>
  <mergeCells count="10">
    <mergeCell ref="C4:D4"/>
    <mergeCell ref="E4:F4"/>
    <mergeCell ref="G4:H4"/>
    <mergeCell ref="A18:A21"/>
    <mergeCell ref="A22:A25"/>
    <mergeCell ref="A4:A5"/>
    <mergeCell ref="B4:B5"/>
    <mergeCell ref="A14:A17"/>
    <mergeCell ref="A10:A13"/>
    <mergeCell ref="A6:A9"/>
  </mergeCells>
  <phoneticPr fontId="1" type="noConversion"/>
  <conditionalFormatting sqref="C6:H25">
    <cfRule type="expression" dxfId="0" priority="10">
      <formula>NOT(C6=#REF!)</formula>
    </cfRule>
  </conditionalFormatting>
  <hyperlinks>
    <hyperlink ref="H1" location="목차!A1" display="목차" xr:uid="{00000000-0004-0000-3C00-000000000000}"/>
  </hyperlinks>
  <pageMargins left="0.7" right="0.7" top="0.75" bottom="0.75" header="0.3" footer="0.3"/>
  <pageSetup paperSize="9" orientation="portrait" copies="1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61</vt:i4>
      </vt:variant>
    </vt:vector>
  </HeadingPairs>
  <TitlesOfParts>
    <vt:vector size="61" baseType="lpstr">
      <vt:lpstr>목차</vt:lpstr>
      <vt:lpstr>1-1</vt:lpstr>
      <vt:lpstr>1-2</vt:lpstr>
      <vt:lpstr>1-3</vt:lpstr>
      <vt:lpstr>1-4</vt:lpstr>
      <vt:lpstr>1-5</vt:lpstr>
      <vt:lpstr>1-6</vt:lpstr>
      <vt:lpstr>1-7</vt:lpstr>
      <vt:lpstr>1-8</vt:lpstr>
      <vt:lpstr>1-9</vt:lpstr>
      <vt:lpstr>1-10</vt:lpstr>
      <vt:lpstr>1-11</vt:lpstr>
      <vt:lpstr>1-12</vt:lpstr>
      <vt:lpstr>1-13</vt:lpstr>
      <vt:lpstr>1-14</vt:lpstr>
      <vt:lpstr>1-15</vt:lpstr>
      <vt:lpstr>1-16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4-6</vt:lpstr>
      <vt:lpstr>5-1</vt:lpstr>
      <vt:lpstr>5-2</vt:lpstr>
      <vt:lpstr>5-3</vt:lpstr>
      <vt:lpstr>5-4</vt:lpstr>
      <vt:lpstr>5-5</vt:lpstr>
      <vt:lpstr>5-6</vt:lpstr>
      <vt:lpstr>5-7</vt:lpstr>
      <vt:lpstr>6-1</vt:lpstr>
      <vt:lpstr>6-2</vt:lpstr>
      <vt:lpstr>6-3</vt:lpstr>
      <vt:lpstr>6-4</vt:lpstr>
      <vt:lpstr>6-5</vt:lpstr>
      <vt:lpstr>6-6</vt:lpstr>
      <vt:lpstr>6-7</vt:lpstr>
      <vt:lpstr>7-1</vt:lpstr>
      <vt:lpstr>7-2</vt:lpstr>
      <vt:lpstr>7-3</vt:lpstr>
      <vt:lpstr>7-4</vt:lpstr>
      <vt:lpstr>7-5</vt:lpstr>
      <vt:lpstr>7-6</vt:lpstr>
      <vt:lpstr>7-7</vt:lpstr>
      <vt:lpstr>7-8</vt:lpstr>
      <vt:lpstr>7-9</vt:lpstr>
      <vt:lpstr>7-10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h2hyuk</dc:creator>
  <cp:lastModifiedBy>조사분석</cp:lastModifiedBy>
  <cp:lastPrinted>2023-08-23T04:41:56Z</cp:lastPrinted>
  <dcterms:created xsi:type="dcterms:W3CDTF">2022-08-25T06:10:39Z</dcterms:created>
  <dcterms:modified xsi:type="dcterms:W3CDTF">2024-12-23T00:49:23Z</dcterms:modified>
</cp:coreProperties>
</file>